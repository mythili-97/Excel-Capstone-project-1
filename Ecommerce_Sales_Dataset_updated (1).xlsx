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Mythili V\Downloads\"/>
    </mc:Choice>
  </mc:AlternateContent>
  <xr:revisionPtr revIDLastSave="0" documentId="13_ncr:1_{424FAF92-4C86-4A76-BD4A-11FBE4FF76D1}" xr6:coauthVersionLast="47" xr6:coauthVersionMax="47" xr10:uidLastSave="{00000000-0000-0000-0000-000000000000}"/>
  <bookViews>
    <workbookView xWindow="-60" yWindow="372" windowWidth="10812" windowHeight="8484" firstSheet="4" activeTab="9" xr2:uid="{00000000-000D-0000-FFFF-FFFF00000000}"/>
  </bookViews>
  <sheets>
    <sheet name="Customer_Dim" sheetId="1" r:id="rId1"/>
    <sheet name="Product_Dim" sheetId="2" r:id="rId2"/>
    <sheet name="Store_Dim" sheetId="3" r:id="rId3"/>
    <sheet name="Region -yearwise" sheetId="6" r:id="rId4"/>
    <sheet name="Monthwise" sheetId="7" r:id="rId5"/>
    <sheet name="Category Wise" sheetId="9" r:id="rId6"/>
    <sheet name="Region Wise" sheetId="10" r:id="rId7"/>
    <sheet name="payment mode" sheetId="11" r:id="rId8"/>
    <sheet name="Quarter Wise" sheetId="13" r:id="rId9"/>
    <sheet name="Sales_Fact" sheetId="4" r:id="rId10"/>
  </sheets>
  <definedNames>
    <definedName name="_xlcn.WorksheetConnection_Ecommerce_Sales_Dataset_updated1.xlsxTable11" hidden="1">Table1[]</definedName>
    <definedName name="Slicer_Store_Name_Region">#N/A</definedName>
  </definedNames>
  <calcPr calcId="191029"/>
  <pivotCaches>
    <pivotCache cacheId="0" r:id="rId11"/>
    <pivotCache cacheId="1" r:id="rId12"/>
    <pivotCache cacheId="2" r:id="rId13"/>
    <pivotCache cacheId="3" r:id="rId14"/>
    <pivotCache cacheId="4" r:id="rId15"/>
    <pivotCache cacheId="5" r:id="rId16"/>
  </pivotCaches>
  <extLst>
    <ext xmlns:x14="http://schemas.microsoft.com/office/spreadsheetml/2009/9/main" uri="{876F7934-8845-4945-9796-88D515C7AA90}">
      <x14:pivotCaches>
        <pivotCache cacheId="6"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Ecommerce_Sales_Dataset_updated (1).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4" l="1"/>
  <c r="B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C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D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I8"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W4" i="4" l="1"/>
  <c r="G2" i="4"/>
  <c r="G3" i="4"/>
  <c r="G4" i="4"/>
  <c r="G5" i="4"/>
  <c r="G6" i="4"/>
  <c r="G7" i="4"/>
  <c r="G8" i="4"/>
  <c r="G9" i="4"/>
  <c r="G10"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F2" i="4"/>
  <c r="F3" i="4"/>
  <c r="F4" i="4"/>
  <c r="F5" i="4"/>
  <c r="F6" i="4"/>
  <c r="F7" i="4"/>
  <c r="F8" i="4"/>
  <c r="F9" i="4"/>
  <c r="F10"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69BC49-57C9-4D18-AA71-900DB50FC34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DB30377-3E0F-4D45-B7B6-A080B7892003}" name="WorksheetConnection_Ecommerce_Sales_Dataset_updated (1).xlsx!Table1" type="102" refreshedVersion="8" minRefreshableVersion="5">
    <extLst>
      <ext xmlns:x15="http://schemas.microsoft.com/office/spreadsheetml/2010/11/main" uri="{DE250136-89BD-433C-8126-D09CA5730AF9}">
        <x15:connection id="Table1" autoDelete="1">
          <x15:rangePr sourceName="_xlcn.WorksheetConnection_Ecommerce_Sales_Dataset_updated1.xlsxTable11"/>
        </x15:connection>
      </ext>
    </extLst>
  </connection>
</connections>
</file>

<file path=xl/sharedStrings.xml><?xml version="1.0" encoding="utf-8"?>
<sst xmlns="http://schemas.openxmlformats.org/spreadsheetml/2006/main" count="16152" uniqueCount="4023">
  <si>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</si>
  <si>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</si>
  <si>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</si>
  <si>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</si>
  <si>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</si>
  <si>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</si>
  <si>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</si>
  <si>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</si>
  <si>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</si>
  <si>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</si>
  <si>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</si>
  <si>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</si>
  <si>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</si>
  <si>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</si>
  <si>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</si>
  <si>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</si>
  <si>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</si>
  <si>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</si>
  <si>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</si>
  <si>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</si>
  <si>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</si>
  <si>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</si>
  <si>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</si>
  <si>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</si>
  <si>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</si>
  <si>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</si>
  <si>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</si>
  <si>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</si>
  <si>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</si>
  <si>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</si>
  <si>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</si>
  <si>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</si>
  <si>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</si>
  <si>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</si>
  <si>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</si>
  <si>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</si>
  <si>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</si>
  <si>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</si>
  <si>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</si>
  <si>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</si>
  <si>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</si>
  <si>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</si>
  <si>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</si>
  <si>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</si>
  <si>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</si>
  <si>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</si>
  <si>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</si>
  <si>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</si>
  <si>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</si>
  <si>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</si>
  <si>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</si>
  <si>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</si>
  <si>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</si>
  <si>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</si>
  <si>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</si>
  <si>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</si>
  <si>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</si>
  <si>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</si>
  <si>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</si>
  <si>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</si>
  <si>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</si>
  <si>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</si>
  <si>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</si>
  <si>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</si>
  <si>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</si>
  <si>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</si>
  <si>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</si>
  <si>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</si>
  <si>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</si>
  <si>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</si>
  <si>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</si>
  <si>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</si>
  <si>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</si>
  <si>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</si>
  <si>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</si>
  <si>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</si>
  <si>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</si>
  <si>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</si>
  <si>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</si>
  <si>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</si>
  <si>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</si>
  <si>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</si>
  <si>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</si>
  <si>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</si>
  <si>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</si>
  <si>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</si>
  <si>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</si>
  <si>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</si>
  <si>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</si>
  <si>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</si>
  <si>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</si>
  <si>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</si>
  <si>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</si>
  <si>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</si>
  <si>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</si>
  <si>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</si>
  <si>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</si>
  <si>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</si>
  <si>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</si>
  <si>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</si>
  <si>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</si>
  <si>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</si>
  <si>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</si>
  <si>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</si>
  <si>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</si>
  <si>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</si>
  <si>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</si>
  <si>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</si>
  <si>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</si>
  <si>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</si>
  <si>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</si>
  <si>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</si>
  <si>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</si>
  <si>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</si>
  <si>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</si>
  <si>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</si>
  <si>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</si>
  <si>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</si>
  <si>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</si>
  <si>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</si>
  <si>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</si>
  <si>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</si>
  <si>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</si>
  <si>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</si>
  <si>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</si>
  <si>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</si>
  <si>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</si>
  <si>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</si>
  <si>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</si>
  <si>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</si>
  <si>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</si>
  <si>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</si>
  <si>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</si>
  <si>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</si>
  <si>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</si>
  <si>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</si>
  <si>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</si>
  <si>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</si>
  <si>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</si>
  <si>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</si>
  <si>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</si>
  <si>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</si>
  <si>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</si>
  <si>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</si>
  <si>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</si>
  <si>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</si>
  <si>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</si>
  <si>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</si>
  <si>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</si>
  <si>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</si>
  <si>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</si>
  <si>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</si>
  <si>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</si>
  <si>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</si>
  <si>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</si>
  <si>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</si>
  <si>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</si>
  <si>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</si>
  <si>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</si>
  <si>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</si>
  <si>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</si>
  <si>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</si>
  <si>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</si>
  <si>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</si>
  <si>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</si>
  <si>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</si>
  <si>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</si>
  <si>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</si>
  <si>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</si>
  <si>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</si>
  <si>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</si>
  <si>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</si>
  <si>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</si>
  <si>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</si>
  <si>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</si>
  <si>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</si>
  <si>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</si>
  <si>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</si>
  <si>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</si>
  <si>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</si>
  <si>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</si>
  <si>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</si>
  <si>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</si>
  <si>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</si>
  <si>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</si>
  <si>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</si>
  <si>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</si>
  <si>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</si>
  <si>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</si>
  <si>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</si>
  <si>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</si>
  <si>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</si>
  <si>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</si>
  <si>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</si>
  <si>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</si>
  <si>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</si>
  <si>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</si>
  <si>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</si>
  <si>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</si>
  <si>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</si>
  <si>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</si>
  <si>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</si>
  <si>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</si>
  <si>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</si>
  <si>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</si>
  <si>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</si>
  <si>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</si>
  <si>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</si>
  <si>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</si>
  <si>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</si>
  <si>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</si>
  <si>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</si>
  <si>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</si>
  <si>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</si>
  <si>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</si>
  <si>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</si>
  <si>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</si>
  <si>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</si>
  <si>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</si>
  <si>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</si>
  <si>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</si>
  <si>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</si>
  <si>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</si>
  <si>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</si>
  <si>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</si>
  <si>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</si>
  <si>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</si>
  <si>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</si>
  <si>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</si>
  <si>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</si>
  <si>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</si>
  <si>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</si>
  <si>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</si>
  <si>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</si>
  <si>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</si>
  <si>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</si>
  <si>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</si>
  <si>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</si>
  <si>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</si>
  <si>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</si>
  <si>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</si>
  <si>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</si>
  <si>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</si>
  <si>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</si>
  <si>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</si>
  <si>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</si>
  <si>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</si>
  <si>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</si>
  <si>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</si>
  <si>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</si>
  <si>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</si>
  <si>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</si>
  <si>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</si>
  <si>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</si>
  <si>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</si>
  <si>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</si>
  <si>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</si>
  <si>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</si>
  <si>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</si>
  <si>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</si>
  <si>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</si>
  <si>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</si>
  <si>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</si>
  <si>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</si>
  <si>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</si>
  <si>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</si>
  <si>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</si>
  <si>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</si>
  <si>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</si>
  <si>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</si>
  <si>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</si>
  <si>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</si>
  <si>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</si>
  <si>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</si>
  <si>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</si>
  <si>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</si>
  <si>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</si>
  <si>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</si>
  <si>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</si>
  <si>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</si>
  <si>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</si>
  <si>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</si>
  <si>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</si>
  <si>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</si>
  <si>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</si>
  <si>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</si>
  <si>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</si>
  <si>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</si>
  <si>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</si>
  <si>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</si>
  <si>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</si>
  <si>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</si>
  <si>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</si>
  <si>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</si>
  <si>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</si>
  <si>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</si>
  <si>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</si>
  <si>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</si>
  <si>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</si>
  <si>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</si>
  <si>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</si>
  <si>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</si>
  <si>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</si>
  <si>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</si>
  <si>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</si>
  <si>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</si>
  <si>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</si>
  <si>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</si>
  <si>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</si>
  <si>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</si>
  <si>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</si>
  <si>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</si>
  <si>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</si>
  <si>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</si>
  <si>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</si>
  <si>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</si>
  <si>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</si>
  <si>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</si>
  <si>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</si>
  <si>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</si>
  <si>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</si>
  <si>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</si>
  <si>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</si>
  <si>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</si>
  <si>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</si>
  <si>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</si>
  <si>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</si>
  <si>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</si>
  <si>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</si>
  <si>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</si>
  <si>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</si>
  <si>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</si>
  <si>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</si>
  <si>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</si>
  <si>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</si>
  <si>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</si>
  <si>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</si>
  <si>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</si>
  <si>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</si>
  <si>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</si>
  <si>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</si>
  <si>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</si>
  <si>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</si>
  <si>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</si>
  <si>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</si>
  <si>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</si>
  <si>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</si>
  <si>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</si>
  <si>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</si>
  <si>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</si>
  <si>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</si>
  <si>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</si>
  <si>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</si>
  <si>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</si>
  <si>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</si>
  <si>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</si>
  <si>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</si>
  <si>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</si>
  <si>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</si>
  <si>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</si>
  <si>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</si>
  <si>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</si>
  <si>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</si>
  <si>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</si>
  <si>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</si>
  <si>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</si>
  <si>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</si>
  <si>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</si>
  <si>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</si>
  <si>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</si>
  <si>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</si>
  <si>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</si>
  <si>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</si>
  <si>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</si>
  <si>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</si>
  <si>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</si>
  <si>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</si>
  <si>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</si>
  <si>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</si>
  <si>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</si>
  <si>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</si>
  <si>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</si>
  <si>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</si>
  <si>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</si>
  <si>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</si>
  <si>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</si>
  <si>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</si>
  <si>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</si>
  <si>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</si>
  <si>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</si>
  <si>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</si>
  <si>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</si>
  <si>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</si>
  <si>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</si>
  <si>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</si>
  <si>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</si>
  <si>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</si>
  <si>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</si>
  <si>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</si>
  <si>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</si>
  <si>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</si>
  <si>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</si>
  <si>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</si>
  <si>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</si>
  <si>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</si>
  <si>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</si>
  <si>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</si>
  <si>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</si>
  <si>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</si>
  <si>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</si>
  <si>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</si>
  <si>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</si>
  <si>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</si>
  <si>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</si>
  <si>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</si>
  <si>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</si>
  <si>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</si>
  <si>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</si>
  <si>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</si>
  <si>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</si>
  <si>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</si>
  <si>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</si>
  <si>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</si>
  <si>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</si>
  <si>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</si>
  <si>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</si>
  <si>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</si>
  <si>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</si>
  <si>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</si>
  <si>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</si>
  <si>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</si>
  <si>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</si>
  <si>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</si>
  <si>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</si>
  <si>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</si>
  <si>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</si>
  <si>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</si>
  <si>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</si>
  <si>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</si>
  <si>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</si>
  <si>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</si>
  <si>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</si>
  <si>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</si>
  <si>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</si>
  <si>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</si>
  <si>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</si>
  <si>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</si>
  <si>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</si>
  <si>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</si>
  <si>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</si>
  <si>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</si>
  <si>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</si>
  <si>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</si>
  <si>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</si>
  <si>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</si>
  <si>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</si>
  <si>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</si>
  <si>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</si>
  <si>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</si>
  <si>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</si>
  <si>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</si>
  <si>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</si>
  <si>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</si>
  <si>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</si>
  <si>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</si>
  <si>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</si>
  <si>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</si>
  <si>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</si>
  <si>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</si>
  <si>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</si>
  <si>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</si>
  <si>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</si>
  <si>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</si>
  <si>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</si>
  <si>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</si>
  <si>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</si>
  <si>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</si>
  <si>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</si>
  <si>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</si>
  <si>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</si>
  <si>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</si>
  <si>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</si>
  <si>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</si>
  <si>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</si>
  <si>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</si>
  <si>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</si>
  <si>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</si>
  <si>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</si>
  <si>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</si>
  <si>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</si>
  <si>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</si>
  <si>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</si>
  <si>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</si>
  <si>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</si>
  <si>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</si>
  <si>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</si>
  <si>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</si>
  <si>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</si>
  <si>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</si>
  <si>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</si>
  <si>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</si>
  <si>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</si>
  <si>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</si>
  <si>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</si>
  <si>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</si>
  <si>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</si>
  <si>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</si>
  <si>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</si>
  <si>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</si>
  <si>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</si>
  <si>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</si>
  <si>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</si>
  <si>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</si>
  <si>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</si>
  <si>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</si>
  <si>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</si>
  <si>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</si>
  <si>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</si>
  <si>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</si>
  <si>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</si>
  <si>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</si>
  <si>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</si>
  <si>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</si>
  <si>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</si>
  <si>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</si>
  <si>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</si>
  <si>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</si>
  <si>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</si>
  <si>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</si>
  <si>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</si>
  <si>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</si>
  <si>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</si>
  <si>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</si>
  <si>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</si>
  <si>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</si>
  <si>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</si>
  <si>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</si>
  <si>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</si>
  <si>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</si>
  <si>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</si>
  <si>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</si>
  <si>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</si>
  <si>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</si>
  <si>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</si>
  <si>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</si>
  <si>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</si>
  <si>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</si>
  <si>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</si>
  <si>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</si>
  <si>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</si>
  <si>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</si>
  <si>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</si>
  <si>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</si>
  <si>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</si>
  <si>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</si>
  <si>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</si>
  <si>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</si>
  <si>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</si>
  <si>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</si>
  <si>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</si>
  <si>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</si>
  <si>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</si>
  <si>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</si>
  <si>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</si>
  <si>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</si>
  <si>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</si>
  <si>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</si>
  <si>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</si>
  <si>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</si>
  <si>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</si>
  <si>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</si>
  <si>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</si>
  <si>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</si>
  <si>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</si>
  <si>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</si>
  <si>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</si>
  <si>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</si>
  <si>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</si>
  <si>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</si>
  <si>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</si>
  <si>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</si>
  <si>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</si>
  <si>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</si>
  <si>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</si>
  <si>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</si>
  <si>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</si>
  <si>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</si>
  <si>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</si>
  <si>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</si>
  <si>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</si>
  <si>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</si>
  <si>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</si>
  <si>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</si>
  <si>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</si>
  <si>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</si>
  <si>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</si>
  <si>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</si>
  <si>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</si>
  <si>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</si>
  <si>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</si>
  <si>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</si>
  <si>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</si>
  <si>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</si>
  <si>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</si>
  <si>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</si>
  <si>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</si>
  <si>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</si>
  <si>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</si>
  <si>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</si>
  <si>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</si>
  <si>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</si>
  <si>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</si>
  <si>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</si>
  <si>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</si>
  <si>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</si>
  <si>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</si>
  <si>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</si>
  <si>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</si>
  <si>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</si>
  <si>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</si>
  <si>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</si>
  <si>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</si>
  <si>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</si>
  <si>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</si>
  <si>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</si>
  <si>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</si>
  <si>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</si>
  <si>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</si>
  <si>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</si>
  <si>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</si>
  <si>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</si>
  <si>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</si>
  <si>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</si>
  <si>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</si>
  <si>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</si>
  <si>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</si>
  <si>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</si>
  <si>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</si>
  <si>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</si>
  <si>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</si>
  <si>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</si>
  <si>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</si>
  <si>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</si>
  <si>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</si>
  <si>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</si>
  <si>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</si>
  <si>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</si>
  <si>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</si>
  <si>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</si>
  <si>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</si>
  <si>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</si>
  <si>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</si>
  <si>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</si>
  <si>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</si>
  <si>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</si>
  <si>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</si>
  <si>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</si>
  <si>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</si>
  <si>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</si>
  <si>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</si>
  <si>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</si>
  <si>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</si>
  <si>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</si>
  <si>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</si>
  <si>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</si>
  <si>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</si>
  <si>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</si>
  <si>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</si>
  <si>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</si>
  <si>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</si>
  <si>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</si>
  <si>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</si>
  <si>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</si>
  <si>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</si>
  <si>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</si>
  <si>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</si>
  <si>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</si>
  <si>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</si>
  <si>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</si>
  <si>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</si>
  <si>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</si>
  <si>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</si>
  <si>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</si>
  <si>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</si>
  <si>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</si>
  <si>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</si>
  <si>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</si>
  <si>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</si>
  <si>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</si>
  <si>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</si>
  <si>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</si>
  <si>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</si>
  <si>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</si>
  <si>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</si>
  <si>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</si>
  <si>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</si>
  <si>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</si>
  <si>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</si>
  <si>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</si>
  <si>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</si>
  <si>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</si>
  <si>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</si>
  <si>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</si>
  <si>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</si>
  <si>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</si>
  <si>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</si>
  <si>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</si>
  <si>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</si>
  <si>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</si>
  <si>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</si>
  <si>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</si>
  <si>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</si>
  <si>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</si>
  <si>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</si>
  <si>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</si>
  <si>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</si>
  <si>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</si>
  <si>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</si>
  <si>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</si>
  <si>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</si>
  <si>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</si>
  <si>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</si>
  <si>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</si>
  <si>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</si>
  <si>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</si>
  <si>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</si>
  <si>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</si>
  <si>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</si>
  <si>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</si>
  <si>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</si>
  <si>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</si>
  <si>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</si>
  <si>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</si>
  <si>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</si>
  <si>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</si>
  <si>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</si>
  <si>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</si>
  <si>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</si>
  <si>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</si>
  <si>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</si>
  <si>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</si>
  <si>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</si>
  <si>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</si>
  <si>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</si>
  <si>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</si>
  <si>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</si>
  <si>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</si>
  <si>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</si>
  <si>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</si>
  <si>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</si>
  <si>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</si>
  <si>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</si>
  <si>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</si>
  <si>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</si>
  <si>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</si>
  <si>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</si>
  <si>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</si>
  <si>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</si>
  <si>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</si>
  <si>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</si>
  <si>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</si>
  <si>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</si>
  <si>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</si>
  <si>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</si>
  <si>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</si>
  <si>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</si>
  <si>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</si>
  <si>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</si>
  <si>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</si>
  <si>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</si>
  <si>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</si>
  <si>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</si>
  <si>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</si>
  <si>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</si>
  <si>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</si>
  <si>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</si>
  <si>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</si>
  <si>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</si>
  <si>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</si>
  <si>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</si>
  <si>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</si>
  <si>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</si>
  <si>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</si>
  <si>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</si>
  <si>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</si>
  <si>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</si>
  <si>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</si>
  <si>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</si>
  <si>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</si>
  <si>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</si>
  <si>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</si>
  <si>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</si>
  <si>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</si>
  <si>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</si>
  <si>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</si>
  <si>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</si>
  <si>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</si>
  <si>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</si>
  <si>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</si>
  <si>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</si>
  <si>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</si>
  <si>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</si>
  <si>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</si>
  <si>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</si>
  <si>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</si>
  <si>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</si>
  <si>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</si>
  <si>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</si>
  <si>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</si>
  <si>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</si>
  <si>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</si>
  <si>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</si>
  <si>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</si>
  <si>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</si>
  <si>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</si>
  <si>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</si>
  <si>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</si>
  <si>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</si>
  <si>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</si>
  <si>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</si>
  <si>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</si>
  <si>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</si>
  <si>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</si>
  <si>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</si>
  <si>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</si>
  <si>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</si>
  <si>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</si>
  <si>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</si>
  <si>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</si>
  <si>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</si>
  <si>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</si>
  <si>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</si>
  <si>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</si>
  <si>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</si>
  <si>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</si>
  <si>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</si>
  <si>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</si>
  <si>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</si>
  <si>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</si>
  <si>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</si>
  <si>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</si>
  <si>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</si>
  <si>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</si>
  <si>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</si>
  <si>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</si>
  <si>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</si>
  <si>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</si>
  <si>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</si>
  <si>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</si>
  <si>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</si>
  <si>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</si>
  <si>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</si>
  <si>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</si>
  <si>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</si>
  <si>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</si>
  <si>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</si>
  <si>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</si>
  <si>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</si>
  <si>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</si>
  <si>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</si>
  <si>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</si>
  <si>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</si>
  <si>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</si>
  <si>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</si>
  <si>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</si>
  <si>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</si>
  <si>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</si>
  <si>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</si>
  <si>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</si>
  <si>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</si>
  <si>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</si>
  <si>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</si>
  <si>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</si>
  <si>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</si>
  <si>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</si>
  <si>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</si>
  <si>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</si>
  <si>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</si>
  <si>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</si>
  <si>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</si>
  <si>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</si>
  <si>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</si>
  <si>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</si>
  <si>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</si>
  <si>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</si>
  <si>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</si>
  <si>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</si>
  <si>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</si>
  <si>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</si>
  <si>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</si>
  <si>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</si>
  <si>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</si>
  <si>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</si>
  <si>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</si>
  <si>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</si>
  <si>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</si>
  <si>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</si>
  <si>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</si>
  <si>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</si>
  <si>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</si>
  <si>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</si>
  <si>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</si>
  <si>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</si>
  <si>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</si>
  <si>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</si>
  <si>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</si>
  <si>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</si>
  <si>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</si>
  <si>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</si>
  <si>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</si>
  <si>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</si>
  <si>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</si>
  <si>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</si>
  <si>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</si>
  <si>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</si>
  <si>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</si>
  <si>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</si>
  <si>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</si>
  <si>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</si>
  <si>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</si>
  <si>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</si>
  <si>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</si>
  <si>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</si>
  <si>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</si>
  <si>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</si>
  <si>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</si>
  <si>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</si>
  <si>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</si>
  <si>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</si>
  <si>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</si>
  <si>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</si>
  <si>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</si>
  <si>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</si>
  <si>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</si>
  <si>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</si>
  <si>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</si>
  <si>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</si>
  <si>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</si>
  <si>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</si>
  <si>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</si>
  <si>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</si>
  <si>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</si>
  <si>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</si>
  <si>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</si>
  <si>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</si>
  <si>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</si>
  <si>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</si>
  <si>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</si>
  <si>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</si>
  <si>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</si>
  <si>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</si>
  <si>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</si>
  <si>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</si>
  <si>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</si>
  <si>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</si>
  <si>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</si>
  <si>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</si>
  <si>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</si>
  <si>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</si>
  <si>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</si>
  <si>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</si>
  <si>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</si>
  <si>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</si>
  <si>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</si>
  <si>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</si>
  <si>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</si>
  <si>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</si>
  <si>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</si>
  <si>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</si>
  <si>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</si>
  <si>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</si>
  <si>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</si>
  <si>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</si>
  <si>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</si>
  <si>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</si>
  <si>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</si>
  <si>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</si>
  <si>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</si>
  <si>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</si>
  <si>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</si>
  <si>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</si>
  <si>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</si>
  <si>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</si>
  <si>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</si>
  <si>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</si>
  <si>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</si>
  <si>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</si>
  <si>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</si>
  <si>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</si>
  <si>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</si>
  <si>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</si>
  <si>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</si>
  <si>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</si>
  <si>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</si>
  <si>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</si>
  <si>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</si>
  <si>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</si>
  <si>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</si>
  <si>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</si>
  <si>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</si>
  <si>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</si>
  <si>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</si>
  <si>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</si>
  <si>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</si>
  <si>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</si>
  <si>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</si>
  <si>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</si>
  <si>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</si>
  <si>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</si>
  <si>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</si>
  <si>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</si>
  <si>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</si>
  <si>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</si>
  <si>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</si>
  <si>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</si>
  <si>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</si>
  <si>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</si>
  <si>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</si>
  <si>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</si>
  <si>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</si>
  <si>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</si>
  <si>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</si>
  <si>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</si>
  <si>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</si>
  <si>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</si>
  <si>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</si>
  <si>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</si>
  <si>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</si>
  <si>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</si>
  <si>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</si>
  <si>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</si>
  <si>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</si>
  <si>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</si>
  <si>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</si>
  <si>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</si>
  <si>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</si>
  <si>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</si>
  <si>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</si>
  <si>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</si>
  <si>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</si>
  <si>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</si>
  <si>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</si>
  <si>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</si>
  <si>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</si>
  <si>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</si>
  <si>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</si>
  <si>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</si>
  <si>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</si>
  <si>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</si>
  <si>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</si>
  <si>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</si>
  <si>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</si>
  <si>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</si>
  <si>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</si>
  <si>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</si>
  <si>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</si>
  <si>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</si>
  <si>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</si>
  <si>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</si>
  <si>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</si>
  <si>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</si>
  <si>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</si>
  <si>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</si>
  <si>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</si>
  <si>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</si>
  <si>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</si>
  <si>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</si>
  <si>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</si>
  <si>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</si>
  <si>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</si>
  <si>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</si>
  <si>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</si>
  <si>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</si>
  <si>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</si>
  <si>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</si>
  <si>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</si>
  <si>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</si>
  <si>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</si>
  <si>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</si>
  <si>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</si>
  <si>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</si>
  <si>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</si>
  <si>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</si>
  <si>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</si>
  <si>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</si>
  <si>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</si>
  <si>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</si>
  <si>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</si>
  <si>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</si>
  <si>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</si>
  <si>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</si>
  <si>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</si>
  <si>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</si>
  <si>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</si>
  <si>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</si>
  <si>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</si>
  <si>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</si>
  <si>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</si>
  <si>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</si>
  <si>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</si>
  <si>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</si>
  <si>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</si>
  <si>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</si>
  <si>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</si>
  <si>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</si>
  <si>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</si>
  <si>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</si>
  <si>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</si>
  <si>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</si>
  <si>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</si>
  <si>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</si>
  <si>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</si>
  <si>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</si>
  <si>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</si>
  <si>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</si>
  <si>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</si>
  <si>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</si>
  <si>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</si>
  <si>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</si>
  <si>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</si>
  <si>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</si>
  <si>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</si>
  <si>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</si>
  <si>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</si>
  <si>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</si>
  <si>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</si>
  <si>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</si>
  <si>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</si>
  <si>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</si>
  <si>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</si>
  <si>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</si>
  <si>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</si>
  <si>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</si>
  <si>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</si>
  <si>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</si>
  <si>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</si>
  <si>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</si>
  <si>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</si>
  <si>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</si>
  <si>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</si>
  <si>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</si>
  <si>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</si>
  <si>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</si>
  <si>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</si>
  <si>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</si>
  <si>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</si>
  <si>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</si>
  <si>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</si>
  <si>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</si>
  <si>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</si>
  <si>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</si>
  <si>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</si>
  <si>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</si>
  <si>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</si>
  <si>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</si>
  <si>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</si>
  <si>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</si>
  <si>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</si>
  <si>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</si>
  <si>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</si>
  <si>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</si>
  <si>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</si>
  <si>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</si>
  <si>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</si>
  <si>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</si>
  <si>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</si>
  <si>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</si>
  <si>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</si>
  <si>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</si>
  <si>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</si>
  <si>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</si>
  <si>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</si>
  <si>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</si>
  <si>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</si>
  <si>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</si>
  <si>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</si>
  <si>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</si>
  <si>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</si>
  <si>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</si>
  <si>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</si>
  <si>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</si>
  <si>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</si>
  <si>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</si>
  <si>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</si>
  <si>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</si>
  <si>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</si>
  <si>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</si>
  <si>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</si>
  <si>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</si>
  <si>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</si>
  <si>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</si>
  <si>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</si>
  <si>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</si>
  <si>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</si>
  <si>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</si>
  <si>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</si>
  <si>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</si>
  <si>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</si>
  <si>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</si>
  <si>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</si>
  <si>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</si>
  <si>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</si>
  <si>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</si>
  <si>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</si>
  <si>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</si>
  <si>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</si>
  <si>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</si>
  <si>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</si>
  <si>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</si>
  <si>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</si>
  <si>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</si>
  <si>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</si>
  <si>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</si>
  <si>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</si>
  <si>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</si>
  <si>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</si>
  <si>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</si>
  <si>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</si>
  <si>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</si>
  <si>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</si>
  <si>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</si>
  <si>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</si>
  <si>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</si>
  <si>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</si>
  <si>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</si>
  <si>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</si>
  <si>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</si>
  <si>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</si>
  <si>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</si>
  <si>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</si>
  <si>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</si>
  <si>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</si>
  <si>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</si>
  <si>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</si>
  <si>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</si>
  <si>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</si>
  <si>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</si>
  <si>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</si>
  <si>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</si>
  <si>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</si>
  <si>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</si>
  <si>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</si>
  <si>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</si>
  <si>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</si>
  <si>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</si>
  <si>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</si>
  <si>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</si>
  <si>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</si>
  <si>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</si>
  <si>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</si>
  <si>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</si>
  <si>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</si>
  <si>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</si>
  <si>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</si>
  <si>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</si>
  <si>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</si>
  <si>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</si>
  <si>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</si>
  <si>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</si>
  <si>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</si>
  <si>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</si>
  <si>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</si>
  <si>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</si>
  <si>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</si>
  <si>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</si>
  <si>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</si>
  <si>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</si>
  <si>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</si>
  <si>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</si>
  <si>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</si>
  <si>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</si>
  <si>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</si>
  <si>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</si>
  <si>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</si>
  <si>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</si>
  <si>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</si>
  <si>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</si>
  <si>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</si>
  <si>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</si>
  <si>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</si>
  <si>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</si>
  <si>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</si>
  <si>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</si>
  <si>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</si>
  <si>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</si>
  <si>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</si>
  <si>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</si>
  <si>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</si>
  <si>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</si>
  <si>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</si>
  <si>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</si>
  <si>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</si>
  <si>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</si>
  <si>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</si>
  <si>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</si>
  <si>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</si>
  <si>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</si>
  <si>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</si>
  <si>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</si>
  <si>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</si>
  <si>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</si>
  <si>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</si>
  <si>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</si>
  <si>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</si>
  <si>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</si>
  <si>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</si>
  <si>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</si>
  <si>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</si>
  <si>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</si>
  <si>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</si>
  <si>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</si>
  <si>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</si>
  <si>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</si>
  <si>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</si>
  <si>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</si>
  <si>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</si>
  <si>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</si>
  <si>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</si>
  <si>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</si>
  <si>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</si>
  <si>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</si>
  <si>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</si>
  <si>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</si>
  <si>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</si>
  <si>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</si>
  <si>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</si>
  <si>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</si>
  <si>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</si>
  <si>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</si>
  <si>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</si>
  <si>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</si>
  <si>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</si>
  <si>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</si>
  <si>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</si>
  <si>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</si>
  <si>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</si>
  <si>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</si>
  <si>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</si>
  <si>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</si>
  <si>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</si>
  <si>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</si>
  <si>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</si>
  <si>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</si>
  <si>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</si>
  <si>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</si>
  <si>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</si>
  <si>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</si>
  <si>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</si>
  <si>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</si>
  <si>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</si>
  <si>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</si>
  <si>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</si>
  <si>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</si>
  <si>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</si>
  <si>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</si>
  <si>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</si>
  <si>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</si>
  <si>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</si>
  <si>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</si>
  <si>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</si>
  <si>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</si>
  <si>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</si>
  <si>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</si>
  <si>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</si>
  <si>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</si>
  <si>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</si>
  <si>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</si>
  <si>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</si>
  <si>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</si>
  <si>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</si>
  <si>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</si>
  <si>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</si>
  <si>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</si>
  <si>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</si>
  <si>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</si>
  <si>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</si>
  <si>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</si>
  <si>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</si>
  <si>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</si>
  <si>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</si>
  <si>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</si>
  <si>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</si>
  <si>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</si>
  <si>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</si>
  <si>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</si>
  <si>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</si>
  <si>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</si>
  <si>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</si>
  <si>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</si>
  <si>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</si>
  <si>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</si>
  <si>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</si>
  <si>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</si>
  <si>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</si>
  <si>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</si>
  <si>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</si>
  <si>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</si>
  <si>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</si>
  <si>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</si>
  <si>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</si>
  <si>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</si>
  <si>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</si>
  <si>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</si>
  <si>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</si>
  <si>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</si>
  <si>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</si>
  <si>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</si>
  <si>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</si>
  <si>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</si>
  <si>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</si>
  <si>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</si>
  <si>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</si>
  <si>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</si>
  <si>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</si>
  <si>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</si>
  <si>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</si>
  <si>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</si>
  <si>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</si>
  <si>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</si>
  <si>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</si>
  <si>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</si>
  <si>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</si>
  <si>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</si>
  <si>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</si>
  <si>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</si>
  <si>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</si>
  <si>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</si>
  <si>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</si>
  <si>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</si>
  <si>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</si>
  <si>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</si>
  <si>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</si>
  <si>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</si>
  <si>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</si>
  <si>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</si>
  <si>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</si>
  <si>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</si>
  <si>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</si>
  <si>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</si>
  <si>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</si>
  <si>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</si>
  <si>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</si>
  <si>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</si>
  <si>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</si>
  <si>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</si>
  <si>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</si>
  <si>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</si>
  <si>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</si>
  <si>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</si>
  <si>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</si>
  <si>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</si>
  <si>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</si>
  <si>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</si>
  <si>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</si>
  <si>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</si>
  <si>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</si>
  <si>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</si>
  <si>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</si>
  <si>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</si>
  <si>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</si>
  <si>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</si>
  <si>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</si>
  <si>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</si>
  <si>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</si>
  <si>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</si>
  <si>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</si>
  <si>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</si>
  <si>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</si>
  <si>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</si>
  <si>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</si>
  <si>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</si>
  <si>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</si>
  <si>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</si>
  <si>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</si>
  <si>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</si>
  <si>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</si>
  <si>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</si>
  <si>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</si>
  <si>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</si>
  <si>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</si>
  <si>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</si>
  <si>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</si>
  <si>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</si>
  <si>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</si>
  <si>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</si>
  <si>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</si>
  <si>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</si>
  <si>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</si>
  <si>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</si>
  <si>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</si>
  <si>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</si>
  <si>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</si>
  <si>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</si>
  <si>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</si>
  <si>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</si>
  <si>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</si>
  <si>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</si>
  <si>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</si>
  <si>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</si>
  <si>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</si>
  <si>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</si>
  <si>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</si>
  <si>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</si>
  <si>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</si>
  <si>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</si>
  <si>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</si>
  <si>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</si>
  <si>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</si>
  <si>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</si>
  <si>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</si>
  <si>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</si>
  <si>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</si>
  <si>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</si>
  <si>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</si>
  <si>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</si>
  <si>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</si>
  <si>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</si>
  <si>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</si>
  <si>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</si>
  <si>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</si>
  <si>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Sub_Category</t>
  </si>
  <si>
    <t>Brand</t>
  </si>
  <si>
    <t>Cost</t>
  </si>
  <si>
    <t>PROD0</t>
  </si>
  <si>
    <t>Hunt Inc</t>
  </si>
  <si>
    <t>PROD1</t>
  </si>
  <si>
    <t>Terry-Moore</t>
  </si>
  <si>
    <t>PROD2</t>
  </si>
  <si>
    <t>Sims Inc</t>
  </si>
  <si>
    <t>PROD3</t>
  </si>
  <si>
    <t>Pineda Ltd</t>
  </si>
  <si>
    <t>PROD4</t>
  </si>
  <si>
    <t>Gonzales-Davis</t>
  </si>
  <si>
    <t>PROD5</t>
  </si>
  <si>
    <t>Baldwin, Garza and Gonzalez</t>
  </si>
  <si>
    <t>PROD6</t>
  </si>
  <si>
    <t>Davidson PLC</t>
  </si>
  <si>
    <t>PROD7</t>
  </si>
  <si>
    <t>Harrell LLC</t>
  </si>
  <si>
    <t>PROD8</t>
  </si>
  <si>
    <t>Perez-Johnston</t>
  </si>
  <si>
    <t>PROD9</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</si>
  <si>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</si>
  <si>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</si>
  <si>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</si>
  <si>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</si>
  <si>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</si>
  <si>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</si>
  <si>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</si>
  <si>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</si>
  <si>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</si>
  <si>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</si>
  <si>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</si>
  <si>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</si>
  <si>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</si>
  <si>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</si>
  <si>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</si>
  <si>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</si>
  <si>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</si>
  <si>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</si>
  <si>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</si>
  <si>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</si>
  <si>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</si>
  <si>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</si>
  <si>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</si>
  <si>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</si>
  <si>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</si>
  <si>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</si>
  <si>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</si>
  <si>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</si>
  <si>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</si>
  <si>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</si>
  <si>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</si>
  <si>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</si>
  <si>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</si>
  <si>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</si>
  <si>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</si>
  <si>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</si>
  <si>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</si>
  <si>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</si>
  <si>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</si>
  <si>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</si>
  <si>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</si>
  <si>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</si>
  <si>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</si>
  <si>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</si>
  <si>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</si>
  <si>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</si>
  <si>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</si>
  <si>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</si>
  <si>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</si>
  <si>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</si>
  <si>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</si>
  <si>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</si>
  <si>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</si>
  <si>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</si>
  <si>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</si>
  <si>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</si>
  <si>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</si>
  <si>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</si>
  <si>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</si>
  <si>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</si>
  <si>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</si>
  <si>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</si>
  <si>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</si>
  <si>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</si>
  <si>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</si>
  <si>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</si>
  <si>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</si>
  <si>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</si>
  <si>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</si>
  <si>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</si>
  <si>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</si>
  <si>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</si>
  <si>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</si>
  <si>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</si>
  <si>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</si>
  <si>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</si>
  <si>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</si>
  <si>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</si>
  <si>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</si>
  <si>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</si>
  <si>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</si>
  <si>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</si>
  <si>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</si>
  <si>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</si>
  <si>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</si>
  <si>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</si>
  <si>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</si>
  <si>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</si>
  <si>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</si>
  <si>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</si>
  <si>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</si>
  <si>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</si>
  <si>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</si>
  <si>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</si>
  <si>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</si>
  <si>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</si>
  <si>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</si>
  <si>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</si>
  <si>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</si>
  <si>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</si>
  <si>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</si>
  <si>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</si>
  <si>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</si>
  <si>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</si>
  <si>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</si>
  <si>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</si>
  <si>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</si>
  <si>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</si>
  <si>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</si>
  <si>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</si>
  <si>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</si>
  <si>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</si>
  <si>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</si>
  <si>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</si>
  <si>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</si>
  <si>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</si>
  <si>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</si>
  <si>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</si>
  <si>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</si>
  <si>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</si>
  <si>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</si>
  <si>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</si>
  <si>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</si>
  <si>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</si>
  <si>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</si>
  <si>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</si>
  <si>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</si>
  <si>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</si>
  <si>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</si>
  <si>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</si>
  <si>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</si>
  <si>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</si>
  <si>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</si>
  <si>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</si>
  <si>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</si>
  <si>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</si>
  <si>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</si>
  <si>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</si>
  <si>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</si>
  <si>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</si>
  <si>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</si>
  <si>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</si>
  <si>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</si>
  <si>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</si>
  <si>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</si>
  <si>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</si>
  <si>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</si>
  <si>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</si>
  <si>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</si>
  <si>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</si>
  <si>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</si>
  <si>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</si>
  <si>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</si>
  <si>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</si>
  <si>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</si>
  <si>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</si>
  <si>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</si>
  <si>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</si>
  <si>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</si>
  <si>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</si>
  <si>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</si>
  <si>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</si>
  <si>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</si>
  <si>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</si>
  <si>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</si>
  <si>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</si>
  <si>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</si>
  <si>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</si>
  <si>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</si>
  <si>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</si>
  <si>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</si>
  <si>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</si>
  <si>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</si>
  <si>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</si>
  <si>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</si>
  <si>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</si>
  <si>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</si>
  <si>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</si>
  <si>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</si>
  <si>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</si>
  <si>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</si>
  <si>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</si>
  <si>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Store_Type</t>
  </si>
  <si>
    <t>STORE0</t>
  </si>
  <si>
    <t>Washingtonfurt</t>
  </si>
  <si>
    <t>Flagship</t>
  </si>
  <si>
    <t>STORE1</t>
  </si>
  <si>
    <t>Danielmouth</t>
  </si>
  <si>
    <t>STORE2</t>
  </si>
  <si>
    <t>North Nancyview</t>
  </si>
  <si>
    <t>Outlet</t>
  </si>
  <si>
    <t>STORE3</t>
  </si>
  <si>
    <t>Hoodberg</t>
  </si>
  <si>
    <t>STORE4</t>
  </si>
  <si>
    <t>Port Sharon</t>
  </si>
  <si>
    <t>Online</t>
  </si>
  <si>
    <t>STORE5</t>
  </si>
  <si>
    <t>New Michaelchester</t>
  </si>
  <si>
    <t>STORE6</t>
  </si>
  <si>
    <t>Port Josephberg</t>
  </si>
  <si>
    <t>STORE7</t>
  </si>
  <si>
    <t>Williamsfurt</t>
  </si>
  <si>
    <t>STORE8</t>
  </si>
  <si>
    <t>Thompsonborough</t>
  </si>
  <si>
    <t>STORE9</t>
  </si>
  <si>
    <t>East Johnstad</t>
  </si>
  <si>
    <t>STORE10</t>
  </si>
  <si>
    <t>East Davidville</t>
  </si>
  <si>
    <t>STORE11</t>
  </si>
  <si>
    <t>STORE12</t>
  </si>
  <si>
    <t>Sabrinatown</t>
  </si>
  <si>
    <t>STORE13</t>
  </si>
  <si>
    <t>STORE14</t>
  </si>
  <si>
    <t>STORE15</t>
  </si>
  <si>
    <t>East Jenniferstad</t>
  </si>
  <si>
    <t>STORE16</t>
  </si>
  <si>
    <t>New Jimmymouth</t>
  </si>
  <si>
    <t>STORE17</t>
  </si>
  <si>
    <t>Bensonhaven</t>
  </si>
  <si>
    <t>STORE18</t>
  </si>
  <si>
    <t>East Stevechester</t>
  </si>
  <si>
    <t>STORE19</t>
  </si>
  <si>
    <t>Vasquezborough</t>
  </si>
  <si>
    <t>Sales_ID</t>
  </si>
  <si>
    <t>Order_Date</t>
  </si>
  <si>
    <t>Quantity</t>
  </si>
  <si>
    <t>Unit_Price</t>
  </si>
  <si>
    <t>Discount</t>
  </si>
  <si>
    <t>Payment_Type</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</si>
  <si>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</si>
  <si>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</si>
  <si>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</si>
  <si>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</si>
  <si>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</si>
  <si>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</si>
  <si>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</si>
  <si>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</si>
  <si>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</si>
  <si>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</si>
  <si>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</si>
  <si>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</si>
  <si>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</si>
  <si>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</si>
  <si>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</si>
  <si>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</si>
  <si>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</si>
  <si>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</si>
  <si>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</si>
  <si>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</si>
  <si>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</si>
  <si>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</si>
  <si>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</si>
  <si>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</si>
  <si>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</si>
  <si>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</si>
  <si>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</si>
  <si>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</si>
  <si>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</si>
  <si>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</si>
  <si>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</si>
  <si>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</si>
  <si>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</si>
  <si>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</si>
  <si>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</si>
  <si>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</si>
  <si>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</si>
  <si>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</si>
  <si>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</si>
  <si>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</si>
  <si>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</si>
  <si>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</si>
  <si>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</si>
  <si>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</si>
  <si>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</si>
  <si>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</si>
  <si>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</si>
  <si>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</si>
  <si>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</si>
  <si>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</si>
  <si>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</si>
  <si>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</si>
  <si>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</si>
  <si>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</si>
  <si>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</si>
  <si>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</si>
  <si>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</si>
  <si>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</si>
  <si>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</si>
  <si>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</si>
  <si>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</si>
  <si>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</si>
  <si>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</si>
  <si>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</si>
  <si>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</si>
  <si>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</si>
  <si>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</si>
  <si>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</si>
  <si>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</si>
  <si>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</si>
  <si>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</si>
  <si>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</si>
  <si>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</si>
  <si>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</si>
  <si>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</si>
  <si>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</si>
  <si>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</si>
  <si>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</si>
  <si>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</si>
  <si>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</si>
  <si>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</si>
  <si>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</si>
  <si>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</si>
  <si>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</si>
  <si>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</si>
  <si>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</si>
  <si>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</si>
  <si>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</si>
  <si>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</si>
  <si>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</si>
  <si>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</si>
  <si>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</si>
  <si>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</si>
  <si>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</si>
  <si>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</si>
  <si>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</si>
  <si>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</si>
  <si>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</si>
  <si>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</si>
  <si>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</si>
  <si>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</si>
  <si>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</si>
  <si>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</si>
  <si>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</si>
  <si>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</si>
  <si>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</si>
  <si>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</si>
  <si>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</si>
  <si>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</si>
  <si>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</si>
  <si>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</si>
  <si>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</si>
  <si>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</si>
  <si>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</si>
  <si>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</si>
  <si>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</si>
  <si>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</si>
  <si>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</si>
  <si>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</si>
  <si>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</si>
  <si>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</si>
  <si>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</si>
  <si>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</si>
  <si>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</si>
  <si>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</si>
  <si>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</si>
  <si>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</si>
  <si>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</si>
  <si>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</si>
  <si>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</si>
  <si>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</si>
  <si>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</si>
  <si>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</si>
  <si>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</si>
  <si>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</si>
  <si>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</si>
  <si>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</si>
  <si>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</si>
  <si>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</si>
  <si>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</si>
  <si>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</si>
  <si>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</si>
  <si>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</si>
  <si>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</si>
  <si>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</si>
  <si>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</si>
  <si>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</si>
  <si>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</si>
  <si>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</si>
  <si>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</si>
  <si>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</si>
  <si>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</si>
  <si>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</si>
  <si>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</si>
  <si>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</si>
  <si>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</si>
  <si>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</si>
  <si>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</si>
  <si>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</si>
  <si>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</si>
  <si>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</si>
  <si>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</si>
  <si>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</si>
  <si>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</si>
  <si>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</si>
  <si>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</si>
  <si>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</si>
  <si>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</si>
  <si>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</si>
  <si>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</si>
  <si>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</si>
  <si>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</si>
  <si>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</si>
  <si>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</si>
  <si>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</si>
  <si>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</si>
  <si>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</si>
  <si>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</si>
  <si>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</si>
  <si>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</si>
  <si>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</si>
  <si>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</si>
  <si>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</si>
  <si>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</si>
  <si>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</si>
  <si>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</si>
  <si>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</si>
  <si>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</si>
  <si>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</si>
  <si>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</si>
  <si>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</si>
  <si>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</si>
  <si>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</si>
  <si>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</si>
  <si>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</si>
  <si>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</si>
  <si>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</si>
  <si>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</si>
  <si>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</si>
  <si>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</si>
  <si>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</si>
  <si>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</si>
  <si>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</si>
  <si>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</si>
  <si>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</si>
  <si>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</si>
  <si>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</si>
  <si>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</si>
  <si>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</si>
  <si>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</si>
  <si>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</si>
  <si>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</si>
  <si>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</si>
  <si>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</si>
  <si>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</si>
  <si>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</si>
  <si>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</si>
  <si>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</si>
  <si>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</si>
  <si>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</si>
  <si>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</si>
  <si>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</si>
  <si>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</si>
  <si>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</si>
  <si>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</si>
  <si>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</si>
  <si>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</si>
  <si>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</si>
  <si>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</si>
  <si>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</si>
  <si>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</si>
  <si>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</si>
  <si>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</si>
  <si>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</si>
  <si>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</si>
  <si>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</si>
  <si>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</si>
  <si>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</si>
  <si>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</si>
  <si>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</si>
  <si>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</si>
  <si>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</si>
  <si>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</si>
  <si>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</si>
  <si>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</si>
  <si>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</si>
  <si>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</si>
  <si>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</si>
  <si>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</si>
  <si>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</si>
  <si>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</si>
  <si>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</si>
  <si>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</si>
  <si>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</si>
  <si>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</si>
  <si>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</si>
  <si>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</si>
  <si>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</si>
  <si>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</si>
  <si>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</si>
  <si>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</si>
  <si>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</si>
  <si>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</si>
  <si>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</si>
  <si>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</si>
  <si>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</si>
  <si>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</si>
  <si>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</si>
  <si>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</si>
  <si>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</si>
  <si>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</si>
  <si>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</si>
  <si>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</si>
  <si>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</si>
  <si>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</si>
  <si>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</si>
  <si>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</si>
  <si>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</si>
  <si>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</si>
  <si>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</si>
  <si>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</si>
  <si>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</si>
  <si>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</si>
  <si>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</si>
  <si>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</si>
  <si>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</si>
  <si>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</si>
  <si>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</si>
  <si>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</si>
  <si>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</si>
  <si>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</si>
  <si>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</si>
  <si>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</si>
  <si>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</si>
  <si>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</si>
  <si>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</si>
  <si>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</si>
  <si>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</si>
  <si>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</si>
  <si>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</si>
  <si>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</si>
  <si>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</si>
  <si>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</si>
  <si>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</si>
  <si>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</si>
  <si>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</si>
  <si>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</si>
  <si>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</si>
  <si>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</si>
  <si>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</si>
  <si>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</si>
  <si>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</si>
  <si>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</si>
  <si>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</si>
  <si>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</si>
  <si>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</si>
  <si>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</si>
  <si>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</si>
  <si>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</si>
  <si>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</si>
  <si>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</si>
  <si>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</si>
  <si>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</si>
  <si>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</si>
  <si>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</si>
  <si>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</si>
  <si>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</si>
  <si>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</si>
  <si>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</si>
  <si>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</si>
  <si>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</si>
  <si>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</si>
  <si>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</si>
  <si>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</si>
  <si>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</si>
  <si>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</si>
  <si>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</si>
  <si>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</si>
  <si>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</si>
  <si>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</si>
  <si>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</si>
  <si>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</si>
  <si>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</si>
  <si>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</si>
  <si>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</si>
  <si>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</si>
  <si>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</si>
  <si>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</si>
  <si>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</si>
  <si>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</si>
  <si>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</si>
  <si>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</si>
  <si>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</si>
  <si>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</si>
  <si>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</si>
  <si>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</si>
  <si>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</si>
  <si>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</si>
  <si>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</si>
  <si>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</si>
  <si>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</si>
  <si>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</si>
  <si>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</si>
  <si>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</si>
  <si>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</si>
  <si>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</si>
  <si>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</si>
  <si>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</si>
  <si>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</si>
  <si>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</si>
  <si>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</si>
  <si>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</si>
  <si>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</si>
  <si>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</si>
  <si>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</si>
  <si>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</si>
  <si>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</si>
  <si>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</si>
  <si>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</si>
  <si>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</si>
  <si>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</si>
  <si>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</si>
  <si>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</si>
  <si>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</si>
  <si>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</si>
  <si>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</si>
  <si>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</si>
  <si>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</si>
  <si>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</si>
  <si>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</si>
  <si>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</si>
  <si>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</si>
  <si>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</si>
  <si>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</si>
  <si>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</si>
  <si>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</si>
  <si>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</si>
  <si>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</si>
  <si>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</si>
  <si>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</si>
  <si>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</si>
  <si>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</si>
  <si>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</si>
  <si>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</si>
  <si>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</si>
  <si>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</si>
  <si>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</si>
  <si>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</si>
  <si>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</si>
  <si>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</si>
  <si>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</si>
  <si>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</si>
  <si>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</si>
  <si>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</si>
  <si>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</si>
  <si>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</si>
  <si>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</si>
  <si>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</si>
  <si>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</si>
  <si>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</si>
  <si>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</si>
  <si>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</si>
  <si>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</si>
  <si>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</si>
  <si>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</si>
  <si>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</si>
  <si>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</si>
  <si>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</si>
  <si>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</si>
  <si>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</si>
  <si>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</si>
  <si>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</si>
  <si>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</si>
  <si>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</si>
  <si>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</si>
  <si>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</si>
  <si>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</si>
  <si>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</si>
  <si>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</si>
  <si>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</si>
  <si>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</si>
  <si>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</si>
  <si>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</si>
  <si>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</si>
  <si>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</si>
  <si>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</si>
  <si>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</si>
  <si>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</si>
  <si>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</si>
  <si>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</si>
  <si>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</si>
  <si>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</si>
  <si>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</si>
  <si>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</si>
  <si>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</si>
  <si>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</si>
  <si>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</si>
  <si>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</si>
  <si>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</si>
  <si>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</si>
  <si>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</si>
  <si>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</si>
  <si>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</si>
  <si>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</si>
  <si>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</si>
  <si>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</si>
  <si>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</si>
  <si>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</si>
  <si>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</si>
  <si>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</si>
  <si>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</si>
  <si>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</si>
  <si>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</si>
  <si>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</si>
  <si>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</si>
  <si>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</si>
  <si>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</si>
  <si>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</si>
  <si>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</si>
  <si>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</si>
  <si>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</si>
  <si>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</si>
  <si>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</si>
  <si>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</si>
  <si>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</si>
  <si>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</si>
  <si>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</si>
  <si>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</si>
  <si>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</si>
  <si>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</si>
  <si>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</si>
  <si>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</si>
  <si>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</si>
  <si>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</si>
  <si>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</si>
  <si>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</si>
  <si>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</si>
  <si>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</si>
  <si>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</si>
  <si>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</si>
  <si>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</si>
  <si>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</si>
  <si>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</si>
  <si>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</si>
  <si>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</si>
  <si>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</si>
  <si>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</si>
  <si>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</si>
  <si>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</si>
  <si>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</si>
  <si>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</si>
  <si>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</si>
  <si>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</si>
  <si>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</si>
  <si>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</si>
  <si>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</si>
  <si>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</si>
  <si>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</si>
  <si>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</si>
  <si>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</si>
  <si>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</si>
  <si>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</si>
  <si>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</si>
  <si>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</si>
  <si>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</si>
  <si>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</si>
  <si>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</si>
  <si>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</si>
  <si>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</si>
  <si>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</si>
  <si>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</si>
  <si>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</si>
  <si>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</si>
  <si>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</si>
  <si>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</si>
  <si>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</si>
  <si>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</si>
  <si>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</si>
  <si>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</si>
  <si>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</si>
  <si>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</si>
  <si>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</si>
  <si>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</si>
  <si>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</si>
  <si>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</si>
  <si>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</si>
  <si>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</si>
  <si>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</si>
  <si>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</si>
  <si>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</si>
  <si>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</si>
  <si>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</si>
  <si>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</si>
  <si>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</si>
  <si>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</si>
  <si>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</si>
  <si>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</si>
  <si>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</si>
  <si>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</si>
  <si>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</si>
  <si>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</si>
  <si>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</si>
  <si>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</si>
  <si>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</si>
  <si>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</si>
  <si>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</si>
  <si>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</si>
  <si>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</si>
  <si>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</si>
  <si>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</si>
  <si>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</si>
  <si>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</si>
  <si>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</si>
  <si>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</si>
  <si>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</si>
  <si>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</si>
  <si>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</si>
  <si>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</si>
  <si>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</si>
  <si>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</si>
  <si>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</si>
  <si>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</si>
  <si>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</si>
  <si>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</si>
  <si>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</si>
  <si>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</si>
  <si>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</si>
  <si>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</si>
  <si>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</si>
  <si>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</si>
  <si>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</si>
  <si>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</si>
  <si>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</si>
  <si>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</si>
  <si>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</si>
  <si>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</si>
  <si>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</si>
  <si>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</si>
  <si>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</si>
  <si>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</si>
  <si>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</si>
  <si>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</si>
  <si>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</si>
  <si>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</si>
  <si>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</si>
  <si>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</si>
  <si>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</si>
  <si>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</si>
  <si>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</si>
  <si>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</si>
  <si>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</si>
  <si>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</si>
  <si>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</si>
  <si>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</si>
  <si>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</si>
  <si>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</si>
  <si>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</si>
  <si>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</si>
  <si>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</si>
  <si>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</si>
  <si>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</si>
  <si>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</si>
  <si>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</si>
  <si>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</si>
  <si>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</si>
  <si>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</si>
  <si>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</si>
  <si>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</si>
  <si>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</si>
  <si>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</si>
  <si>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</si>
  <si>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</si>
  <si>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</si>
  <si>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</si>
  <si>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</si>
  <si>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</si>
  <si>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</si>
  <si>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</si>
  <si>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</si>
  <si>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</si>
  <si>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</si>
  <si>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</si>
  <si>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</si>
  <si>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</si>
  <si>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</si>
  <si>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</si>
  <si>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</si>
  <si>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</si>
  <si>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</si>
  <si>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</si>
  <si>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</si>
  <si>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</si>
  <si>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</si>
  <si>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</si>
  <si>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</si>
  <si>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</si>
  <si>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</si>
  <si>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</si>
  <si>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</si>
  <si>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</si>
  <si>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</si>
  <si>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</si>
  <si>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</si>
  <si>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</si>
  <si>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</si>
  <si>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</si>
  <si>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</si>
  <si>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</si>
  <si>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</si>
  <si>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</si>
  <si>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</si>
  <si>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</si>
  <si>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</si>
  <si>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</si>
  <si>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</si>
  <si>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</si>
  <si>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</si>
  <si>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</si>
  <si>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</si>
  <si>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</si>
  <si>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</si>
  <si>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</si>
  <si>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</si>
  <si>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</si>
  <si>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</si>
  <si>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</si>
  <si>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</si>
  <si>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</si>
  <si>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</si>
  <si>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</si>
  <si>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</si>
  <si>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</si>
  <si>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</si>
  <si>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</si>
  <si>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</si>
  <si>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</si>
  <si>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</si>
  <si>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</si>
  <si>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</si>
  <si>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</si>
  <si>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</si>
  <si>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</si>
  <si>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</si>
  <si>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</si>
  <si>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</si>
  <si>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</si>
  <si>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</si>
  <si>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</si>
  <si>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</si>
  <si>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</si>
  <si>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</si>
  <si>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</si>
  <si>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</si>
  <si>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</si>
  <si>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</si>
  <si>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</si>
  <si>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</si>
  <si>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</si>
  <si>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</si>
  <si>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</si>
  <si>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</si>
  <si>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</si>
  <si>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</si>
  <si>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</si>
  <si>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</si>
  <si>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</si>
  <si>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</si>
  <si>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</si>
  <si>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</si>
  <si>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</si>
  <si>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</si>
  <si>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</si>
  <si>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</si>
  <si>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</si>
  <si>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</si>
  <si>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</si>
  <si>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</si>
  <si>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</si>
  <si>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</si>
  <si>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</si>
  <si>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</si>
  <si>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</si>
  <si>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</si>
  <si>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</si>
  <si>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</si>
  <si>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</si>
  <si>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</si>
  <si>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</si>
  <si>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</si>
  <si>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</si>
  <si>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</si>
  <si>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</si>
  <si>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</si>
  <si>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</si>
  <si>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</si>
  <si>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</si>
  <si>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</si>
  <si>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</si>
  <si>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</si>
  <si>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</si>
  <si>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</si>
  <si>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</si>
  <si>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</si>
  <si>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</si>
  <si>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</si>
  <si>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</si>
  <si>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</si>
  <si>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</si>
  <si>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</si>
  <si>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</si>
  <si>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</si>
  <si>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</si>
  <si>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</si>
  <si>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</si>
  <si>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</si>
  <si>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</si>
  <si>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</si>
  <si>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</si>
  <si>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</si>
  <si>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</si>
  <si>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</si>
  <si>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</si>
  <si>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</si>
  <si>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</si>
  <si>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</si>
  <si>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</si>
  <si>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</si>
  <si>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</si>
  <si>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</si>
  <si>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</si>
  <si>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</si>
  <si>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</si>
  <si>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</si>
  <si>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</si>
  <si>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</si>
  <si>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</si>
  <si>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</si>
  <si>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</si>
  <si>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</si>
  <si>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</si>
  <si>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</si>
  <si>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</si>
  <si>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</si>
  <si>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</si>
  <si>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</si>
  <si>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</si>
  <si>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</si>
  <si>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</si>
  <si>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</si>
  <si>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</si>
  <si>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</si>
  <si>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</si>
  <si>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</si>
  <si>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</si>
  <si>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</si>
  <si>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</si>
  <si>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</si>
  <si>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</si>
  <si>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</si>
  <si>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</si>
  <si>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</si>
  <si>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</si>
  <si>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</si>
  <si>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</si>
  <si>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</si>
  <si>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</si>
  <si>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</si>
  <si>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</si>
  <si>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</si>
  <si>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</si>
  <si>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</si>
  <si>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</si>
  <si>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</si>
  <si>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</si>
  <si>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</si>
  <si>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</si>
  <si>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</si>
  <si>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</si>
  <si>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</si>
  <si>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</si>
  <si>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</si>
  <si>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</si>
  <si>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</si>
  <si>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</si>
  <si>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</si>
  <si>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</si>
  <si>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</si>
  <si>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</si>
  <si>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</si>
  <si>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</si>
  <si>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</si>
  <si>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</si>
  <si>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</si>
  <si>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</si>
  <si>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</si>
  <si>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</si>
  <si>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</si>
  <si>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</si>
  <si>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</si>
  <si>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</si>
  <si>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</si>
  <si>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</si>
  <si>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</si>
  <si>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</si>
  <si>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</si>
  <si>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</si>
  <si>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</si>
  <si>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</si>
  <si>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</si>
  <si>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</si>
  <si>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</si>
  <si>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</si>
  <si>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</si>
  <si>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</si>
  <si>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</si>
  <si>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</si>
  <si>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</si>
  <si>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</si>
  <si>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</si>
  <si>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</si>
  <si>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</si>
  <si>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</si>
  <si>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</si>
  <si>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</si>
  <si>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</si>
  <si>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</si>
  <si>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</si>
  <si>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</si>
  <si>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</si>
  <si>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</si>
  <si>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</si>
  <si>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</si>
  <si>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</si>
  <si>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</si>
  <si>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</si>
  <si>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</si>
  <si>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</si>
  <si>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</si>
  <si>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</si>
  <si>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</si>
  <si>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</si>
  <si>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</si>
  <si>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</si>
  <si>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</si>
  <si>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</si>
  <si>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</si>
  <si>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</si>
  <si>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</si>
  <si>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</si>
  <si>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</si>
  <si>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</si>
  <si>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</si>
  <si>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</si>
  <si>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</si>
  <si>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</si>
  <si>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</si>
  <si>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</si>
  <si>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</si>
  <si>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</si>
  <si>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</si>
  <si>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</si>
  <si>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</si>
  <si>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</si>
  <si>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</si>
  <si>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</si>
  <si>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</si>
  <si>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</si>
  <si>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</si>
  <si>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</si>
  <si>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</si>
  <si>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</si>
  <si>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</si>
  <si>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</si>
  <si>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</si>
  <si>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</si>
  <si>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</si>
  <si>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</si>
  <si>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</si>
  <si>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</si>
  <si>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</si>
  <si>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</si>
  <si>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</si>
  <si>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</si>
  <si>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</si>
  <si>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</si>
  <si>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</si>
  <si>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</si>
  <si>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</si>
  <si>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</si>
  <si>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</si>
  <si>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</si>
  <si>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</si>
  <si>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</si>
  <si>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</si>
  <si>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</si>
  <si>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</si>
  <si>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</si>
  <si>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</si>
  <si>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</si>
  <si>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</si>
  <si>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</si>
  <si>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</si>
  <si>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</si>
  <si>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</si>
  <si>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</si>
  <si>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</si>
  <si>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</si>
  <si>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</si>
  <si>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</si>
  <si>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</si>
  <si>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</si>
  <si>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</si>
  <si>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</si>
  <si>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</si>
  <si>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</si>
  <si>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</si>
  <si>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</si>
  <si>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</si>
  <si>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</si>
  <si>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</si>
  <si>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</si>
  <si>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</si>
  <si>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</si>
  <si>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</si>
  <si>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</si>
  <si>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</si>
  <si>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</si>
  <si>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</si>
  <si>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</si>
  <si>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</si>
  <si>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</si>
  <si>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</si>
  <si>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</si>
  <si>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</si>
  <si>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</si>
  <si>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</si>
  <si>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</si>
  <si>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</si>
  <si>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</si>
  <si>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</si>
  <si>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</si>
  <si>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</si>
  <si>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</si>
  <si>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</si>
  <si>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</si>
  <si>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</si>
  <si>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</si>
  <si>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</si>
  <si>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</si>
  <si>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</si>
  <si>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</si>
  <si>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</si>
  <si>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</si>
  <si>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</si>
  <si>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</si>
  <si>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</si>
  <si>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</si>
  <si>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</si>
  <si>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</si>
  <si>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</si>
  <si>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</si>
  <si>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</si>
  <si>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</si>
  <si>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</si>
  <si>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</si>
  <si>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</si>
  <si>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</si>
  <si>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</si>
  <si>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</si>
  <si>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</si>
  <si>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</si>
  <si>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</si>
  <si>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</si>
  <si>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</si>
  <si>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</si>
  <si>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</si>
  <si>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</si>
  <si>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</si>
  <si>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</si>
  <si>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</si>
  <si>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</si>
  <si>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</si>
  <si>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</si>
  <si>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</si>
  <si>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</si>
  <si>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</si>
  <si>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</si>
  <si>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</si>
  <si>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</si>
  <si>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</si>
  <si>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</si>
  <si>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</si>
  <si>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</si>
  <si>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</si>
  <si>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</si>
  <si>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</si>
  <si>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</si>
  <si>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</si>
  <si>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</si>
  <si>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</si>
  <si>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</si>
  <si>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</si>
  <si>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</si>
  <si>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</si>
  <si>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</si>
  <si>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</si>
  <si>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</si>
  <si>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</si>
  <si>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</si>
  <si>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</si>
  <si>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</si>
  <si>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</si>
  <si>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</si>
  <si>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</si>
  <si>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</si>
  <si>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</si>
  <si>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</si>
  <si>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</si>
  <si>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</si>
  <si>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</si>
  <si>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</si>
  <si>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</si>
  <si>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</si>
  <si>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</si>
  <si>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</si>
  <si>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</si>
  <si>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</si>
  <si>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</si>
  <si>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</si>
  <si>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</si>
  <si>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</si>
  <si>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</si>
  <si>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</si>
  <si>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</si>
  <si>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</si>
  <si>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</si>
  <si>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</si>
  <si>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</si>
  <si>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</si>
  <si>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</si>
  <si>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</si>
  <si>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</si>
  <si>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</si>
  <si>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</si>
  <si>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</si>
  <si>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</si>
  <si>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</si>
  <si>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</si>
  <si>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</si>
  <si>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</si>
  <si>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</si>
  <si>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</si>
  <si>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</si>
  <si>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</si>
  <si>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</si>
  <si>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</si>
  <si>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</si>
  <si>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</si>
  <si>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</si>
  <si>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</si>
  <si>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</si>
  <si>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</si>
  <si>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</si>
  <si>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</si>
  <si>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</si>
  <si>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</si>
  <si>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</si>
  <si>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</si>
  <si>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</si>
  <si>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</si>
  <si>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</si>
  <si>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</si>
  <si>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</si>
  <si>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</si>
  <si>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</si>
  <si>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</si>
  <si>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</si>
  <si>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</si>
  <si>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</si>
  <si>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</si>
  <si>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</si>
  <si>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</si>
  <si>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</si>
  <si>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</si>
  <si>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</si>
  <si>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</si>
  <si>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</si>
  <si>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</si>
  <si>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</si>
  <si>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</si>
  <si>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</si>
  <si>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</si>
  <si>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</si>
  <si>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</si>
  <si>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</si>
  <si>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</si>
  <si>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</si>
  <si>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</si>
  <si>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</si>
  <si>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</si>
  <si>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</si>
  <si>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</si>
  <si>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</si>
  <si>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</si>
  <si>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</si>
  <si>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</si>
  <si>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</si>
  <si>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</si>
  <si>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</si>
  <si>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</si>
  <si>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</si>
  <si>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</si>
  <si>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</si>
  <si>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</si>
  <si>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</si>
  <si>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</si>
  <si>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</si>
  <si>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</si>
  <si>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</si>
  <si>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</si>
  <si>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</si>
  <si>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</si>
  <si>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</si>
  <si>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</si>
  <si>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</si>
  <si>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</si>
  <si>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</si>
  <si>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</si>
  <si>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</si>
  <si>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</si>
  <si>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</si>
  <si>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</si>
  <si>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</si>
  <si>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</si>
  <si>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</si>
  <si>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</si>
  <si>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</si>
  <si>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</si>
  <si>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</si>
  <si>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</si>
  <si>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</si>
  <si>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</si>
  <si>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</si>
  <si>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</si>
  <si>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</si>
  <si>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</si>
  <si>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</si>
  <si>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</si>
  <si>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</si>
  <si>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</si>
  <si>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</si>
  <si>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</si>
  <si>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</si>
  <si>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</si>
  <si>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</si>
  <si>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</si>
  <si>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</si>
  <si>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</si>
  <si>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</si>
  <si>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</si>
  <si>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</si>
  <si>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</si>
  <si>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</si>
  <si>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</si>
  <si>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</si>
  <si>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</si>
  <si>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</si>
  <si>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</si>
  <si>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</si>
  <si>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</si>
  <si>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</si>
  <si>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</si>
  <si>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</si>
  <si>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</si>
  <si>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</si>
  <si>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</si>
  <si>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</si>
  <si>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</si>
  <si>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</si>
  <si>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</si>
  <si>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</si>
  <si>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</si>
  <si>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</si>
  <si>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</si>
  <si>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</si>
  <si>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</si>
  <si>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</si>
  <si>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</si>
  <si>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</si>
  <si>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</si>
  <si>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</si>
  <si>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</si>
  <si>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</si>
  <si>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</si>
  <si>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</si>
  <si>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</si>
  <si>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</si>
  <si>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</si>
  <si>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</si>
  <si>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</si>
  <si>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</si>
  <si>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</si>
  <si>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</si>
  <si>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</si>
  <si>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</si>
  <si>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</si>
  <si>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</si>
  <si>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</si>
  <si>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</si>
  <si>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</si>
  <si>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</si>
  <si>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</si>
  <si>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</si>
  <si>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</si>
  <si>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</si>
  <si>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</si>
  <si>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</si>
  <si>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</si>
  <si>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</si>
  <si>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</si>
  <si>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</si>
  <si>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</si>
  <si>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</si>
  <si>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</si>
  <si>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</si>
  <si>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</si>
  <si>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</si>
  <si>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</si>
  <si>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</si>
  <si>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</si>
  <si>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</si>
  <si>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</si>
  <si>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</si>
  <si>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</si>
  <si>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</si>
  <si>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</si>
  <si>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</si>
  <si>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</si>
  <si>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</si>
  <si>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</si>
  <si>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</si>
  <si>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</si>
  <si>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</si>
  <si>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</si>
  <si>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</si>
  <si>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</si>
  <si>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</si>
  <si>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</si>
  <si>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</si>
  <si>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</si>
  <si>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</si>
  <si>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</si>
  <si>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</si>
  <si>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</si>
  <si>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</si>
  <si>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</si>
  <si>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</si>
  <si>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</si>
  <si>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</si>
  <si>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</si>
  <si>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</si>
  <si>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</si>
  <si>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</si>
  <si>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</si>
  <si>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</si>
  <si>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</si>
  <si>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</si>
  <si>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</si>
  <si>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</si>
  <si>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</si>
  <si>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</si>
  <si>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</si>
  <si>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</si>
  <si>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</si>
  <si>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</si>
  <si>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</si>
  <si>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</si>
  <si>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</si>
  <si>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</si>
  <si>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</si>
  <si>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</si>
  <si>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</si>
  <si>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</si>
  <si>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</si>
  <si>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</si>
  <si>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</si>
  <si>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</si>
  <si>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</si>
  <si>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</si>
  <si>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</si>
  <si>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</si>
  <si>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</si>
  <si>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</si>
  <si>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</si>
  <si>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</si>
  <si>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</si>
  <si>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</si>
  <si>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</si>
  <si>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</si>
  <si>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</si>
  <si>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</si>
  <si>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</si>
  <si>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</si>
  <si>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</si>
  <si>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</si>
  <si>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</si>
  <si>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</si>
  <si>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</si>
  <si>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</si>
  <si>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</si>
  <si>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</si>
  <si>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</si>
  <si>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</si>
  <si>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</si>
  <si>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</si>
  <si>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</si>
  <si>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</si>
  <si>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</si>
  <si>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</si>
  <si>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</si>
  <si>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</si>
  <si>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</si>
  <si>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</si>
  <si>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</si>
  <si>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</si>
  <si>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</si>
  <si>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</si>
  <si>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</si>
  <si>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</si>
  <si>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</si>
  <si>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</si>
  <si>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</si>
  <si>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</si>
  <si>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</si>
  <si>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</si>
  <si>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</si>
  <si>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</si>
  <si>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</si>
  <si>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</si>
  <si>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</si>
  <si>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</si>
  <si>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</si>
  <si>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</si>
  <si>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</si>
  <si>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</si>
  <si>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</si>
  <si>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</si>
  <si>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</si>
  <si>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</si>
  <si>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</si>
  <si>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</si>
  <si>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</si>
  <si>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</si>
  <si>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</si>
  <si>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</si>
  <si>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</si>
  <si>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</si>
  <si>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</si>
  <si>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</si>
  <si>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</si>
  <si>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</si>
  <si>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</si>
  <si>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</si>
  <si>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</si>
  <si>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</si>
  <si>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</si>
  <si>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</si>
  <si>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</si>
  <si>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</si>
  <si>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</si>
  <si>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</si>
  <si>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</si>
  <si>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</si>
  <si>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</si>
  <si>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</si>
  <si>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</si>
  <si>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</si>
  <si>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</si>
  <si>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</si>
  <si>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</si>
  <si>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</si>
  <si>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</si>
  <si>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</si>
  <si>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</si>
  <si>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</si>
  <si>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</si>
  <si>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</si>
  <si>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</si>
  <si>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</si>
  <si>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</si>
  <si>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</si>
  <si>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</si>
  <si>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</si>
  <si>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</si>
  <si>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</si>
  <si>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</si>
  <si>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</si>
  <si>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</si>
  <si>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</si>
  <si>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</si>
  <si>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</si>
  <si>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</si>
  <si>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</si>
  <si>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</si>
  <si>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</si>
  <si>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</si>
  <si>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</si>
  <si>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</si>
  <si>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</si>
  <si>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</si>
  <si>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</si>
  <si>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</si>
  <si>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</si>
  <si>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</si>
  <si>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</si>
  <si>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</si>
  <si>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</si>
  <si>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</si>
  <si>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</si>
  <si>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</si>
  <si>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</si>
  <si>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</si>
  <si>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</si>
  <si>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</si>
  <si>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</si>
  <si>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</si>
  <si>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</si>
  <si>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</si>
  <si>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</si>
  <si>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</si>
  <si>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</si>
  <si>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</si>
  <si>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</si>
  <si>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</si>
  <si>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</si>
  <si>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</si>
  <si>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</si>
  <si>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</si>
  <si>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</si>
  <si>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</si>
  <si>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</si>
  <si>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</si>
  <si>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</si>
  <si>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</si>
  <si>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</si>
  <si>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</si>
  <si>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</si>
  <si>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</si>
  <si>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</si>
  <si>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</si>
  <si>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</si>
  <si>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</si>
  <si>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</si>
  <si>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</si>
  <si>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</si>
  <si>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</si>
  <si>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</si>
  <si>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</si>
  <si>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</si>
  <si>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</si>
  <si>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</si>
  <si>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</si>
  <si>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</si>
  <si>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</si>
  <si>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</si>
  <si>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</si>
  <si>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</si>
  <si>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</si>
  <si>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</si>
  <si>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</si>
  <si>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</si>
  <si>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</si>
  <si>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</si>
  <si>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</si>
  <si>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</si>
  <si>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</si>
  <si>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</si>
  <si>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</si>
  <si>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</si>
  <si>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</si>
  <si>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</si>
  <si>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</si>
  <si>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</si>
  <si>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</si>
  <si>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</si>
  <si>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</si>
  <si>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</si>
  <si>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</si>
  <si>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</si>
  <si>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</si>
  <si>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</si>
  <si>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</si>
  <si>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</si>
  <si>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</si>
  <si>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</si>
  <si>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</si>
  <si>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</si>
  <si>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</si>
  <si>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</si>
  <si>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</si>
  <si>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</si>
  <si>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</si>
  <si>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</si>
  <si>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</si>
  <si>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</si>
  <si>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</si>
  <si>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</si>
  <si>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</si>
  <si>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</si>
  <si>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</si>
  <si>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</si>
  <si>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</si>
  <si>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</si>
  <si>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</si>
  <si>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</si>
  <si>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</si>
  <si>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</si>
  <si>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</si>
  <si>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</si>
  <si>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</si>
  <si>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</si>
  <si>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</si>
  <si>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</si>
  <si>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</si>
  <si>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</si>
  <si>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</si>
  <si>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</si>
  <si>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</si>
  <si>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</si>
  <si>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</si>
  <si>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</si>
  <si>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</si>
  <si>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</si>
  <si>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</si>
  <si>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</si>
  <si>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</si>
  <si>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</si>
  <si>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</si>
  <si>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</si>
  <si>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</si>
  <si>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</si>
  <si>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</si>
  <si>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</si>
  <si>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</si>
  <si>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</si>
  <si>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</si>
  <si>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</si>
  <si>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</si>
  <si>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</si>
  <si>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</si>
  <si>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</si>
  <si>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</si>
  <si>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</si>
  <si>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</si>
  <si>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</si>
  <si>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</si>
  <si>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</si>
  <si>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</si>
  <si>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</si>
  <si>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</si>
  <si>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</si>
  <si>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</si>
  <si>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</si>
  <si>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</si>
  <si>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</si>
  <si>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</si>
  <si>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</si>
  <si>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</si>
  <si>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</si>
  <si>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</si>
  <si>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</si>
  <si>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</si>
  <si>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</si>
  <si>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</si>
  <si>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</si>
  <si>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</si>
  <si>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</si>
  <si>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</si>
  <si>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</si>
  <si>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</si>
  <si>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</si>
  <si>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</si>
  <si>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</si>
  <si>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</si>
  <si>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</si>
  <si>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</si>
  <si>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</si>
  <si>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</si>
  <si>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</si>
  <si>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</si>
  <si>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</si>
  <si>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</si>
  <si>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</si>
  <si>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</si>
  <si>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</si>
  <si>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</si>
  <si>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</si>
  <si>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</si>
  <si>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</si>
  <si>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</si>
  <si>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</si>
  <si>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</si>
  <si>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</si>
  <si>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</si>
  <si>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</si>
  <si>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</si>
  <si>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</si>
  <si>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</si>
  <si>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</si>
  <si>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</si>
  <si>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</si>
  <si>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</si>
  <si>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</si>
  <si>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</si>
  <si>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</si>
  <si>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</si>
  <si>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</si>
  <si>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</si>
  <si>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</si>
  <si>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</si>
  <si>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</si>
  <si>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</si>
  <si>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</si>
  <si>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</si>
  <si>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</si>
  <si>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</si>
  <si>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</si>
  <si>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</si>
  <si>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</si>
  <si>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</si>
  <si>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</si>
  <si>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</si>
  <si>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</si>
  <si>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</si>
  <si>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</si>
  <si>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</si>
  <si>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</si>
  <si>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</si>
  <si>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</si>
  <si>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</si>
  <si>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</si>
  <si>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</si>
  <si>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</si>
  <si>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</si>
  <si>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</si>
  <si>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</si>
  <si>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</si>
  <si>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</si>
  <si>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</si>
  <si>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</si>
  <si>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</si>
  <si>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</si>
  <si>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</si>
  <si>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</si>
  <si>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</si>
  <si>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</si>
  <si>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</si>
  <si>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</si>
  <si>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</si>
  <si>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</si>
  <si>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</si>
  <si>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</si>
  <si>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</si>
  <si>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</si>
  <si>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</si>
  <si>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</si>
  <si>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</si>
  <si>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</si>
  <si>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</si>
  <si>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</si>
  <si>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</si>
  <si>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</si>
  <si>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</si>
  <si>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</si>
  <si>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</si>
  <si>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</si>
  <si>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</si>
  <si>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</si>
  <si>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</si>
  <si>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</si>
  <si>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</si>
  <si>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</si>
  <si>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</si>
  <si>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</si>
  <si>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</si>
  <si>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</si>
  <si>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</si>
  <si>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</si>
  <si>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</si>
  <si>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</si>
  <si>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</si>
  <si>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</si>
  <si>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</si>
  <si>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</si>
  <si>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</si>
  <si>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</si>
  <si>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</si>
  <si>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</si>
  <si>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</si>
  <si>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</si>
  <si>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</si>
  <si>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</si>
  <si>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</si>
  <si>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</si>
  <si>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</si>
  <si>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</si>
  <si>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</si>
  <si>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</si>
  <si>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</si>
  <si>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</si>
  <si>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</si>
  <si>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</si>
  <si>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</si>
  <si>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</si>
  <si>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</si>
  <si>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</si>
  <si>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</si>
  <si>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</si>
  <si>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</si>
  <si>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</si>
  <si>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</si>
  <si>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</si>
  <si>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</si>
  <si>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</si>
  <si>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</si>
  <si>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</si>
  <si>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</si>
  <si>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</si>
  <si>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</si>
  <si>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</si>
  <si>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</si>
  <si>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</si>
  <si>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</si>
  <si>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</si>
  <si>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</si>
  <si>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</si>
  <si>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</si>
  <si>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</si>
  <si>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</si>
  <si>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</si>
  <si>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</si>
  <si>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</si>
  <si>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</si>
  <si>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</si>
  <si>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</si>
  <si>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</si>
  <si>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</si>
  <si>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</si>
  <si>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</si>
  <si>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</si>
  <si>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</si>
  <si>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</si>
  <si>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</si>
  <si>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</si>
  <si>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</si>
  <si>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</si>
  <si>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</si>
  <si>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</si>
  <si>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</si>
  <si>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</si>
  <si>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</si>
  <si>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</si>
  <si>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</si>
  <si>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</si>
  <si>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</si>
  <si>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</si>
  <si>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</si>
  <si>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</si>
  <si>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</si>
  <si>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</si>
  <si>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</si>
  <si>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</si>
  <si>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</si>
  <si>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</si>
  <si>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</si>
  <si>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</si>
  <si>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</si>
  <si>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</si>
  <si>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</si>
  <si>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</si>
  <si>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</si>
  <si>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</si>
  <si>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</si>
  <si>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</si>
  <si>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</si>
  <si>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</si>
  <si>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</si>
  <si>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</si>
  <si>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</si>
  <si>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</si>
  <si>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</si>
  <si>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</si>
  <si>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</si>
  <si>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</si>
  <si>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</si>
  <si>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</si>
  <si>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</si>
  <si>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</si>
  <si>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</si>
  <si>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</si>
  <si>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</si>
  <si>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</si>
  <si>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</si>
  <si>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</si>
  <si>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</si>
  <si>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</si>
  <si>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</si>
  <si>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</si>
  <si>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</si>
  <si>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</si>
  <si>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</si>
  <si>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</si>
  <si>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</si>
  <si>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</si>
  <si>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</si>
  <si>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</si>
  <si>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</si>
  <si>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</si>
  <si>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</si>
  <si>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</si>
  <si>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</si>
  <si>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</si>
  <si>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</si>
  <si>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</si>
  <si>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</si>
  <si>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</si>
  <si>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</si>
  <si>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</si>
  <si>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</si>
  <si>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</si>
  <si>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</si>
  <si>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</si>
  <si>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</si>
  <si>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</si>
  <si>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</si>
  <si>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</si>
  <si>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</si>
  <si>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</si>
  <si>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</si>
  <si>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</si>
  <si>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</si>
  <si>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</si>
  <si>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</si>
  <si>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</si>
  <si>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</si>
  <si>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</si>
  <si>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</si>
  <si>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</si>
  <si>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</si>
  <si>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</si>
  <si>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</si>
  <si>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</si>
  <si>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</si>
  <si>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</si>
  <si>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</si>
  <si>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</si>
  <si>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</si>
  <si>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</si>
  <si>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</si>
  <si>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</si>
  <si>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</si>
  <si>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</si>
  <si>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</si>
  <si>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</si>
  <si>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</si>
  <si>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</si>
  <si>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</si>
  <si>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</si>
  <si>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</si>
  <si>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</si>
  <si>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</si>
  <si>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</si>
  <si>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</si>
  <si>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</si>
  <si>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</si>
  <si>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</si>
  <si>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</si>
  <si>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</si>
  <si>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</si>
  <si>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</si>
  <si>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</si>
  <si>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</si>
  <si>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</si>
  <si>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</si>
  <si>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</si>
  <si>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</si>
  <si>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</si>
  <si>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</si>
  <si>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</si>
  <si>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</si>
  <si>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</si>
  <si>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</si>
  <si>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</si>
  <si>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</si>
  <si>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</si>
  <si>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</si>
  <si>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</si>
  <si>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</si>
  <si>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</si>
  <si>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</si>
  <si>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</si>
  <si>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</si>
  <si>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</si>
  <si>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</si>
  <si>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</si>
  <si>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</si>
  <si>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</si>
  <si>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</si>
  <si>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</si>
  <si>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</si>
  <si>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</si>
  <si>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</si>
  <si>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</si>
  <si>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</si>
  <si>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</si>
  <si>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</si>
  <si>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</si>
  <si>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</si>
  <si>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</si>
  <si>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</si>
  <si>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</si>
  <si>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</si>
  <si>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</si>
  <si>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</si>
  <si>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</si>
  <si>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</si>
  <si>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</si>
  <si>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</si>
  <si>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</si>
  <si>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</si>
  <si>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</si>
  <si>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</si>
  <si>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</si>
  <si>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</si>
  <si>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</si>
  <si>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</si>
  <si>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</si>
  <si>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</si>
  <si>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</si>
  <si>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</si>
  <si>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</si>
  <si>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</si>
  <si>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</si>
  <si>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</si>
  <si>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</si>
  <si>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usa</t>
  </si>
  <si>
    <t xml:space="preserve">    lake lisa</t>
  </si>
  <si>
    <t xml:space="preserve">Phillipschester   </t>
  </si>
  <si>
    <t>East jeremy</t>
  </si>
  <si>
    <t>C-1464</t>
  </si>
  <si>
    <t>Computer</t>
  </si>
  <si>
    <t>Tops</t>
  </si>
  <si>
    <t>Outerwear</t>
  </si>
  <si>
    <t>Bottoms</t>
  </si>
  <si>
    <t>Accessories</t>
  </si>
  <si>
    <t>Skincare</t>
  </si>
  <si>
    <t>Lighting</t>
  </si>
  <si>
    <t>Audio</t>
  </si>
  <si>
    <t>Fitness</t>
  </si>
  <si>
    <t>Kitchen</t>
  </si>
  <si>
    <t>Haircare</t>
  </si>
  <si>
    <t>Decor</t>
  </si>
  <si>
    <t>Appliances</t>
  </si>
  <si>
    <t>Grooming</t>
  </si>
  <si>
    <t>Equipment</t>
  </si>
  <si>
    <t>Storage</t>
  </si>
  <si>
    <t>Outdoor</t>
  </si>
  <si>
    <t>Team Sports</t>
  </si>
  <si>
    <t>Footwear</t>
  </si>
  <si>
    <t>Mobile</t>
  </si>
  <si>
    <t>Makeup</t>
  </si>
  <si>
    <t>Fragrance</t>
  </si>
  <si>
    <t>Furniture</t>
  </si>
  <si>
    <t xml:space="preserve">  Sheena Bonilla  </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</si>
  <si>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</si>
  <si>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</si>
  <si>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</si>
  <si>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</si>
  <si>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</si>
  <si>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</si>
  <si>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</si>
  <si>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</si>
  <si>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</si>
  <si>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</si>
  <si>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</si>
  <si>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</si>
  <si>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</si>
  <si>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</si>
  <si>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</si>
  <si>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 xml:space="preserve">   Laura Green</t>
  </si>
  <si>
    <t>Joshua Smith Dvm</t>
  </si>
  <si>
    <t>Charles Norman Phd</t>
  </si>
  <si>
    <t>Dr. Tamara White Md</t>
  </si>
  <si>
    <t>Brittany Edwards Dds</t>
  </si>
  <si>
    <t>Earl Smith Dds</t>
  </si>
  <si>
    <t>Unknown</t>
  </si>
  <si>
    <t>Total_amount</t>
  </si>
  <si>
    <t>Customer Name</t>
  </si>
  <si>
    <t>Brother Laser Printer-Electronics</t>
  </si>
  <si>
    <t>Men's Graphic T-Shirt-Clothing</t>
  </si>
  <si>
    <t>Women's Casual Hoodie-Clothing</t>
  </si>
  <si>
    <t>Men's Running Jacket-Clothing</t>
  </si>
  <si>
    <t>Women's Yoga Pants-Clothing</t>
  </si>
  <si>
    <t>Men's Leather Belt-Clothing</t>
  </si>
  <si>
    <t>Herbal Face Moisturizer-Beauty</t>
  </si>
  <si>
    <t>LED Table Lamp-Home</t>
  </si>
  <si>
    <t>Wireless Bluetooth Earbuds-Electronics</t>
  </si>
  <si>
    <t>Adjustable Dumbbell Set-Sports</t>
  </si>
  <si>
    <t>Ceramic Kitchen Bowl Set-Home</t>
  </si>
  <si>
    <t>HD Smart TV Stick-Electronics</t>
  </si>
  <si>
    <t>Hair Strengthening Shampoo-Beauty</t>
  </si>
  <si>
    <t>USB-C Fast Charger-Electronics</t>
  </si>
  <si>
    <t>Decorative Wall Mirror-Home</t>
  </si>
  <si>
    <t>4K Home Projector-Electronics</t>
  </si>
  <si>
    <t>Beard Grooming Kit-Beauty</t>
  </si>
  <si>
    <t>Soccer Training Cone Set-Sports</t>
  </si>
  <si>
    <t>Women's Denim Jeans-Clothing</t>
  </si>
  <si>
    <t>Knee Support Brace-Sports</t>
  </si>
  <si>
    <t>Outdoor Sports Water Bottle-Sports</t>
  </si>
  <si>
    <t>Multi-Purpose Storage Box-Home</t>
  </si>
  <si>
    <t>Carbon Fiber Tennis Racket-Sports</t>
  </si>
  <si>
    <t>Men's Formal Shirt-Clothing</t>
  </si>
  <si>
    <t>Foldable Camping Chair-Sports</t>
  </si>
  <si>
    <t>Women's Scarf Set-Clothing</t>
  </si>
  <si>
    <t>Wireless Bluetooth Speaker-Electronics</t>
  </si>
  <si>
    <t>Decorative Floor Vase-Home</t>
  </si>
  <si>
    <t>Sports Stopwatch Timer-Sports</t>
  </si>
  <si>
    <t>Fabric Sofa Throw Blanket-Home</t>
  </si>
  <si>
    <t>Stainless Steel Cutlery Set-Home</t>
  </si>
  <si>
    <t>Basketball-Sports</t>
  </si>
  <si>
    <t>Vitamin C Face Serum-Beauty</t>
  </si>
  <si>
    <t>Modern Wall Clock-Home</t>
  </si>
  <si>
    <t>Gaming Mechanical Keyboard-Electronics</t>
  </si>
  <si>
    <t>Bedroom Table Lamp-Home</t>
  </si>
  <si>
    <t>Women's Summer Dress-Clothing</t>
  </si>
  <si>
    <t>Men's Casual Sneakers-Clothing</t>
  </si>
  <si>
    <t>Sports Water Hydration Pack-Sports</t>
  </si>
  <si>
    <t>Portable Power Bank-Electronics</t>
  </si>
  <si>
    <t>Noise-Canceling Headphones-Electronics</t>
  </si>
  <si>
    <t>Yoga Exercise Mat-Sports</t>
  </si>
  <si>
    <t>Smart Home WiFi Camera-Electronics</t>
  </si>
  <si>
    <t>USB External Hard Drive-Electronics</t>
  </si>
  <si>
    <t>Adjustable Jump Rope-Sports</t>
  </si>
  <si>
    <t>High-Grip Football-Sports</t>
  </si>
  <si>
    <t>Men's Winter Jacket-Clothing</t>
  </si>
  <si>
    <t>Makeup Brush Set-Beauty</t>
  </si>
  <si>
    <t>Car Dashboard Phone Holder-Electronics</t>
  </si>
  <si>
    <t>Men's Roll-On Perfume-Beauty</t>
  </si>
  <si>
    <t>Boxing Hand Wraps-Sports</t>
  </si>
  <si>
    <t>HDMI Cable – 2m-Electronics</t>
  </si>
  <si>
    <t>Rugby Ball-Sports</t>
  </si>
  <si>
    <t>Men's Track Pants-Clothing</t>
  </si>
  <si>
    <t>Sports Stopwatch Pro-Sports</t>
  </si>
  <si>
    <t>Ceramic Plant Pot-Home</t>
  </si>
  <si>
    <t>Premium Blanket Throw-Home</t>
  </si>
  <si>
    <t>Foam Roller-Sports</t>
  </si>
  <si>
    <t>Womens Cotton Scarf-Clothing</t>
  </si>
  <si>
    <t>Men's Hair Styling Gel-Beauty</t>
  </si>
  <si>
    <t>Luxury Perfume Spray-Beauty</t>
  </si>
  <si>
    <t>Tennis Ball 3-Pack-Sports</t>
  </si>
  <si>
    <t>Laptop Cooling Pad-Electronics</t>
  </si>
  <si>
    <t>Organic Sunscreen Lotion-Beauty</t>
  </si>
  <si>
    <t>Matte Lipstick Set-Beauty</t>
  </si>
  <si>
    <t>Adjustable Dumbbells 20kg-Sports</t>
  </si>
  <si>
    <t>Women's Hair Dryer Brush-Beauty</t>
  </si>
  <si>
    <t>Smart LED Light Strip-Electronics</t>
  </si>
  <si>
    <t>Wooden Nightstand-Home</t>
  </si>
  <si>
    <t>Men's Sports Shorts-Clothing</t>
  </si>
  <si>
    <t>Kitchen Storage Rack-Home</t>
  </si>
  <si>
    <t>Hair Repair Oil Treatment-Beauty</t>
  </si>
  <si>
    <t>Professional Jump Rope-Sports</t>
  </si>
  <si>
    <t>Shin Guards – Adult-Sports</t>
  </si>
  <si>
    <t>Bluetooth Car Audio System-Electronics</t>
  </si>
  <si>
    <t>Women's Ankle Boots-Clothing</t>
  </si>
  <si>
    <t>Wireless Mouse-Electronics</t>
  </si>
  <si>
    <t>WiFi Mesh Router-Electronics</t>
  </si>
  <si>
    <t>Essential Oil Diffuser-Home</t>
  </si>
  <si>
    <t>Decorative Lamp Shade-Home</t>
  </si>
  <si>
    <t>Wall-Mounted Spice Rack-Home</t>
  </si>
  <si>
    <t>Badminton Racket Set-Sports</t>
  </si>
  <si>
    <t>Fitness Resistance Bands-Sports</t>
  </si>
  <si>
    <t>Hydrating Face Cleanser-Beauty</t>
  </si>
  <si>
    <t>Wooden Bookshelf-Home</t>
  </si>
  <si>
    <t>Women's Beanie Hat-Clothing</t>
  </si>
  <si>
    <t>Kitchen Cutting Board-Home</t>
  </si>
  <si>
    <t>LED Bedside Lamp-Home</t>
  </si>
  <si>
    <t>Sports Wrist Sweatbands-Sports</t>
  </si>
  <si>
    <t>Face Foundation Kit-Beauty</t>
  </si>
  <si>
    <t>Gaming Mouse Pad XL-Electronics</t>
  </si>
  <si>
    <t>Women's High Heels-Clothing</t>
  </si>
  <si>
    <t>Microwave Oven-Home</t>
  </si>
  <si>
    <t>USB-C Laptop Charger-Electronics</t>
  </si>
  <si>
    <t>Vitamin E Body Lotion-Beauty</t>
  </si>
  <si>
    <t>Sports Stopwatch Basic-Sports</t>
  </si>
  <si>
    <t>Women's Formal Blazer-Clothing</t>
  </si>
  <si>
    <t>Cricket Bat-Sports</t>
  </si>
  <si>
    <t>Portable Bluetooth Speaker-Electronics</t>
  </si>
  <si>
    <t>Stainless Steel Cookware Set-Home</t>
  </si>
  <si>
    <t>Product Name with category</t>
  </si>
  <si>
    <t>Column1</t>
  </si>
  <si>
    <t>Column5</t>
  </si>
  <si>
    <t>Column6</t>
  </si>
  <si>
    <t>Column12</t>
  </si>
  <si>
    <t>Store_Name-Region</t>
  </si>
  <si>
    <t>Rivera-Warner-East</t>
  </si>
  <si>
    <t>Martinez, Adkins and Johnson-North</t>
  </si>
  <si>
    <t>Black-Horn-South</t>
  </si>
  <si>
    <t>Johnson-Wright-North</t>
  </si>
  <si>
    <t>Alexander Group-South</t>
  </si>
  <si>
    <t>Gray Ltd-North</t>
  </si>
  <si>
    <t>Benson-Elliott-East</t>
  </si>
  <si>
    <t>Martinez-Mullins-South</t>
  </si>
  <si>
    <t>Bean, Jones and Park-West</t>
  </si>
  <si>
    <t>Moore, Padilla and Butler-South</t>
  </si>
  <si>
    <t>Hill, Wagner and Ballard-East</t>
  </si>
  <si>
    <t>Aguirre-Keller-South</t>
  </si>
  <si>
    <t>Thomas, Bridges and Harris-North</t>
  </si>
  <si>
    <t>Gardner, Humphrey and Contreras-East</t>
  </si>
  <si>
    <t>Mcdonald Inc-South</t>
  </si>
  <si>
    <t>Shelton PLC-North</t>
  </si>
  <si>
    <t>Frederick-Wright-West</t>
  </si>
  <si>
    <t>Holloway Ltd-North</t>
  </si>
  <si>
    <t>Guerrero-Schmitt-East</t>
  </si>
  <si>
    <t>Mann-Austin-East</t>
  </si>
  <si>
    <t>Product name with category</t>
  </si>
  <si>
    <t>Customer City</t>
  </si>
  <si>
    <t>1</t>
  </si>
  <si>
    <t>3</t>
  </si>
  <si>
    <t>4</t>
  </si>
  <si>
    <t>2</t>
  </si>
  <si>
    <t>Sum</t>
  </si>
  <si>
    <t>Average</t>
  </si>
  <si>
    <t>Mean</t>
  </si>
  <si>
    <t>Standard Error</t>
  </si>
  <si>
    <t>Median</t>
  </si>
  <si>
    <t>Mode</t>
  </si>
  <si>
    <t>Standard Deviation</t>
  </si>
  <si>
    <t>Sample Variance</t>
  </si>
  <si>
    <t>Kurtosis</t>
  </si>
  <si>
    <t>Skewness</t>
  </si>
  <si>
    <t>Range</t>
  </si>
  <si>
    <t>Minimum</t>
  </si>
  <si>
    <t>Maximum</t>
  </si>
  <si>
    <t>Count</t>
  </si>
  <si>
    <t>(Right Skew for + value)</t>
  </si>
  <si>
    <t>(+ means Leptokurtic)</t>
  </si>
  <si>
    <t>Stock range</t>
  </si>
  <si>
    <t>Stock Value</t>
  </si>
  <si>
    <t>IF function:</t>
  </si>
  <si>
    <t>IF(G2&gt;200,"High","Low")</t>
  </si>
  <si>
    <t>Color bars are applied based on the price range.</t>
  </si>
  <si>
    <t>Highlight Cell Rules:Above 30 years of age is highlighted using highlight cell rules.</t>
  </si>
  <si>
    <t>SUMIF Function:</t>
  </si>
  <si>
    <t>Cost in accessories sub category is added.</t>
  </si>
  <si>
    <t>Formula used:</t>
  </si>
  <si>
    <t>SUMIF(C2:C101,C7,E2:E101)</t>
  </si>
  <si>
    <t>Year</t>
  </si>
  <si>
    <t>Month</t>
  </si>
  <si>
    <t>Quarter</t>
  </si>
  <si>
    <t>Row Labels</t>
  </si>
  <si>
    <t>April</t>
  </si>
  <si>
    <t>August</t>
  </si>
  <si>
    <t>December</t>
  </si>
  <si>
    <t>February</t>
  </si>
  <si>
    <t>January</t>
  </si>
  <si>
    <t>July</t>
  </si>
  <si>
    <t>June</t>
  </si>
  <si>
    <t>March</t>
  </si>
  <si>
    <t>May</t>
  </si>
  <si>
    <t>November</t>
  </si>
  <si>
    <t>October</t>
  </si>
  <si>
    <t>September</t>
  </si>
  <si>
    <t>Grand Total</t>
  </si>
  <si>
    <t>Column Labels</t>
  </si>
  <si>
    <t>Sum of Total_amount</t>
  </si>
  <si>
    <t>Count of Quantity</t>
  </si>
  <si>
    <t>Q1</t>
  </si>
  <si>
    <t>Q2</t>
  </si>
  <si>
    <t>Q3</t>
  </si>
  <si>
    <t>Q4</t>
  </si>
  <si>
    <t xml:space="preserve">Total amount is calculated for different months with respective year.Slicers is applied for Aguirre-keller-south region and </t>
  </si>
  <si>
    <t>column chart is applied for analysis.</t>
  </si>
  <si>
    <t>X-axis-Month</t>
  </si>
  <si>
    <t>Y-axis-Total Amount</t>
  </si>
  <si>
    <t>Total Amount for different categories is calculated for this dataset.</t>
  </si>
  <si>
    <t>Regionwise sales for different regions is calculated using Line chart</t>
  </si>
  <si>
    <t>X-axis-Sum of total amount,count of quantity</t>
  </si>
  <si>
    <t>Y-axis-Store name-region</t>
  </si>
  <si>
    <t>Pie chart is created for payment type with respective sum of total amount</t>
  </si>
  <si>
    <t>From this chart,most of payment done with credit card type.</t>
  </si>
  <si>
    <t>Sum of total amount is calculated for different quarters.From this Quarter-4 has higher amount of sales.</t>
  </si>
  <si>
    <t>Analysis Toolpak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</si>
</sst>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00"/>
  </numFmts>
  <fonts count="5" x14ac:knownFonts="1">
    <font>
      <sz val="11"/>
      <color theme="1"/>
      <name val="Calibri"/>
      <family val="2"/>
      <scheme val="minor"/>
    </font>
    <font>
      <b/>
      <sz val="11"/>
      <name val="Calibri"/>
    </font>
    <font>
      <b/>
      <sz val="11"/>
      <name val="Calibri"/>
      <family val="2"/>
    </font>
    <font>
      <sz val="8"/>
      <name val="Calibri"/>
      <family val="2"/>
      <scheme val="minor"/>
    </font>
    <font>
      <i/>
      <sz val="11"/>
      <color theme="1"/>
      <name val="Calibri"/>
      <family val="2"/>
      <scheme val="minor"/>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2" fontId="0" fillId="0" borderId="0" xfId="0" applyNumberFormat="1"/>
    <xf numFmtId="0" fontId="1" fillId="0" borderId="2" xfId="0" applyFont="1" applyBorder="1" applyAlignment="1">
      <alignment horizontal="center" vertical="top"/>
    </xf>
    <xf numFmtId="0" fontId="2" fillId="0" borderId="2" xfId="0" applyFont="1" applyBorder="1" applyAlignment="1">
      <alignment horizontal="center" vertical="top"/>
    </xf>
    <xf numFmtId="14" fontId="0" fillId="0" borderId="0" xfId="0" applyNumberFormat="1"/>
    <xf numFmtId="0" fontId="0" fillId="0" borderId="3" xfId="0" applyBorder="1"/>
    <xf numFmtId="0" fontId="4" fillId="0" borderId="4" xfId="0" applyFont="1" applyBorder="1" applyAlignment="1">
      <alignment horizontal="centerContinuous"/>
    </xf>
    <xf numFmtId="0" fontId="0" fillId="0" borderId="0" xfId="0" pivotButton="1"/>
    <xf numFmtId="0" fontId="0" fillId="0" borderId="0" xfId="0" applyAlignment="1">
      <alignment horizontal="left"/>
    </xf>
  </cellXfs>
  <cellStyles count="1">
    <cellStyle name="Normal" xfId="0" builtinId="0"/>
  </cellStyles>
  <dxfs count="27">
    <dxf>
      <font>
        <color rgb="FF9C0006"/>
      </font>
      <fill>
        <patternFill>
          <bgColor rgb="FFFFC7CE"/>
        </patternFill>
      </fill>
    </dxf>
    <dxf>
      <numFmt numFmtId="2" formatCode="0.00"/>
    </dxf>
    <dxf>
      <numFmt numFmtId="2" formatCode="0.00"/>
    </dxf>
    <dxf>
      <numFmt numFmtId="165" formatCode="&quot;₹&quot;\ #,##0.00"/>
    </dxf>
    <dxf>
      <numFmt numFmtId="0" formatCode="General"/>
    </dxf>
    <dxf>
      <numFmt numFmtId="0" formatCode="General"/>
    </dxf>
    <dxf>
      <numFmt numFmtId="164" formatCode="yyyy\-mm\-dd"/>
    </dxf>
    <dxf>
      <numFmt numFmtId="164" formatCode="yyyy\-mm\-dd"/>
    </dxf>
    <dxf>
      <numFmt numFmtId="19" formatCode="dd/mm/yyyy"/>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2" formatCode="0.00"/>
    </dxf>
    <dxf>
      <numFmt numFmtId="165" formatCode="&quot;₹&quot;\ #,##0.00"/>
    </dxf>
    <dxf>
      <numFmt numFmtId="165" formatCode="&quot;₹&quot;\ #,##0.0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(1).xlsx]Monthwise!PivotTable2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Monthwise-Aguirre-Keller-South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Monthwise!$B$3:$B$4</c:f>
              <c:strCache>
                <c:ptCount val="1"/>
                <c:pt idx="0">
                  <c:v>2023</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Monthwise!$A$5:$A$17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Monthwise!$B$5:$B$17</c:f>
              <c:numCache>
                <c:formatCode>General</c:formatCode>
                <c:ptCount val="12"/>
                <c:pt idx="2">
                  <c:v>1139.2544</c:v>
                </c:pt>
                <c:pt idx="9">
                  <c:v>2638.8926999999999</c:v>
                </c:pt>
                <c:pt idx="10">
                  <c:v>1180.6390000000001</c:v>
                </c:pt>
              </c:numCache>
            </c:numRef>
          </c:val>
          <c:extLst>
            <c:ext xmlns:c16="http://schemas.microsoft.com/office/drawing/2014/chart" uri="{C3380CC4-5D6E-409C-BE32-E72D297353CC}">
              <c16:uniqueId val="{00000000-036D-4274-ADEB-5F8EC0E75E00}"/>
            </c:ext>
          </c:extLst>
        </c:ser>
        <c:ser>
          <c:idx val="1"/>
          <c:order val="1"/>
          <c:tx>
            <c:strRef>
              <c:f>Monthwise!$C$3:$C$4</c:f>
              <c:strCache>
                <c:ptCount val="1"/>
                <c:pt idx="0">
                  <c:v>2024</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Monthwise!$A$5:$A$17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Monthwise!$C$5:$C$17</c:f>
              <c:numCache>
                <c:formatCode>General</c:formatCode>
                <c:ptCount val="12"/>
                <c:pt idx="0">
                  <c:v>4889.3897999999999</c:v>
                </c:pt>
                <c:pt idx="1">
                  <c:v>3410.4234999999999</c:v>
                </c:pt>
                <c:pt idx="2">
                  <c:v>5384.6058000000003</c:v>
                </c:pt>
                <c:pt idx="3">
                  <c:v>3561.8303999999998</c:v>
                </c:pt>
                <c:pt idx="4">
                  <c:v>3271.7152000000006</c:v>
                </c:pt>
                <c:pt idx="5">
                  <c:v>4931.6650000000009</c:v>
                </c:pt>
                <c:pt idx="6">
                  <c:v>3819.8172999999997</c:v>
                </c:pt>
                <c:pt idx="7">
                  <c:v>2691.3326000000002</c:v>
                </c:pt>
                <c:pt idx="8">
                  <c:v>4006.7942999999996</c:v>
                </c:pt>
                <c:pt idx="9">
                  <c:v>5205.7253000000001</c:v>
                </c:pt>
                <c:pt idx="10">
                  <c:v>5455.2694000000001</c:v>
                </c:pt>
                <c:pt idx="11">
                  <c:v>7697.3256000000001</c:v>
                </c:pt>
              </c:numCache>
            </c:numRef>
          </c:val>
          <c:extLst>
            <c:ext xmlns:c16="http://schemas.microsoft.com/office/drawing/2014/chart" uri="{C3380CC4-5D6E-409C-BE32-E72D297353CC}">
              <c16:uniqueId val="{00000001-036D-4274-ADEB-5F8EC0E75E00}"/>
            </c:ext>
          </c:extLst>
        </c:ser>
        <c:ser>
          <c:idx val="2"/>
          <c:order val="2"/>
          <c:tx>
            <c:strRef>
              <c:f>Monthwise!$D$3:$D$4</c:f>
              <c:strCache>
                <c:ptCount val="1"/>
                <c:pt idx="0">
                  <c:v>2025</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Monthwise!$A$5:$A$17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Monthwise!$D$5:$D$17</c:f>
              <c:numCache>
                <c:formatCode>General</c:formatCode>
                <c:ptCount val="12"/>
                <c:pt idx="0">
                  <c:v>6057.9152000000004</c:v>
                </c:pt>
                <c:pt idx="1">
                  <c:v>1511.3323</c:v>
                </c:pt>
                <c:pt idx="3">
                  <c:v>1034.7036000000001</c:v>
                </c:pt>
                <c:pt idx="4">
                  <c:v>10234.722900000001</c:v>
                </c:pt>
                <c:pt idx="5">
                  <c:v>3308.7959999999998</c:v>
                </c:pt>
                <c:pt idx="7">
                  <c:v>4921.7572</c:v>
                </c:pt>
                <c:pt idx="8">
                  <c:v>4045.018</c:v>
                </c:pt>
                <c:pt idx="10">
                  <c:v>2017.5011999999999</c:v>
                </c:pt>
                <c:pt idx="11">
                  <c:v>631.71379999999999</c:v>
                </c:pt>
              </c:numCache>
            </c:numRef>
          </c:val>
          <c:extLst>
            <c:ext xmlns:c16="http://schemas.microsoft.com/office/drawing/2014/chart" uri="{C3380CC4-5D6E-409C-BE32-E72D297353CC}">
              <c16:uniqueId val="{00000002-036D-4274-ADEB-5F8EC0E75E00}"/>
            </c:ext>
          </c:extLst>
        </c:ser>
        <c:dLbls>
          <c:showLegendKey val="0"/>
          <c:showVal val="0"/>
          <c:showCatName val="0"/>
          <c:showSerName val="0"/>
          <c:showPercent val="0"/>
          <c:showBubbleSize val="0"/>
        </c:dLbls>
        <c:gapWidth val="150"/>
        <c:overlap val="100"/>
        <c:axId val="498223567"/>
        <c:axId val="425759535"/>
      </c:barChart>
      <c:catAx>
        <c:axId val="498223567"/>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a:t>
                </a:r>
              </a:p>
              <a:p>
                <a:pPr>
                  <a:defRPr/>
                </a:pPr>
                <a:endParaRPr lang="en-IN"/>
              </a:p>
            </c:rich>
          </c:tx>
          <c:layout>
            <c:manualLayout>
              <c:xMode val="edge"/>
              <c:yMode val="edge"/>
              <c:x val="0.17994887751574198"/>
              <c:y val="0.38562429025622935"/>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5759535"/>
        <c:crosses val="autoZero"/>
        <c:auto val="1"/>
        <c:lblAlgn val="ctr"/>
        <c:lblOffset val="100"/>
        <c:noMultiLvlLbl val="0"/>
      </c:catAx>
      <c:valAx>
        <c:axId val="425759535"/>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 Amount</a:t>
                </a:r>
              </a:p>
              <a:p>
                <a:pPr>
                  <a:defRPr/>
                </a:pP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822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(1).xlsx]Category Wise!PivotTable3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Wise'!$B$3</c:f>
              <c:strCache>
                <c:ptCount val="1"/>
                <c:pt idx="0">
                  <c:v>Total</c:v>
                </c:pt>
              </c:strCache>
            </c:strRef>
          </c:tx>
          <c:spPr>
            <a:solidFill>
              <a:schemeClr val="accent1"/>
            </a:solidFill>
            <a:ln>
              <a:noFill/>
            </a:ln>
            <a:effectLst/>
          </c:spPr>
          <c:invertIfNegative val="0"/>
          <c:cat>
            <c:strRef>
              <c:f>'Category Wise'!$A$4:$A$104</c:f>
              <c:strCache>
                <c:ptCount val="100"/>
                <c:pt idx="0">
                  <c:v>Makeup Brush Set-Beauty</c:v>
                </c:pt>
                <c:pt idx="1">
                  <c:v>Vitamin C Face Serum-Beauty</c:v>
                </c:pt>
                <c:pt idx="2">
                  <c:v>Herbal Face Moisturizer-Beauty</c:v>
                </c:pt>
                <c:pt idx="3">
                  <c:v>Gaming Mouse Pad XL-Electronics</c:v>
                </c:pt>
                <c:pt idx="4">
                  <c:v>Sports Stopwatch Basic-Sports</c:v>
                </c:pt>
                <c:pt idx="5">
                  <c:v>Fabric Sofa Throw Blanket-Home</c:v>
                </c:pt>
                <c:pt idx="6">
                  <c:v>Men's Formal Shirt-Clothing</c:v>
                </c:pt>
                <c:pt idx="7">
                  <c:v>Adjustable Dumbbell Set-Sports</c:v>
                </c:pt>
                <c:pt idx="8">
                  <c:v>Rugby Ball-Sports</c:v>
                </c:pt>
                <c:pt idx="9">
                  <c:v>Stainless Steel Cutlery Set-Home</c:v>
                </c:pt>
                <c:pt idx="10">
                  <c:v>Adjustable Jump Rope-Sports</c:v>
                </c:pt>
                <c:pt idx="11">
                  <c:v>Men's Track Pants-Clothing</c:v>
                </c:pt>
                <c:pt idx="12">
                  <c:v>Women's Denim Jeans-Clothing</c:v>
                </c:pt>
                <c:pt idx="13">
                  <c:v>Sports Stopwatch Timer-Sports</c:v>
                </c:pt>
                <c:pt idx="14">
                  <c:v>Women's Summer Dress-Clothing</c:v>
                </c:pt>
                <c:pt idx="15">
                  <c:v>Women's Yoga Pants-Clothing</c:v>
                </c:pt>
                <c:pt idx="16">
                  <c:v>Women's Casual Hoodie-Clothing</c:v>
                </c:pt>
                <c:pt idx="17">
                  <c:v>Ceramic Plant Pot-Home</c:v>
                </c:pt>
                <c:pt idx="18">
                  <c:v>Wooden Nightstand-Home</c:v>
                </c:pt>
                <c:pt idx="19">
                  <c:v>Yoga Exercise Mat-Sports</c:v>
                </c:pt>
                <c:pt idx="20">
                  <c:v>Womens Cotton Scarf-Clothing</c:v>
                </c:pt>
                <c:pt idx="21">
                  <c:v>Professional Jump Rope-Sports</c:v>
                </c:pt>
                <c:pt idx="22">
                  <c:v>Wireless Bluetooth Earbuds-Electronics</c:v>
                </c:pt>
                <c:pt idx="23">
                  <c:v>Decorative Lamp Shade-Home</c:v>
                </c:pt>
                <c:pt idx="24">
                  <c:v>Brother Laser Printer-Electronics</c:v>
                </c:pt>
                <c:pt idx="25">
                  <c:v>Men's Graphic T-Shirt-Clothing</c:v>
                </c:pt>
                <c:pt idx="26">
                  <c:v>LED Bedside Lamp-Home</c:v>
                </c:pt>
                <c:pt idx="27">
                  <c:v>High-Grip Football-Sports</c:v>
                </c:pt>
                <c:pt idx="28">
                  <c:v>HDMI Cable – 2m-Electronics</c:v>
                </c:pt>
                <c:pt idx="29">
                  <c:v>Boxing Hand Wraps-Sports</c:v>
                </c:pt>
                <c:pt idx="30">
                  <c:v>Noise-Canceling Headphones-Electronics</c:v>
                </c:pt>
                <c:pt idx="31">
                  <c:v>Ceramic Kitchen Bowl Set-Home</c:v>
                </c:pt>
                <c:pt idx="32">
                  <c:v>Kitchen Cutting Board-Home</c:v>
                </c:pt>
                <c:pt idx="33">
                  <c:v>Bedroom Table Lamp-Home</c:v>
                </c:pt>
                <c:pt idx="34">
                  <c:v>Hydrating Face Cleanser-Beauty</c:v>
                </c:pt>
                <c:pt idx="35">
                  <c:v>LED Table Lamp-Home</c:v>
                </c:pt>
                <c:pt idx="36">
                  <c:v>Adjustable Dumbbells 20kg-Sports</c:v>
                </c:pt>
                <c:pt idx="37">
                  <c:v>Multi-Purpose Storage Box-Home</c:v>
                </c:pt>
                <c:pt idx="38">
                  <c:v>Tennis Ball 3-Pack-Sports</c:v>
                </c:pt>
                <c:pt idx="39">
                  <c:v>Men's Leather Belt-Clothing</c:v>
                </c:pt>
                <c:pt idx="40">
                  <c:v>Women's Beanie Hat-Clothing</c:v>
                </c:pt>
                <c:pt idx="41">
                  <c:v>Carbon Fiber Tennis Racket-Sports</c:v>
                </c:pt>
                <c:pt idx="42">
                  <c:v>Microwave Oven-Home</c:v>
                </c:pt>
                <c:pt idx="43">
                  <c:v>USB-C Fast Charger-Electronics</c:v>
                </c:pt>
                <c:pt idx="44">
                  <c:v>Foldable Camping Chair-Sports</c:v>
                </c:pt>
                <c:pt idx="45">
                  <c:v>Foam Roller-Sports</c:v>
                </c:pt>
                <c:pt idx="46">
                  <c:v>Decorative Wall Mirror-Home</c:v>
                </c:pt>
                <c:pt idx="47">
                  <c:v>Bluetooth Car Audio System-Electronics</c:v>
                </c:pt>
                <c:pt idx="48">
                  <c:v>Hair Strengthening Shampoo-Beauty</c:v>
                </c:pt>
                <c:pt idx="49">
                  <c:v>Beard Grooming Kit-Beauty</c:v>
                </c:pt>
                <c:pt idx="50">
                  <c:v>Wooden Bookshelf-Home</c:v>
                </c:pt>
                <c:pt idx="51">
                  <c:v>Luxury Perfume Spray-Beauty</c:v>
                </c:pt>
                <c:pt idx="52">
                  <c:v>Wireless Bluetooth Speaker-Electronics</c:v>
                </c:pt>
                <c:pt idx="53">
                  <c:v>Men's Sports Shorts-Clothing</c:v>
                </c:pt>
                <c:pt idx="54">
                  <c:v>Stainless Steel Cookware Set-Home</c:v>
                </c:pt>
                <c:pt idx="55">
                  <c:v>Fitness Resistance Bands-Sports</c:v>
                </c:pt>
                <c:pt idx="56">
                  <c:v>Premium Blanket Throw-Home</c:v>
                </c:pt>
                <c:pt idx="57">
                  <c:v>USB External Hard Drive-Electronics</c:v>
                </c:pt>
                <c:pt idx="58">
                  <c:v>Smart Home WiFi Camera-Electronics</c:v>
                </c:pt>
                <c:pt idx="59">
                  <c:v>Organic Sunscreen Lotion-Beauty</c:v>
                </c:pt>
                <c:pt idx="60">
                  <c:v>Women's Scarf Set-Clothing</c:v>
                </c:pt>
                <c:pt idx="61">
                  <c:v>Car Dashboard Phone Holder-Electronics</c:v>
                </c:pt>
                <c:pt idx="62">
                  <c:v>Women's Hair Dryer Brush-Beauty</c:v>
                </c:pt>
                <c:pt idx="63">
                  <c:v>USB-C Laptop Charger-Electronics</c:v>
                </c:pt>
                <c:pt idx="64">
                  <c:v>Women's Ankle Boots-Clothing</c:v>
                </c:pt>
                <c:pt idx="65">
                  <c:v>Badminton Racket Set-Sports</c:v>
                </c:pt>
                <c:pt idx="66">
                  <c:v>Men's Running Jacket-Clothing</c:v>
                </c:pt>
                <c:pt idx="67">
                  <c:v>Cricket Bat-Sports</c:v>
                </c:pt>
                <c:pt idx="68">
                  <c:v>Men's Winter Jacket-Clothing</c:v>
                </c:pt>
                <c:pt idx="69">
                  <c:v>WiFi Mesh Router-Electronics</c:v>
                </c:pt>
                <c:pt idx="70">
                  <c:v>Wall-Mounted Spice Rack-Home</c:v>
                </c:pt>
                <c:pt idx="71">
                  <c:v>Men's Roll-On Perfume-Beauty</c:v>
                </c:pt>
                <c:pt idx="72">
                  <c:v>Decorative Floor Vase-Home</c:v>
                </c:pt>
                <c:pt idx="73">
                  <c:v>Laptop Cooling Pad-Electronics</c:v>
                </c:pt>
                <c:pt idx="74">
                  <c:v>Modern Wall Clock-Home</c:v>
                </c:pt>
                <c:pt idx="75">
                  <c:v>Kitchen Storage Rack-Home</c:v>
                </c:pt>
                <c:pt idx="76">
                  <c:v>HD Smart TV Stick-Electronics</c:v>
                </c:pt>
                <c:pt idx="77">
                  <c:v>Matte Lipstick Set-Beauty</c:v>
                </c:pt>
                <c:pt idx="78">
                  <c:v>Sports Wrist Sweatbands-Sports</c:v>
                </c:pt>
                <c:pt idx="79">
                  <c:v>Portable Bluetooth Speaker-Electronics</c:v>
                </c:pt>
                <c:pt idx="80">
                  <c:v>Knee Support Brace-Sports</c:v>
                </c:pt>
                <c:pt idx="81">
                  <c:v>Hair Repair Oil Treatment-Beauty</c:v>
                </c:pt>
                <c:pt idx="82">
                  <c:v>Sports Water Hydration Pack-Sports</c:v>
                </c:pt>
                <c:pt idx="83">
                  <c:v>Sports Stopwatch Pro-Sports</c:v>
                </c:pt>
                <c:pt idx="84">
                  <c:v>Smart LED Light Strip-Electronics</c:v>
                </c:pt>
                <c:pt idx="85">
                  <c:v>Outdoor Sports Water Bottle-Sports</c:v>
                </c:pt>
                <c:pt idx="86">
                  <c:v>Essential Oil Diffuser-Home</c:v>
                </c:pt>
                <c:pt idx="87">
                  <c:v>Vitamin E Body Lotion-Beauty</c:v>
                </c:pt>
                <c:pt idx="88">
                  <c:v>Face Foundation Kit-Beauty</c:v>
                </c:pt>
                <c:pt idx="89">
                  <c:v>4K Home Projector-Electronics</c:v>
                </c:pt>
                <c:pt idx="90">
                  <c:v>Soccer Training Cone Set-Sports</c:v>
                </c:pt>
                <c:pt idx="91">
                  <c:v>Women's Formal Blazer-Clothing</c:v>
                </c:pt>
                <c:pt idx="92">
                  <c:v>Men's Hair Styling Gel-Beauty</c:v>
                </c:pt>
                <c:pt idx="93">
                  <c:v>Basketball-Sports</c:v>
                </c:pt>
                <c:pt idx="94">
                  <c:v>Wireless Mouse-Electronics</c:v>
                </c:pt>
                <c:pt idx="95">
                  <c:v>Women's High Heels-Clothing</c:v>
                </c:pt>
                <c:pt idx="96">
                  <c:v>Gaming Mechanical Keyboard-Electronics</c:v>
                </c:pt>
                <c:pt idx="97">
                  <c:v>Men's Casual Sneakers-Clothing</c:v>
                </c:pt>
                <c:pt idx="98">
                  <c:v>Shin Guards – Adult-Sports</c:v>
                </c:pt>
                <c:pt idx="99">
                  <c:v>Portable Power Bank-Electronics</c:v>
                </c:pt>
              </c:strCache>
            </c:strRef>
          </c:cat>
          <c:val>
            <c:numRef>
              <c:f>'Category Wise'!$B$4:$B$104</c:f>
              <c:numCache>
                <c:formatCode>General</c:formatCode>
                <c:ptCount val="100"/>
                <c:pt idx="0">
                  <c:v>7948.3904999999995</c:v>
                </c:pt>
                <c:pt idx="1">
                  <c:v>9681.9318999999996</c:v>
                </c:pt>
                <c:pt idx="2">
                  <c:v>9937.0897999999997</c:v>
                </c:pt>
                <c:pt idx="3">
                  <c:v>12127.249300000001</c:v>
                </c:pt>
                <c:pt idx="4">
                  <c:v>12301.1638</c:v>
                </c:pt>
                <c:pt idx="5">
                  <c:v>12665.900800000001</c:v>
                </c:pt>
                <c:pt idx="6">
                  <c:v>12949.498600000001</c:v>
                </c:pt>
                <c:pt idx="7">
                  <c:v>13115.581300000002</c:v>
                </c:pt>
                <c:pt idx="8">
                  <c:v>13834.3925</c:v>
                </c:pt>
                <c:pt idx="9">
                  <c:v>14029.912799999998</c:v>
                </c:pt>
                <c:pt idx="10">
                  <c:v>14177.2243</c:v>
                </c:pt>
                <c:pt idx="11">
                  <c:v>14300.936834006214</c:v>
                </c:pt>
                <c:pt idx="12">
                  <c:v>15084.943699999998</c:v>
                </c:pt>
                <c:pt idx="13">
                  <c:v>15145.864700000002</c:v>
                </c:pt>
                <c:pt idx="14">
                  <c:v>15635.989799999999</c:v>
                </c:pt>
                <c:pt idx="15">
                  <c:v>15665.8534</c:v>
                </c:pt>
                <c:pt idx="16">
                  <c:v>15827.992100000003</c:v>
                </c:pt>
                <c:pt idx="17">
                  <c:v>16043.662899999999</c:v>
                </c:pt>
                <c:pt idx="18">
                  <c:v>16188.908100000001</c:v>
                </c:pt>
                <c:pt idx="19">
                  <c:v>16290.265399999998</c:v>
                </c:pt>
                <c:pt idx="20">
                  <c:v>16393.105299999999</c:v>
                </c:pt>
                <c:pt idx="21">
                  <c:v>16436.947500000002</c:v>
                </c:pt>
                <c:pt idx="22">
                  <c:v>16812.359</c:v>
                </c:pt>
                <c:pt idx="23">
                  <c:v>16841.748500000002</c:v>
                </c:pt>
                <c:pt idx="24">
                  <c:v>17024.962299999996</c:v>
                </c:pt>
                <c:pt idx="25">
                  <c:v>17226.441000000003</c:v>
                </c:pt>
                <c:pt idx="26">
                  <c:v>17258.751699999997</c:v>
                </c:pt>
                <c:pt idx="27">
                  <c:v>17393.791499999999</c:v>
                </c:pt>
                <c:pt idx="28">
                  <c:v>17640.506999999998</c:v>
                </c:pt>
                <c:pt idx="29">
                  <c:v>18013.097199999997</c:v>
                </c:pt>
                <c:pt idx="30">
                  <c:v>18128.390500000001</c:v>
                </c:pt>
                <c:pt idx="31">
                  <c:v>18539.250700000004</c:v>
                </c:pt>
                <c:pt idx="32">
                  <c:v>19064.629400000005</c:v>
                </c:pt>
                <c:pt idx="33">
                  <c:v>19072.819499999998</c:v>
                </c:pt>
                <c:pt idx="34">
                  <c:v>19732.2281</c:v>
                </c:pt>
                <c:pt idx="35">
                  <c:v>19869.9244</c:v>
                </c:pt>
                <c:pt idx="36">
                  <c:v>20005.736199999999</c:v>
                </c:pt>
                <c:pt idx="37">
                  <c:v>20080.040700000001</c:v>
                </c:pt>
                <c:pt idx="38">
                  <c:v>20156.957999999999</c:v>
                </c:pt>
                <c:pt idx="39">
                  <c:v>20514.303500000002</c:v>
                </c:pt>
                <c:pt idx="40">
                  <c:v>20593.471700000006</c:v>
                </c:pt>
                <c:pt idx="41">
                  <c:v>20744.228499999997</c:v>
                </c:pt>
                <c:pt idx="42">
                  <c:v>20853.689100000003</c:v>
                </c:pt>
                <c:pt idx="43">
                  <c:v>20960.034099999997</c:v>
                </c:pt>
                <c:pt idx="44">
                  <c:v>21414.865900000004</c:v>
                </c:pt>
                <c:pt idx="45">
                  <c:v>21426.5304</c:v>
                </c:pt>
                <c:pt idx="46">
                  <c:v>21570.414100000002</c:v>
                </c:pt>
                <c:pt idx="47">
                  <c:v>21716.854200000002</c:v>
                </c:pt>
                <c:pt idx="48">
                  <c:v>21726.542899999997</c:v>
                </c:pt>
                <c:pt idx="49">
                  <c:v>21748.588199999998</c:v>
                </c:pt>
                <c:pt idx="50">
                  <c:v>21919.366900000005</c:v>
                </c:pt>
                <c:pt idx="51">
                  <c:v>22021.710008251164</c:v>
                </c:pt>
                <c:pt idx="52">
                  <c:v>22098.5396</c:v>
                </c:pt>
                <c:pt idx="53">
                  <c:v>22117.245699999999</c:v>
                </c:pt>
                <c:pt idx="54">
                  <c:v>22240.831300000002</c:v>
                </c:pt>
                <c:pt idx="55">
                  <c:v>22406.273699999998</c:v>
                </c:pt>
                <c:pt idx="56">
                  <c:v>22446.9908</c:v>
                </c:pt>
                <c:pt idx="57">
                  <c:v>22487.498899999999</c:v>
                </c:pt>
                <c:pt idx="58">
                  <c:v>22545.827099999999</c:v>
                </c:pt>
                <c:pt idx="59">
                  <c:v>22597.401899999997</c:v>
                </c:pt>
                <c:pt idx="60">
                  <c:v>22692.827600000001</c:v>
                </c:pt>
                <c:pt idx="61">
                  <c:v>22759.252900000007</c:v>
                </c:pt>
                <c:pt idx="62">
                  <c:v>23114.123000000007</c:v>
                </c:pt>
                <c:pt idx="63">
                  <c:v>23129.715300000003</c:v>
                </c:pt>
                <c:pt idx="64">
                  <c:v>23180.129899999996</c:v>
                </c:pt>
                <c:pt idx="65">
                  <c:v>23216.062099999996</c:v>
                </c:pt>
                <c:pt idx="66">
                  <c:v>24311.581899999997</c:v>
                </c:pt>
                <c:pt idx="67">
                  <c:v>24529.867111338586</c:v>
                </c:pt>
                <c:pt idx="68">
                  <c:v>24683.7744237722</c:v>
                </c:pt>
                <c:pt idx="69">
                  <c:v>24731.530699999999</c:v>
                </c:pt>
                <c:pt idx="70">
                  <c:v>24913.183399999998</c:v>
                </c:pt>
                <c:pt idx="71">
                  <c:v>24992.870800000001</c:v>
                </c:pt>
                <c:pt idx="72">
                  <c:v>25205.890399999997</c:v>
                </c:pt>
                <c:pt idx="73">
                  <c:v>25329.428499999998</c:v>
                </c:pt>
                <c:pt idx="74">
                  <c:v>25370.047999999995</c:v>
                </c:pt>
                <c:pt idx="75">
                  <c:v>25370.643899999995</c:v>
                </c:pt>
                <c:pt idx="76">
                  <c:v>25384.637600000002</c:v>
                </c:pt>
                <c:pt idx="77">
                  <c:v>25460.920099999996</c:v>
                </c:pt>
                <c:pt idx="78">
                  <c:v>25580.167899999997</c:v>
                </c:pt>
                <c:pt idx="79">
                  <c:v>25681.6548</c:v>
                </c:pt>
                <c:pt idx="80">
                  <c:v>25910.406999999996</c:v>
                </c:pt>
                <c:pt idx="81">
                  <c:v>26919.444600000003</c:v>
                </c:pt>
                <c:pt idx="82">
                  <c:v>27231.04719999999</c:v>
                </c:pt>
                <c:pt idx="83">
                  <c:v>27344.748299999996</c:v>
                </c:pt>
                <c:pt idx="84">
                  <c:v>27348.155800000004</c:v>
                </c:pt>
                <c:pt idx="85">
                  <c:v>27622.9617</c:v>
                </c:pt>
                <c:pt idx="86">
                  <c:v>27749.196199999995</c:v>
                </c:pt>
                <c:pt idx="87">
                  <c:v>28094.216900000003</c:v>
                </c:pt>
                <c:pt idx="88">
                  <c:v>28237.930799999998</c:v>
                </c:pt>
                <c:pt idx="89">
                  <c:v>28285.614399999999</c:v>
                </c:pt>
                <c:pt idx="90">
                  <c:v>28324.048999999999</c:v>
                </c:pt>
                <c:pt idx="91">
                  <c:v>28572.692399999996</c:v>
                </c:pt>
                <c:pt idx="92">
                  <c:v>30236.698199999992</c:v>
                </c:pt>
                <c:pt idx="93">
                  <c:v>31070.455699999995</c:v>
                </c:pt>
                <c:pt idx="94">
                  <c:v>33566.799899999998</c:v>
                </c:pt>
                <c:pt idx="95">
                  <c:v>33993.659399999997</c:v>
                </c:pt>
                <c:pt idx="96">
                  <c:v>34699.832699999999</c:v>
                </c:pt>
                <c:pt idx="97">
                  <c:v>35489.619799999993</c:v>
                </c:pt>
                <c:pt idx="98">
                  <c:v>38281.015300000006</c:v>
                </c:pt>
                <c:pt idx="99">
                  <c:v>41852.503400000001</c:v>
                </c:pt>
              </c:numCache>
            </c:numRef>
          </c:val>
          <c:extLst>
            <c:ext xmlns:c16="http://schemas.microsoft.com/office/drawing/2014/chart" uri="{C3380CC4-5D6E-409C-BE32-E72D297353CC}">
              <c16:uniqueId val="{00000000-F4A6-4D8A-95AE-E8BD77D4C560}"/>
            </c:ext>
          </c:extLst>
        </c:ser>
        <c:dLbls>
          <c:showLegendKey val="0"/>
          <c:showVal val="0"/>
          <c:showCatName val="0"/>
          <c:showSerName val="0"/>
          <c:showPercent val="0"/>
          <c:showBubbleSize val="0"/>
        </c:dLbls>
        <c:gapWidth val="219"/>
        <c:overlap val="-27"/>
        <c:axId val="1762169856"/>
        <c:axId val="1566638960"/>
      </c:barChart>
      <c:catAx>
        <c:axId val="176216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638960"/>
        <c:crosses val="autoZero"/>
        <c:auto val="1"/>
        <c:lblAlgn val="ctr"/>
        <c:lblOffset val="100"/>
        <c:noMultiLvlLbl val="0"/>
      </c:catAx>
      <c:valAx>
        <c:axId val="1566638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16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(1).xlsx]Region Wise!PivotTable4</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'Region Wise'!$B$3</c:f>
              <c:strCache>
                <c:ptCount val="1"/>
                <c:pt idx="0">
                  <c:v>Sum of Total_amount</c:v>
                </c:pt>
              </c:strCache>
            </c:strRef>
          </c:tx>
          <c:spPr>
            <a:ln w="28575" cap="rnd">
              <a:solidFill>
                <a:schemeClr val="accent1"/>
              </a:solidFill>
              <a:round/>
            </a:ln>
            <a:effectLst/>
          </c:spPr>
          <c:marker>
            <c:symbol val="none"/>
          </c:marker>
          <c:cat>
            <c:strRef>
              <c:f>'Region Wise'!$A$4:$A$24</c:f>
              <c:strCache>
                <c:ptCount val="20"/>
                <c:pt idx="0">
                  <c:v>Aguirre-Keller-South</c:v>
                </c:pt>
                <c:pt idx="1">
                  <c:v>Alexander Group-South</c:v>
                </c:pt>
                <c:pt idx="2">
                  <c:v>Bean, Jones and Park-West</c:v>
                </c:pt>
                <c:pt idx="3">
                  <c:v>Benson-Elliott-East</c:v>
                </c:pt>
                <c:pt idx="4">
                  <c:v>Black-Horn-South</c:v>
                </c:pt>
                <c:pt idx="5">
                  <c:v>Frederick-Wright-West</c:v>
                </c:pt>
                <c:pt idx="6">
                  <c:v>Gardner, Humphrey and Contreras-East</c:v>
                </c:pt>
                <c:pt idx="7">
                  <c:v>Gray Ltd-North</c:v>
                </c:pt>
                <c:pt idx="8">
                  <c:v>Guerrero-Schmitt-East</c:v>
                </c:pt>
                <c:pt idx="9">
                  <c:v>Hill, Wagner and Ballard-East</c:v>
                </c:pt>
                <c:pt idx="10">
                  <c:v>Holloway Ltd-North</c:v>
                </c:pt>
                <c:pt idx="11">
                  <c:v>Johnson-Wright-North</c:v>
                </c:pt>
                <c:pt idx="12">
                  <c:v>Mann-Austin-East</c:v>
                </c:pt>
                <c:pt idx="13">
                  <c:v>Martinez, Adkins and Johnson-North</c:v>
                </c:pt>
                <c:pt idx="14">
                  <c:v>Martinez-Mullins-South</c:v>
                </c:pt>
                <c:pt idx="15">
                  <c:v>Mcdonald Inc-South</c:v>
                </c:pt>
                <c:pt idx="16">
                  <c:v>Moore, Padilla and Butler-South</c:v>
                </c:pt>
                <c:pt idx="17">
                  <c:v>Rivera-Warner-East</c:v>
                </c:pt>
                <c:pt idx="18">
                  <c:v>Shelton PLC-North</c:v>
                </c:pt>
                <c:pt idx="19">
                  <c:v>Thomas, Bridges and Harris-North</c:v>
                </c:pt>
              </c:strCache>
            </c:strRef>
          </c:cat>
          <c:val>
            <c:numRef>
              <c:f>'Region Wise'!$B$4:$B$24</c:f>
              <c:numCache>
                <c:formatCode>General</c:formatCode>
                <c:ptCount val="20"/>
                <c:pt idx="0">
                  <c:v>93048.140500000009</c:v>
                </c:pt>
                <c:pt idx="1">
                  <c:v>118814.11569999999</c:v>
                </c:pt>
                <c:pt idx="2">
                  <c:v>158971.46239999999</c:v>
                </c:pt>
                <c:pt idx="3">
                  <c:v>114533.79660000003</c:v>
                </c:pt>
                <c:pt idx="4">
                  <c:v>98960.807799999995</c:v>
                </c:pt>
                <c:pt idx="5">
                  <c:v>111704.9436</c:v>
                </c:pt>
                <c:pt idx="6">
                  <c:v>114401.4715</c:v>
                </c:pt>
                <c:pt idx="7">
                  <c:v>82232.348308251167</c:v>
                </c:pt>
                <c:pt idx="8">
                  <c:v>104313.05449999998</c:v>
                </c:pt>
                <c:pt idx="9">
                  <c:v>109454.57413400616</c:v>
                </c:pt>
                <c:pt idx="10">
                  <c:v>122531.71142377218</c:v>
                </c:pt>
                <c:pt idx="11">
                  <c:v>125011.8285</c:v>
                </c:pt>
                <c:pt idx="12">
                  <c:v>94189.250911338531</c:v>
                </c:pt>
                <c:pt idx="13">
                  <c:v>101060.60920000002</c:v>
                </c:pt>
                <c:pt idx="14">
                  <c:v>108039.34940000001</c:v>
                </c:pt>
                <c:pt idx="15">
                  <c:v>106248.28329999997</c:v>
                </c:pt>
                <c:pt idx="16">
                  <c:v>110102.39899999999</c:v>
                </c:pt>
                <c:pt idx="17">
                  <c:v>85138.555199999988</c:v>
                </c:pt>
                <c:pt idx="18">
                  <c:v>99679.086000000025</c:v>
                </c:pt>
                <c:pt idx="19">
                  <c:v>116829.22059999997</c:v>
                </c:pt>
              </c:numCache>
            </c:numRef>
          </c:val>
          <c:smooth val="0"/>
          <c:extLst>
            <c:ext xmlns:c16="http://schemas.microsoft.com/office/drawing/2014/chart" uri="{C3380CC4-5D6E-409C-BE32-E72D297353CC}">
              <c16:uniqueId val="{00000000-19C3-414A-A474-0E2B37FA0447}"/>
            </c:ext>
          </c:extLst>
        </c:ser>
        <c:ser>
          <c:idx val="1"/>
          <c:order val="1"/>
          <c:tx>
            <c:strRef>
              <c:f>'Region Wise'!$C$3</c:f>
              <c:strCache>
                <c:ptCount val="1"/>
                <c:pt idx="0">
                  <c:v>Count of Quantity</c:v>
                </c:pt>
              </c:strCache>
            </c:strRef>
          </c:tx>
          <c:spPr>
            <a:ln w="28575" cap="rnd">
              <a:solidFill>
                <a:schemeClr val="accent2"/>
              </a:solidFill>
              <a:round/>
            </a:ln>
            <a:effectLst/>
          </c:spPr>
          <c:marker>
            <c:symbol val="none"/>
          </c:marker>
          <c:cat>
            <c:strRef>
              <c:f>'Region Wise'!$A$4:$A$24</c:f>
              <c:strCache>
                <c:ptCount val="20"/>
                <c:pt idx="0">
                  <c:v>Aguirre-Keller-South</c:v>
                </c:pt>
                <c:pt idx="1">
                  <c:v>Alexander Group-South</c:v>
                </c:pt>
                <c:pt idx="2">
                  <c:v>Bean, Jones and Park-West</c:v>
                </c:pt>
                <c:pt idx="3">
                  <c:v>Benson-Elliott-East</c:v>
                </c:pt>
                <c:pt idx="4">
                  <c:v>Black-Horn-South</c:v>
                </c:pt>
                <c:pt idx="5">
                  <c:v>Frederick-Wright-West</c:v>
                </c:pt>
                <c:pt idx="6">
                  <c:v>Gardner, Humphrey and Contreras-East</c:v>
                </c:pt>
                <c:pt idx="7">
                  <c:v>Gray Ltd-North</c:v>
                </c:pt>
                <c:pt idx="8">
                  <c:v>Guerrero-Schmitt-East</c:v>
                </c:pt>
                <c:pt idx="9">
                  <c:v>Hill, Wagner and Ballard-East</c:v>
                </c:pt>
                <c:pt idx="10">
                  <c:v>Holloway Ltd-North</c:v>
                </c:pt>
                <c:pt idx="11">
                  <c:v>Johnson-Wright-North</c:v>
                </c:pt>
                <c:pt idx="12">
                  <c:v>Mann-Austin-East</c:v>
                </c:pt>
                <c:pt idx="13">
                  <c:v>Martinez, Adkins and Johnson-North</c:v>
                </c:pt>
                <c:pt idx="14">
                  <c:v>Martinez-Mullins-South</c:v>
                </c:pt>
                <c:pt idx="15">
                  <c:v>Mcdonald Inc-South</c:v>
                </c:pt>
                <c:pt idx="16">
                  <c:v>Moore, Padilla and Butler-South</c:v>
                </c:pt>
                <c:pt idx="17">
                  <c:v>Rivera-Warner-East</c:v>
                </c:pt>
                <c:pt idx="18">
                  <c:v>Shelton PLC-North</c:v>
                </c:pt>
                <c:pt idx="19">
                  <c:v>Thomas, Bridges and Harris-North</c:v>
                </c:pt>
              </c:strCache>
            </c:strRef>
          </c:cat>
          <c:val>
            <c:numRef>
              <c:f>'Region Wise'!$C$4:$C$24</c:f>
              <c:numCache>
                <c:formatCode>General</c:formatCode>
                <c:ptCount val="20"/>
                <c:pt idx="0">
                  <c:v>88</c:v>
                </c:pt>
                <c:pt idx="1">
                  <c:v>102</c:v>
                </c:pt>
                <c:pt idx="2">
                  <c:v>127</c:v>
                </c:pt>
                <c:pt idx="3">
                  <c:v>106</c:v>
                </c:pt>
                <c:pt idx="4">
                  <c:v>92</c:v>
                </c:pt>
                <c:pt idx="5">
                  <c:v>106</c:v>
                </c:pt>
                <c:pt idx="6">
                  <c:v>95</c:v>
                </c:pt>
                <c:pt idx="7">
                  <c:v>83</c:v>
                </c:pt>
                <c:pt idx="8">
                  <c:v>105</c:v>
                </c:pt>
                <c:pt idx="9">
                  <c:v>97</c:v>
                </c:pt>
                <c:pt idx="10">
                  <c:v>110</c:v>
                </c:pt>
                <c:pt idx="11">
                  <c:v>114</c:v>
                </c:pt>
                <c:pt idx="12">
                  <c:v>94</c:v>
                </c:pt>
                <c:pt idx="13">
                  <c:v>94</c:v>
                </c:pt>
                <c:pt idx="14">
                  <c:v>108</c:v>
                </c:pt>
                <c:pt idx="15">
                  <c:v>95</c:v>
                </c:pt>
                <c:pt idx="16">
                  <c:v>96</c:v>
                </c:pt>
                <c:pt idx="17">
                  <c:v>93</c:v>
                </c:pt>
                <c:pt idx="18">
                  <c:v>95</c:v>
                </c:pt>
                <c:pt idx="19">
                  <c:v>100</c:v>
                </c:pt>
              </c:numCache>
            </c:numRef>
          </c:val>
          <c:smooth val="0"/>
          <c:extLst>
            <c:ext xmlns:c16="http://schemas.microsoft.com/office/drawing/2014/chart" uri="{C3380CC4-5D6E-409C-BE32-E72D297353CC}">
              <c16:uniqueId val="{00000001-19C3-414A-A474-0E2B37FA0447}"/>
            </c:ext>
          </c:extLst>
        </c:ser>
        <c:dLbls>
          <c:showLegendKey val="0"/>
          <c:showVal val="0"/>
          <c:showCatName val="0"/>
          <c:showSerName val="0"/>
          <c:showPercent val="0"/>
          <c:showBubbleSize val="0"/>
        </c:dLbls>
        <c:smooth val="0"/>
        <c:axId val="494658335"/>
        <c:axId val="425763855"/>
      </c:lineChart>
      <c:catAx>
        <c:axId val="49465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763855"/>
        <c:crosses val="autoZero"/>
        <c:auto val="1"/>
        <c:lblAlgn val="ctr"/>
        <c:lblOffset val="100"/>
        <c:noMultiLvlLbl val="0"/>
      </c:catAx>
      <c:valAx>
        <c:axId val="425763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65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(1).xlsx]payment mode!PivotTable5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 mode'!$B$3:$B$4</c:f>
              <c:strCache>
                <c:ptCount val="1"/>
                <c:pt idx="0">
                  <c:v>2023</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8AC2-4292-9038-4752134B1A0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AC2-4292-9038-4752134B1A0D}"/>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8AC2-4292-9038-4752134B1A0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'payment mode'!$A$5:$A$8</c:f>
              <c:strCache>
                <c:ptCount val="3"/>
                <c:pt idx="0">
                  <c:v>COD</c:v>
                </c:pt>
                <c:pt idx="1">
                  <c:v>Credit Card</c:v>
                </c:pt>
                <c:pt idx="2">
                  <c:v>PayPal</c:v>
                </c:pt>
              </c:strCache>
            </c:strRef>
          </c:cat>
          <c:val>
            <c:numRef>
              <c:f>'payment mode'!$B$5:$B$8</c:f>
              <c:numCache>
                <c:formatCode>General</c:formatCode>
                <c:ptCount val="3"/>
                <c:pt idx="0">
                  <c:v>67845.314923772181</c:v>
                </c:pt>
                <c:pt idx="1">
                  <c:v>84467.031199999998</c:v>
                </c:pt>
                <c:pt idx="2">
                  <c:v>71855.542699999962</c:v>
                </c:pt>
              </c:numCache>
            </c:numRef>
          </c:val>
          <c:extLst>
            <c:ext xmlns:c16="http://schemas.microsoft.com/office/drawing/2014/chart" uri="{C3380CC4-5D6E-409C-BE32-E72D297353CC}">
              <c16:uniqueId val="{00000000-0150-4589-83C9-4F164820D9CD}"/>
            </c:ext>
          </c:extLst>
        </c:ser>
        <c:ser>
          <c:idx val="1"/>
          <c:order val="1"/>
          <c:tx>
            <c:strRef>
              <c:f>'payment mode'!$C$3:$C$4</c:f>
              <c:strCache>
                <c:ptCount val="1"/>
                <c:pt idx="0">
                  <c:v>2024</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8AC2-4292-9038-4752134B1A0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8AC2-4292-9038-4752134B1A0D}"/>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8AC2-4292-9038-4752134B1A0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'payment mode'!$A$5:$A$8</c:f>
              <c:strCache>
                <c:ptCount val="3"/>
                <c:pt idx="0">
                  <c:v>COD</c:v>
                </c:pt>
                <c:pt idx="1">
                  <c:v>Credit Card</c:v>
                </c:pt>
                <c:pt idx="2">
                  <c:v>PayPal</c:v>
                </c:pt>
              </c:strCache>
            </c:strRef>
          </c:cat>
          <c:val>
            <c:numRef>
              <c:f>'payment mode'!$C$5:$C$8</c:f>
              <c:numCache>
                <c:formatCode>General</c:formatCode>
                <c:ptCount val="3"/>
                <c:pt idx="0">
                  <c:v>358305.66469999991</c:v>
                </c:pt>
                <c:pt idx="1">
                  <c:v>319429.08030000009</c:v>
                </c:pt>
                <c:pt idx="2">
                  <c:v>416140.57801133872</c:v>
                </c:pt>
              </c:numCache>
            </c:numRef>
          </c:val>
          <c:extLst>
            <c:ext xmlns:c16="http://schemas.microsoft.com/office/drawing/2014/chart" uri="{C3380CC4-5D6E-409C-BE32-E72D297353CC}">
              <c16:uniqueId val="{00000004-0150-4589-83C9-4F164820D9CD}"/>
            </c:ext>
          </c:extLst>
        </c:ser>
        <c:ser>
          <c:idx val="2"/>
          <c:order val="2"/>
          <c:tx>
            <c:strRef>
              <c:f>'payment mode'!$D$3:$D$4</c:f>
              <c:strCache>
                <c:ptCount val="1"/>
                <c:pt idx="0">
                  <c:v>2025</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8AC2-4292-9038-4752134B1A0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8AC2-4292-9038-4752134B1A0D}"/>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8AC2-4292-9038-4752134B1A0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'payment mode'!$A$5:$A$8</c:f>
              <c:strCache>
                <c:ptCount val="3"/>
                <c:pt idx="0">
                  <c:v>COD</c:v>
                </c:pt>
                <c:pt idx="1">
                  <c:v>Credit Card</c:v>
                </c:pt>
                <c:pt idx="2">
                  <c:v>PayPal</c:v>
                </c:pt>
              </c:strCache>
            </c:strRef>
          </c:cat>
          <c:val>
            <c:numRef>
              <c:f>'payment mode'!$D$5:$D$8</c:f>
              <c:numCache>
                <c:formatCode>General</c:formatCode>
                <c:ptCount val="3"/>
                <c:pt idx="0">
                  <c:v>277552.3598082512</c:v>
                </c:pt>
                <c:pt idx="1">
                  <c:v>310947.45843400614</c:v>
                </c:pt>
                <c:pt idx="2">
                  <c:v>268721.97849999997</c:v>
                </c:pt>
              </c:numCache>
            </c:numRef>
          </c:val>
          <c:extLst>
            <c:ext xmlns:c16="http://schemas.microsoft.com/office/drawing/2014/chart" uri="{C3380CC4-5D6E-409C-BE32-E72D297353CC}">
              <c16:uniqueId val="{00000005-0150-4589-83C9-4F164820D9CD}"/>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[Ecommerce_Sales_Dataset_updated (1).xlsx]Quarter Wise!PivotTable1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'Quarter Wise'!$B$3</c:f>
              <c:strCache>
                <c:ptCount val="1"/>
                <c:pt idx="0">
                  <c:v>Total</c:v>
                </c:pt>
              </c:strCache>
            </c:strRef>
          </c:tx>
          <c:spPr>
            <a:solidFill>
              <a:schemeClr val="accent2"/>
            </a:solidFill>
            <a:ln>
              <a:noFill/>
            </a:ln>
            <a:effectLst/>
          </c:spPr>
          <c:invertIfNegative val="0"/>
          <c:cat>
            <c:strRef>
              <c:f>'Quarter Wise'!$A$4:$A$8</c:f>
              <c:strCache>
                <c:ptCount val="4"/>
                <c:pt idx="0">
                  <c:v>Q1</c:v>
                </c:pt>
                <c:pt idx="1">
                  <c:v>Q2</c:v>
                </c:pt>
                <c:pt idx="2">
                  <c:v>Q3</c:v>
                </c:pt>
                <c:pt idx="3">
                  <c:v>Q4</c:v>
                </c:pt>
              </c:strCache>
            </c:strRef>
          </c:cat>
          <c:val>
            <c:numRef>
              <c:f>'Quarter Wise'!$B$4:$B$8</c:f>
              <c:numCache>
                <c:formatCode>General</c:formatCode>
                <c:ptCount val="4"/>
                <c:pt idx="0">
                  <c:v>540227.60110000032</c:v>
                </c:pt>
                <c:pt idx="1">
                  <c:v>502016.01469999983</c:v>
                </c:pt>
                <c:pt idx="2">
                  <c:v>575956.87095359573</c:v>
                </c:pt>
                <c:pt idx="3">
                  <c:v>557064.52182377258</c:v>
                </c:pt>
              </c:numCache>
            </c:numRef>
          </c:val>
          <c:extLst>
            <c:ext xmlns:c16="http://schemas.microsoft.com/office/drawing/2014/chart" uri="{C3380CC4-5D6E-409C-BE32-E72D297353CC}">
              <c16:uniqueId val="{00000000-44B8-4BEC-BEA5-79B65FF39BC3}"/>
            </c:ext>
          </c:extLst>
        </c:ser>
        <c:dLbls>
          <c:showLegendKey val="0"/>
          <c:showVal val="0"/>
          <c:showCatName val="0"/>
          <c:showSerName val="0"/>
          <c:showPercent val="0"/>
          <c:showBubbleSize val="0"/>
        </c:dLbls>
        <c:gapWidth val="182"/>
        <c:axId val="498217535"/>
        <c:axId val="425836335"/>
      </c:barChart>
      <c:catAx>
        <c:axId val="4982175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Quarter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836335"/>
        <c:crosses val="autoZero"/>
        <c:auto val="1"/>
        <c:lblAlgn val="ctr"/>
        <c:lblOffset val="100"/>
        <c:noMultiLvlLbl val="0"/>
      </c:catAx>
      <c:valAx>
        <c:axId val="4258363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Amount</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21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6</xdr:col>
      <xdr:colOff>327660</xdr:colOff>
      <xdr:row>2</xdr:row>
      <xdr:rowOff>152401</xdr:rowOff>
    </xdr:from>
    <xdr:to>
      <xdr:col>7</xdr:col>
      <xdr:colOff>777240</xdr:colOff>
      <xdr:row>18</xdr:row>
      <xdr:rowOff>15241</xdr:rowOff>
    </xdr:to>
    <mc:AlternateContent xmlns:mc="http://schemas.openxmlformats.org/markup-compatibility/2006" xmlns:a14="http://schemas.microsoft.com/office/drawing/2010/main">
      <mc:Choice Requires="a14">
        <xdr:graphicFrame macro="">
          <xdr:nvGraphicFramePr>
            <xdr:cNvPr id="2" name="Store_Name-Region">
              <a:extLst>
                <a:ext uri="{FF2B5EF4-FFF2-40B4-BE49-F238E27FC236}">
                  <a16:creationId xmlns:a16="http://schemas.microsoft.com/office/drawing/2014/main" id="{90F9CE22-F5D6-E9BB-743F-1E6408B946D3}"/>
                </a:ext>
              </a:extLst>
            </xdr:cNvPr>
            <xdr:cNvGraphicFramePr/>
          </xdr:nvGraphicFramePr>
          <xdr:xfrm>
            <a:off x="0" y="0"/>
            <a:ext cx="0" cy="0"/>
          </xdr:xfrm>
          <a:graphic>
            <a:graphicData uri="http://schemas.microsoft.com/office/drawing/2010/slicer">
              <sle:slicer xmlns:sle="http://schemas.microsoft.com/office/drawing/2010/slicer" name="Store_Name-Region"/>
            </a:graphicData>
          </a:graphic>
        </xdr:graphicFrame>
      </mc:Choice>
      <mc:Fallback xmlns="">
        <xdr:sp macro="" textlink="">
          <xdr:nvSpPr>
            <xdr:cNvPr id="0" name=""/>
            <xdr:cNvSpPr>
              <a:spLocks noTextEdit="1"/>
            </xdr:cNvSpPr>
          </xdr:nvSpPr>
          <xdr:spPr>
            <a:xfrm>
              <a:off x="6210015" y="522719"/>
              <a:ext cx="1831150" cy="28253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1203959</xdr:colOff>
      <xdr:row>2</xdr:row>
      <xdr:rowOff>121065</xdr:rowOff>
    </xdr:from>
    <xdr:to>
      <xdr:col>10</xdr:col>
      <xdr:colOff>1281868</xdr:colOff>
      <xdr:row>17</xdr:row>
      <xdr:rowOff>87630</xdr:rowOff>
    </xdr:to>
    <xdr:graphicFrame macro="">
      <xdr:nvGraphicFramePr>
        <xdr:cNvPr id="3" name="Chart 2">
          <a:extLst>
            <a:ext uri="{FF2B5EF4-FFF2-40B4-BE49-F238E27FC236}">
              <a16:creationId xmlns:a16="http://schemas.microsoft.com/office/drawing/2014/main" id="{AD4B0511-1377-D041-E277-B01356B815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22151</xdr:colOff>
      <xdr:row>5</xdr:row>
      <xdr:rowOff>161261</xdr:rowOff>
    </xdr:from>
    <xdr:to>
      <xdr:col>8</xdr:col>
      <xdr:colOff>1510710</xdr:colOff>
      <xdr:row>20</xdr:row>
      <xdr:rowOff>113415</xdr:rowOff>
    </xdr:to>
    <xdr:graphicFrame macro="">
      <xdr:nvGraphicFramePr>
        <xdr:cNvPr id="2" name="Chart 1">
          <a:extLst>
            <a:ext uri="{FF2B5EF4-FFF2-40B4-BE49-F238E27FC236}">
              <a16:creationId xmlns:a16="http://schemas.microsoft.com/office/drawing/2014/main" id="{A6D754C3-CF6D-767C-9C89-62847602B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495300</xdr:colOff>
      <xdr:row>2</xdr:row>
      <xdr:rowOff>156210</xdr:rowOff>
    </xdr:from>
    <xdr:to>
      <xdr:col>12</xdr:col>
      <xdr:colOff>411480</xdr:colOff>
      <xdr:row>17</xdr:row>
      <xdr:rowOff>156210</xdr:rowOff>
    </xdr:to>
    <xdr:graphicFrame macro="">
      <xdr:nvGraphicFramePr>
        <xdr:cNvPr id="2" name="Chart 1">
          <a:extLst>
            <a:ext uri="{FF2B5EF4-FFF2-40B4-BE49-F238E27FC236}">
              <a16:creationId xmlns:a16="http://schemas.microsoft.com/office/drawing/2014/main" id="{FFF0AAE3-DF04-1196-B858-90D6E7966B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22860</xdr:colOff>
      <xdr:row>2</xdr:row>
      <xdr:rowOff>53340</xdr:rowOff>
    </xdr:from>
    <xdr:to>
      <xdr:col>12</xdr:col>
      <xdr:colOff>99060</xdr:colOff>
      <xdr:row>18</xdr:row>
      <xdr:rowOff>106680</xdr:rowOff>
    </xdr:to>
    <xdr:graphicFrame macro="">
      <xdr:nvGraphicFramePr>
        <xdr:cNvPr id="2" name="Chart 1">
          <a:extLst>
            <a:ext uri="{FF2B5EF4-FFF2-40B4-BE49-F238E27FC236}">
              <a16:creationId xmlns:a16="http://schemas.microsoft.com/office/drawing/2014/main" id="{1F7BF3B0-98A0-4FD5-14AE-FC3E48AAFA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85725</xdr:colOff>
      <xdr:row>1</xdr:row>
      <xdr:rowOff>109537</xdr:rowOff>
    </xdr:from>
    <xdr:to>
      <xdr:col>7</xdr:col>
      <xdr:colOff>2181225</xdr:colOff>
      <xdr:row>18</xdr:row>
      <xdr:rowOff>57149</xdr:rowOff>
    </xdr:to>
    <xdr:graphicFrame macro="">
      <xdr:nvGraphicFramePr>
        <xdr:cNvPr id="3" name="Chart 2">
          <a:extLst>
            <a:ext uri="{FF2B5EF4-FFF2-40B4-BE49-F238E27FC236}">
              <a16:creationId xmlns:a16="http://schemas.microsoft.com/office/drawing/2014/main" id="{5D1F5E82-EA15-C2B8-5AE9-A3DF34C8EB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thili V" refreshedDate="46205.796343981485" backgroundQuery="1" createdVersion="8" refreshedVersion="8" minRefreshableVersion="3" recordCount="0" supportSubquery="1" supportAdvancedDrill="1" xr:uid="{EAAA338A-2282-45F4-B4D6-37BC711C4F41}">
  <cacheSource type="external" connectionId="1"/>
  <cacheFields count="3">
    <cacheField name="[Table1].[Store_Name-Region].[Store_Name-Region]" caption="Store_Name-Region" numFmtId="0" hierarchy="10" level="1">
      <sharedItems count="20">
        <s v="Aguirre-Keller-South"/>
        <s v="Alexander Group-South"/>
        <s v="Bean, Jones and Park-West"/>
        <s v="Benson-Elliott-East"/>
        <s v="Black-Horn-South"/>
        <s v="Frederick-Wright-West"/>
        <s v="Gardner, Humphrey and Contreras-East"/>
        <s v="Gray Ltd-North"/>
        <s v="Guerrero-Schmitt-East"/>
        <s v="Hill, Wagner and Ballard-East"/>
        <s v="Holloway Ltd-North"/>
        <s v="Johnson-Wright-North"/>
        <s v="Mann-Austin-East"/>
        <s v="Martinez, Adkins and Johnson-North"/>
        <s v="Martinez-Mullins-South"/>
        <s v="Mcdonald Inc-South"/>
        <s v="Moore, Padilla and Butler-South"/>
        <s v="Rivera-Warner-East"/>
        <s v="Shelton PLC-North"/>
        <s v="Thomas, Bridges and Harris-North"/>
      </sharedItems>
    </cacheField>
    <cacheField name="[Measures].[Sum of Total_amount]" caption="Sum of Total_amount" numFmtId="0" hierarchy="19" level="32767"/>
    <cacheField name="[Measures].[Count of Quantity]" caption="Count of Quantity" numFmtId="0" hierarchy="21" level="32767"/>
  </cacheFields>
  <cacheHierarchies count="22">
    <cacheHierarchy uniqueName="[Table1].[Sales_ID]" caption="Sales_ID" attribute="1" defaultMemberUniqueName="[Table1].[Sales_ID].[All]" allUniqueName="[Table1].[Sales_ID].[All]" dimensionUniqueName="[Table1]" displayFolder="" count="0" memberValueDatatype="130" unbalanced="0"/>
    <cacheHierarchy uniqueName="[Table1].[Column3]" caption="Column3" attribute="1" defaultMemberUniqueName="[Table1].[Column3].[All]" allUniqueName="[Table1].[Column3].[All]" dimensionUniqueName="[Table1]" displayFolder="" count="0" memberValueDatatype="130" unbalanced="0"/>
    <cacheHierarchy uniqueName="[Table1].[Column2]" caption="Column2" attribute="1" defaultMemberUniqueName="[Table1].[Column2].[All]" allUniqueName="[Table1].[Column2].[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City]" caption="Customer City" attribute="1" defaultMemberUniqueName="[Table1].[Customer City].[All]" allUniqueName="[Table1].[Customer City].[All]" dimensionUniqueName="[Table1]" displayFolder="" count="0" memberValueDatatype="130" unbalanced="0"/>
    <cacheHierarchy uniqueName="[Table1].[Customer_ID]" caption="Customer_ID" attribute="1" defaultMemberUniqueName="[Table1].[Customer_ID].[All]" allUniqueName="[Table1].[Customer_ID].[All]" dimensionUniqueName="[Table1]" displayFolder="" count="0" memberValueDatatype="130" unbalanced="0"/>
    <cacheHierarchy uniqueName="[Table1].[Product name with category]" caption="Product name with category" attribute="1" defaultMemberUniqueName="[Table1].[Product name with category].[All]" allUniqueName="[Table1].[Product name with category].[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Store_Name-Region]" caption="Store_Name-Region" attribute="1" defaultMemberUniqueName="[Table1].[Store_Name-Region].[All]" allUniqueName="[Table1].[Store_Name-Region].[All]" dimensionUniqueName="[Table1]" displayFolder="" count="2" memberValueDatatype="130" unbalanced="0">
      <fieldsUsage count="2">
        <fieldUsage x="-1"/>
        <fieldUsage x="0"/>
      </fieldsUsage>
    </cacheHierarchy>
    <cacheHierarchy uniqueName="[Table1].[Store_ID]" caption="Store_ID" attribute="1" defaultMemberUniqueName="[Table1].[Store_ID].[All]" allUniqueName="[Table1].[Store_ID].[All]" dimensionUniqueName="[Table1]" displayFolder="" count="0" memberValueDatatype="130" unbalanced="0"/>
    <cacheHierarchy uniqueName="[Table1].[Quantity]" caption="Quantity" attribute="1" defaultMemberUniqueName="[Table1].[Quantity].[All]" allUniqueName="[Table1].[Quantity].[All]" dimensionUniqueName="[Table1]" displayFolder="" count="2" memberValueDatatype="13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ayment_Type]" caption="Payment_Type" attribute="1" defaultMemberUniqueName="[Table1].[Payment_Type].[All]" allUniqueName="[Table1].[Payment_Type].[All]" dimensionUniqueName="[Table1]" displayFolder="" count="0" memberValueDatatype="130" unbalanced="0"/>
    <cacheHierarchy uniqueName="[Table1].[Total_amount]" caption="Total_amount" attribute="1" defaultMemberUniqueName="[Table1].[Total_amount].[All]" allUniqueName="[Table1].[Total_amoun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amount]" caption="Sum of Total_amount"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Column1]" caption="Sum of Column1" measure="1" displayFolder="" measureGroup="Table1"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thili V" refreshedDate="46209.294538425929" backgroundQuery="1" createdVersion="8" refreshedVersion="8" minRefreshableVersion="3" recordCount="0" supportSubquery="1" supportAdvancedDrill="1" xr:uid="{B5D3CF17-8DB9-4640-B7B3-0056471B2057}">
  <cacheSource type="external" connectionId="1"/>
  <cacheFields count="2">
    <cacheField name="[Table1].[Product name with category].[Product name with category]" caption="Product name with category" numFmtId="0" hierarchy="8" level="1">
      <sharedItems count="100">
        <s v="4K Home Projector-Electronics"/>
        <s v="Adjustable Dumbbell Set-Sports"/>
        <s v="Adjustable Dumbbells 20kg-Sports"/>
        <s v="Adjustable Jump Rope-Sports"/>
        <s v="Badminton Racket Set-Sports"/>
        <s v="Basketball-Sports"/>
        <s v="Beard Grooming Kit-Beauty"/>
        <s v="Bedroom Table Lamp-Home"/>
        <s v="Bluetooth Car Audio System-Electronics"/>
        <s v="Boxing Hand Wraps-Sports"/>
        <s v="Brother Laser Printer-Electronics"/>
        <s v="Car Dashboard Phone Holder-Electronics"/>
        <s v="Carbon Fiber Tennis Racket-Sports"/>
        <s v="Ceramic Kitchen Bowl Set-Home"/>
        <s v="Ceramic Plant Pot-Home"/>
        <s v="Cricket Bat-Sports"/>
        <s v="Decorative Floor Vase-Home"/>
        <s v="Decorative Lamp Shade-Home"/>
        <s v="Decorative Wall Mirror-Home"/>
        <s v="Essential Oil Diffuser-Home"/>
        <s v="Fabric Sofa Throw Blanket-Home"/>
        <s v="Face Foundation Kit-Beauty"/>
        <s v="Fitness Resistance Bands-Sports"/>
        <s v="Foam Roller-Sports"/>
        <s v="Foldable Camping Chair-Sports"/>
        <s v="Gaming Mechanical Keyboard-Electronics"/>
        <s v="Gaming Mouse Pad XL-Electronics"/>
        <s v="Hair Repair Oil Treatment-Beauty"/>
        <s v="Hair Strengthening Shampoo-Beauty"/>
        <s v="HD Smart TV Stick-Electronics"/>
        <s v="HDMI Cable – 2m-Electronics"/>
        <s v="Herbal Face Moisturizer-Beauty"/>
        <s v="High-Grip Football-Sports"/>
        <s v="Hydrating Face Cleanser-Beauty"/>
        <s v="Kitchen Cutting Board-Home"/>
        <s v="Kitchen Storage Rack-Home"/>
        <s v="Knee Support Brace-Sports"/>
        <s v="Laptop Cooling Pad-Electronics"/>
        <s v="LED Bedside Lamp-Home"/>
        <s v="LED Table Lamp-Home"/>
        <s v="Luxury Perfume Spray-Beauty"/>
        <s v="Makeup Brush Set-Beauty"/>
        <s v="Matte Lipstick Set-Beauty"/>
        <s v="Men's Casual Sneakers-Clothing"/>
        <s v="Men's Formal Shirt-Clothing"/>
        <s v="Men's Graphic T-Shirt-Clothing"/>
        <s v="Men's Hair Styling Gel-Beauty"/>
        <s v="Men's Leather Belt-Clothing"/>
        <s v="Men's Roll-On Perfume-Beauty"/>
        <s v="Men's Running Jacket-Clothing"/>
        <s v="Men's Sports Shorts-Clothing"/>
        <s v="Men's Track Pants-Clothing"/>
        <s v="Men's Winter Jacket-Clothing"/>
        <s v="Microwave Oven-Home"/>
        <s v="Modern Wall Clock-Home"/>
        <s v="Multi-Purpose Storage Box-Home"/>
        <s v="Noise-Canceling Headphones-Electronics"/>
        <s v="Organic Sunscreen Lotion-Beauty"/>
        <s v="Outdoor Sports Water Bottle-Sports"/>
        <s v="Portable Bluetooth Speaker-Electronics"/>
        <s v="Portable Power Bank-Electronics"/>
        <s v="Premium Blanket Throw-Home"/>
        <s v="Professional Jump Rope-Sports"/>
        <s v="Rugby Ball-Sports"/>
        <s v="Shin Guards – Adult-Sports"/>
        <s v="Smart Home WiFi Camera-Electronics"/>
        <s v="Smart LED Light Strip-Electronics"/>
        <s v="Soccer Training Cone Set-Sports"/>
        <s v="Sports Stopwatch Basic-Sports"/>
        <s v="Sports Stopwatch Pro-Sports"/>
        <s v="Sports Stopwatch Timer-Sports"/>
        <s v="Sports Water Hydration Pack-Sports"/>
        <s v="Sports Wrist Sweatbands-Sports"/>
        <s v="Stainless Steel Cookware Set-Home"/>
        <s v="Stainless Steel Cutlery Set-Home"/>
        <s v="Tennis Ball 3-Pack-Sports"/>
        <s v="USB External Hard Drive-Electronics"/>
        <s v="USB-C Fast Charger-Electronics"/>
        <s v="USB-C Laptop Charger-Electronics"/>
        <s v="Vitamin C Face Serum-Beauty"/>
        <s v="Vitamin E Body Lotion-Beauty"/>
        <s v="Wall-Mounted Spice Rack-Home"/>
        <s v="WiFi Mesh Router-Electronics"/>
        <s v="Wireless Bluetooth Earbuds-Electronics"/>
        <s v="Wireless Bluetooth Speaker-Electronics"/>
        <s v="Wireless Mouse-Electronics"/>
        <s v="Women's Ankle Boots-Clothing"/>
        <s v="Women's Beanie Hat-Clothing"/>
        <s v="Women's Casual Hoodie-Clothing"/>
        <s v="Womens Cotton Scarf-Clothing"/>
        <s v="Women's Denim Jeans-Clothing"/>
        <s v="Women's Formal Blazer-Clothing"/>
        <s v="Women's Hair Dryer Brush-Beauty"/>
        <s v="Women's High Heels-Clothing"/>
        <s v="Women's Scarf Set-Clothing"/>
        <s v="Women's Summer Dress-Clothing"/>
        <s v="Women's Yoga Pants-Clothing"/>
        <s v="Wooden Bookshelf-Home"/>
        <s v="Wooden Nightstand-Home"/>
        <s v="Yoga Exercise Mat-Sports"/>
      </sharedItems>
    </cacheField>
    <cacheField name="[Measures].[Sum of Total_amount]" caption="Sum of Total_amount" numFmtId="0" hierarchy="19" level="32767"/>
  </cacheFields>
  <cacheHierarchies count="22">
    <cacheHierarchy uniqueName="[Table1].[Sales_ID]" caption="Sales_ID" attribute="1" defaultMemberUniqueName="[Table1].[Sales_ID].[All]" allUniqueName="[Table1].[Sales_ID].[All]" dimensionUniqueName="[Table1]" displayFolder="" count="2" memberValueDatatype="130" unbalanced="0"/>
    <cacheHierarchy uniqueName="[Table1].[Column3]" caption="Column3" attribute="1" defaultMemberUniqueName="[Table1].[Column3].[All]" allUniqueName="[Table1].[Column3].[All]" dimensionUniqueName="[Table1]" displayFolder="" count="2" memberValueDatatype="130" unbalanced="0"/>
    <cacheHierarchy uniqueName="[Table1].[Column2]" caption="Column2" attribute="1" defaultMemberUniqueName="[Table1].[Column2].[All]" allUniqueName="[Table1].[Column2].[All]" dimensionUniqueName="[Table1]" displayFolder="" count="2" memberValueDatatype="130" unbalanced="0"/>
    <cacheHierarchy uniqueName="[Table1].[Column1]" caption="Column1" attribute="1" defaultMemberUniqueName="[Table1].[Column1].[All]" allUniqueName="[Table1].[Column1].[All]" dimensionUniqueName="[Table1]" displayFolder="" count="2" memberValueDatatype="20" unbalanced="0"/>
    <cacheHierarchy uniqueName="[Table1].[Order_Date]" caption="Order_Date" attribute="1" time="1" defaultMemberUniqueName="[Table1].[Order_Date].[All]" allUniqueName="[Table1].[Order_Date].[All]" dimensionUniqueName="[Table1]" displayFolder="" count="2" memberValueDatatype="7"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Customer City]" caption="Customer City" attribute="1" defaultMemberUniqueName="[Table1].[Customer City].[All]" allUniqueName="[Table1].[Customer City].[All]" dimensionUniqueName="[Table1]" displayFolder="" count="2" memberValueDatatype="130" unbalanced="0"/>
    <cacheHierarchy uniqueName="[Table1].[Customer_ID]" caption="Customer_ID" attribute="1" defaultMemberUniqueName="[Table1].[Customer_ID].[All]" allUniqueName="[Table1].[Customer_ID].[All]" dimensionUniqueName="[Table1]" displayFolder="" count="2" memberValueDatatype="130" unbalanced="0"/>
    <cacheHierarchy uniqueName="[Table1].[Product name with category]" caption="Product name with category" attribute="1" defaultMemberUniqueName="[Table1].[Product name with category].[All]" allUniqueName="[Table1].[Product name with category].[All]" dimensionUniqueName="[Table1]" displayFolder="" count="2" memberValueDatatype="130" unbalanced="0">
      <fieldsUsage count="2">
        <fieldUsage x="-1"/>
        <fieldUsage x="0"/>
      </fieldsUsage>
    </cacheHierarchy>
    <cacheHierarchy uniqueName="[Table1].[Product_ID]" caption="Product_ID" attribute="1" defaultMemberUniqueName="[Table1].[Product_ID].[All]" allUniqueName="[Table1].[Product_ID].[All]" dimensionUniqueName="[Table1]" displayFolder="" count="2" memberValueDatatype="130" unbalanced="0"/>
    <cacheHierarchy uniqueName="[Table1].[Store_Name-Region]" caption="Store_Name-Region" attribute="1" defaultMemberUniqueName="[Table1].[Store_Name-Region].[All]" allUniqueName="[Table1].[Store_Name-Region].[All]" dimensionUniqueName="[Table1]" displayFolder="" count="2" memberValueDatatype="130" unbalanced="0"/>
    <cacheHierarchy uniqueName="[Table1].[Store_ID]" caption="Store_ID" attribute="1" defaultMemberUniqueName="[Table1].[Store_ID].[All]" allUniqueName="[Table1].[Store_ID].[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130" unbalanced="0"/>
    <cacheHierarchy uniqueName="[Table1].[Unit_Price]" caption="Unit_Price" attribute="1" defaultMemberUniqueName="[Table1].[Unit_Price].[All]" allUniqueName="[Table1].[Unit_Price].[All]" dimensionUniqueName="[Table1]" displayFolder="" count="2" memberValueDatatype="5" unbalanced="0"/>
    <cacheHierarchy uniqueName="[Table1].[Discount]" caption="Discount" attribute="1" defaultMemberUniqueName="[Table1].[Discount].[All]" allUniqueName="[Table1].[Discount].[All]" dimensionUniqueName="[Table1]" displayFolder="" count="2" memberValueDatatype="5" unbalanced="0"/>
    <cacheHierarchy uniqueName="[Table1].[Payment_Type]" caption="Payment_Type" attribute="1" defaultMemberUniqueName="[Table1].[Payment_Type].[All]" allUniqueName="[Table1].[Payment_Type].[All]" dimensionUniqueName="[Table1]" displayFolder="" count="2" memberValueDatatype="130" unbalanced="0"/>
    <cacheHierarchy uniqueName="[Table1].[Total_amount]" caption="Total_amount" attribute="1" defaultMemberUniqueName="[Table1].[Total_amount].[All]" allUniqueName="[Table1].[Total_amount].[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amount]" caption="Sum of Total_amount"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Column1]" caption="Sum of Column1" measure="1" displayFolder="" measureGroup="Table1"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thili V" refreshedDate="46209.29550601852" backgroundQuery="1" createdVersion="8" refreshedVersion="8" minRefreshableVersion="3" recordCount="0" supportSubquery="1" supportAdvancedDrill="1" xr:uid="{26CFB9FC-1DB0-44EE-81FE-667B546C732A}">
  <cacheSource type="external" connectionId="1"/>
  <cacheFields count="3">
    <cacheField name="[Table1].[Column1].[Column1]" caption="Column1" numFmtId="0" hierarchy="3" level="1">
      <sharedItems containsSemiMixedTypes="0" containsString="0" containsNumber="1" containsInteger="1" minValue="2023" maxValue="2025" count="3">
        <n v="2023"/>
        <n v="2024"/>
        <n v="2025"/>
      </sharedItems>
      <extLst>
        <ext xmlns:x15="http://schemas.microsoft.com/office/spreadsheetml/2010/11/main" uri="{4F2E5C28-24EA-4eb8-9CBF-B6C8F9C3D259}">
          <x15:cachedUniqueNames>
            <x15:cachedUniqueName index="0" name="[Table1].[Column1].&amp;[2023]"/>
            <x15:cachedUniqueName index="1" name="[Table1].[Column1].&amp;[2024]"/>
            <x15:cachedUniqueName index="2" name="[Table1].[Column1].&amp;[2025]"/>
          </x15:cachedUniqueNames>
        </ext>
      </extLst>
    </cacheField>
    <cacheField name="[Measures].[Sum of Total_amount]" caption="Sum of Total_amount" numFmtId="0" hierarchy="19" level="32767"/>
    <cacheField name="[Table1].[Store_Name-Region].[Store_Name-Region]" caption="Store_Name-Region" numFmtId="0" hierarchy="10" level="1">
      <sharedItems count="15">
        <s v="Aguirre-Keller-South"/>
        <s v="Alexander Group-South"/>
        <s v="Bean, Jones and Park-West"/>
        <s v="Benson-Elliott-East"/>
        <s v="Black-Horn-South"/>
        <s v="Frederick-Wright-West"/>
        <s v="Gardner, Humphrey and Contreras-East"/>
        <s v="Gray Ltd-North"/>
        <s v="Guerrero-Schmitt-East"/>
        <s v="Holloway Ltd-North"/>
        <s v="Mcdonald Inc-South"/>
        <s v="Moore, Padilla and Butler-South"/>
        <s v="Rivera-Warner-East"/>
        <s v="Shelton PLC-North"/>
        <s v="Thomas, Bridges and Harris-North"/>
      </sharedItems>
    </cacheField>
  </cacheFields>
  <cacheHierarchies count="22">
    <cacheHierarchy uniqueName="[Table1].[Sales_ID]" caption="Sales_ID" attribute="1" defaultMemberUniqueName="[Table1].[Sales_ID].[All]" allUniqueName="[Table1].[Sales_ID].[All]" dimensionUniqueName="[Table1]" displayFolder="" count="0" memberValueDatatype="130" unbalanced="0"/>
    <cacheHierarchy uniqueName="[Table1].[Column3]" caption="Column3" attribute="1" defaultMemberUniqueName="[Table1].[Column3].[All]" allUniqueName="[Table1].[Column3].[All]" dimensionUniqueName="[Table1]" displayFolder="" count="0" memberValueDatatype="130" unbalanced="0"/>
    <cacheHierarchy uniqueName="[Table1].[Column2]" caption="Column2" attribute="1" defaultMemberUniqueName="[Table1].[Column2].[All]" allUniqueName="[Table1].[Column2].[All]" dimensionUniqueName="[Table1]" displayFolder="" count="0" memberValueDatatype="130" unbalanced="0"/>
    <cacheHierarchy uniqueName="[Table1].[Column1]" caption="Column1" attribute="1" defaultMemberUniqueName="[Table1].[Column1].[All]" allUniqueName="[Table1].[Column1].[All]" dimensionUniqueName="[Table1]" displayFolder="" count="2" memberValueDatatype="20" unbalanced="0">
      <fieldsUsage count="2">
        <fieldUsage x="-1"/>
        <fieldUsage x="0"/>
      </fieldsUsage>
    </cacheHierarchy>
    <cacheHierarchy uniqueName="[Table1].[Order_Date]" caption="Order_Date" attribute="1" time="1" defaultMemberUniqueName="[Table1].[Order_Date].[All]" allUniqueName="[Table1].[Order_Date].[All]" dimensionUniqueName="[Table1]" displayFolder="" count="0" memberValueDatatype="7"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City]" caption="Customer City" attribute="1" defaultMemberUniqueName="[Table1].[Customer City].[All]" allUniqueName="[Table1].[Customer City].[All]" dimensionUniqueName="[Table1]" displayFolder="" count="0" memberValueDatatype="130" unbalanced="0"/>
    <cacheHierarchy uniqueName="[Table1].[Customer_ID]" caption="Customer_ID" attribute="1" defaultMemberUniqueName="[Table1].[Customer_ID].[All]" allUniqueName="[Table1].[Customer_ID].[All]" dimensionUniqueName="[Table1]" displayFolder="" count="0" memberValueDatatype="130" unbalanced="0"/>
    <cacheHierarchy uniqueName="[Table1].[Product name with category]" caption="Product name with category" attribute="1" defaultMemberUniqueName="[Table1].[Product name with category].[All]" allUniqueName="[Table1].[Product name with category].[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Store_Name-Region]" caption="Store_Name-Region" attribute="1" defaultMemberUniqueName="[Table1].[Store_Name-Region].[All]" allUniqueName="[Table1].[Store_Name-Region].[All]" dimensionUniqueName="[Table1]" displayFolder="" count="2" memberValueDatatype="130" unbalanced="0">
      <fieldsUsage count="2">
        <fieldUsage x="-1"/>
        <fieldUsage x="2"/>
      </fieldsUsage>
    </cacheHierarchy>
    <cacheHierarchy uniqueName="[Table1].[Store_ID]" caption="Store_ID" attribute="1" defaultMemberUniqueName="[Table1].[Store_ID].[All]" allUniqueName="[Table1].[Store_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ayment_Type]" caption="Payment_Type" attribute="1" defaultMemberUniqueName="[Table1].[Payment_Type].[All]" allUniqueName="[Table1].[Payment_Type].[All]" dimensionUniqueName="[Table1]" displayFolder="" count="0" memberValueDatatype="130" unbalanced="0"/>
    <cacheHierarchy uniqueName="[Table1].[Total_amount]" caption="Total_amount" attribute="1" defaultMemberUniqueName="[Table1].[Total_amount].[All]" allUniqueName="[Table1].[Total_amoun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amount]" caption="Sum of Total_amount"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Column1]" caption="Sum of Column1" measure="1" displayFolder="" measureGroup="Table1"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thili V" refreshedDate="46209.298265046295" backgroundQuery="1" createdVersion="8" refreshedVersion="8" minRefreshableVersion="3" recordCount="0" supportSubquery="1" supportAdvancedDrill="1" xr:uid="{F279AAAD-099B-4168-AF93-32CC5D0F608C}">
  <cacheSource type="external" connectionId="1"/>
  <cacheFields count="2">
    <cacheField name="[Table1].[Column3].[Column3]" caption="Column3" numFmtId="0" hierarchy="1" level="1">
      <sharedItems count="4">
        <s v="Q1"/>
        <s v="Q2"/>
        <s v="Q3"/>
        <s v="Q4"/>
      </sharedItems>
    </cacheField>
    <cacheField name="[Measures].[Sum of Total_amount]" caption="Sum of Total_amount" numFmtId="0" hierarchy="19" level="32767"/>
  </cacheFields>
  <cacheHierarchies count="22">
    <cacheHierarchy uniqueName="[Table1].[Sales_ID]" caption="Sales_ID" attribute="1" defaultMemberUniqueName="[Table1].[Sales_ID].[All]" allUniqueName="[Table1].[Sales_ID].[All]" dimensionUniqueName="[Table1]" displayFolder="" count="0" memberValueDatatype="130" unbalanced="0"/>
    <cacheHierarchy uniqueName="[Table1].[Column3]" caption="Column3" attribute="1" defaultMemberUniqueName="[Table1].[Column3].[All]" allUniqueName="[Table1].[Column3].[All]" dimensionUniqueName="[Table1]" displayFolder="" count="2" memberValueDatatype="130" unbalanced="0">
      <fieldsUsage count="2">
        <fieldUsage x="-1"/>
        <fieldUsage x="0"/>
      </fieldsUsage>
    </cacheHierarchy>
    <cacheHierarchy uniqueName="[Table1].[Column2]" caption="Column2" attribute="1" defaultMemberUniqueName="[Table1].[Column2].[All]" allUniqueName="[Table1].[Column2].[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City]" caption="Customer City" attribute="1" defaultMemberUniqueName="[Table1].[Customer City].[All]" allUniqueName="[Table1].[Customer City].[All]" dimensionUniqueName="[Table1]" displayFolder="" count="2" memberValueDatatype="130" unbalanced="0"/>
    <cacheHierarchy uniqueName="[Table1].[Customer_ID]" caption="Customer_ID" attribute="1" defaultMemberUniqueName="[Table1].[Customer_ID].[All]" allUniqueName="[Table1].[Customer_ID].[All]" dimensionUniqueName="[Table1]" displayFolder="" count="0" memberValueDatatype="130" unbalanced="0"/>
    <cacheHierarchy uniqueName="[Table1].[Product name with category]" caption="Product name with category" attribute="1" defaultMemberUniqueName="[Table1].[Product name with category].[All]" allUniqueName="[Table1].[Product name with category].[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Store_Name-Region]" caption="Store_Name-Region" attribute="1" defaultMemberUniqueName="[Table1].[Store_Name-Region].[All]" allUniqueName="[Table1].[Store_Name-Region].[All]" dimensionUniqueName="[Table1]" displayFolder="" count="2" memberValueDatatype="130" unbalanced="0"/>
    <cacheHierarchy uniqueName="[Table1].[Store_ID]" caption="Store_ID" attribute="1" defaultMemberUniqueName="[Table1].[Store_ID].[All]" allUniqueName="[Table1].[Store_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ayment_Type]" caption="Payment_Type" attribute="1" defaultMemberUniqueName="[Table1].[Payment_Type].[All]" allUniqueName="[Table1].[Payment_Type].[All]" dimensionUniqueName="[Table1]" displayFolder="" count="0" memberValueDatatype="130" unbalanced="0"/>
    <cacheHierarchy uniqueName="[Table1].[Total_amount]" caption="Total_amount" attribute="1" defaultMemberUniqueName="[Table1].[Total_amount].[All]" allUniqueName="[Table1].[Total_amoun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amount]" caption="Sum of Total_amount"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Column1]" caption="Sum of Column1" measure="1" displayFolder="" measureGroup="Table1"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thili V" refreshedDate="46209.47083726852" backgroundQuery="1" createdVersion="8" refreshedVersion="8" minRefreshableVersion="3" recordCount="0" supportSubquery="1" supportAdvancedDrill="1" xr:uid="{ECFBDF25-7058-4D73-B8A6-758718D0FC90}">
  <cacheSource type="external" connectionId="1"/>
  <cacheFields count="4">
    <cacheField name="[Table1].[Column2].[Column2]" caption="Column2" numFmtId="0" hierarchy="2" level="1">
      <sharedItems count="12">
        <s v="April"/>
        <s v="August"/>
        <s v="December"/>
        <s v="February"/>
        <s v="January"/>
        <s v="July"/>
        <s v="June"/>
        <s v="March"/>
        <s v="May"/>
        <s v="November"/>
        <s v="October"/>
        <s v="September"/>
      </sharedItems>
    </cacheField>
    <cacheField name="[Measures].[Sum of Total_amount]" caption="Sum of Total_amount" numFmtId="0" hierarchy="19" level="32767"/>
    <cacheField name="[Table1].[Column1].[Column1]" caption="Column1" numFmtId="0" hierarchy="3" level="1">
      <sharedItems containsSemiMixedTypes="0" containsString="0" containsNumber="1" containsInteger="1" minValue="2023" maxValue="2025" count="3">
        <n v="2023"/>
        <n v="2024"/>
        <n v="2025"/>
      </sharedItems>
      <extLst>
        <ext xmlns:x15="http://schemas.microsoft.com/office/spreadsheetml/2010/11/main" uri="{4F2E5C28-24EA-4eb8-9CBF-B6C8F9C3D259}">
          <x15:cachedUniqueNames>
            <x15:cachedUniqueName index="0" name="[Table1].[Column1].&amp;[2023]"/>
            <x15:cachedUniqueName index="1" name="[Table1].[Column1].&amp;[2024]"/>
            <x15:cachedUniqueName index="2" name="[Table1].[Column1].&amp;[2025]"/>
          </x15:cachedUniqueNames>
        </ext>
      </extLst>
    </cacheField>
    <cacheField name="[Table1].[Store_Name-Region].[Store_Name-Region]" caption="Store_Name-Region" numFmtId="0" hierarchy="10" level="1">
      <sharedItems containsSemiMixedTypes="0" containsNonDate="0" containsString="0"/>
    </cacheField>
  </cacheFields>
  <cacheHierarchies count="22">
    <cacheHierarchy uniqueName="[Table1].[Sales_ID]" caption="Sales_ID" attribute="1" defaultMemberUniqueName="[Table1].[Sales_ID].[All]" allUniqueName="[Table1].[Sales_ID].[All]" dimensionUniqueName="[Table1]" displayFolder="" count="2" memberValueDatatype="130" unbalanced="0"/>
    <cacheHierarchy uniqueName="[Table1].[Column3]" caption="Column3" attribute="1" defaultMemberUniqueName="[Table1].[Column3].[All]" allUniqueName="[Table1].[Column3].[All]" dimensionUniqueName="[Table1]" displayFolder="" count="2" memberValueDatatype="130" unbalanced="0"/>
    <cacheHierarchy uniqueName="[Table1].[Column2]" caption="Column2" attribute="1" defaultMemberUniqueName="[Table1].[Column2].[All]" allUniqueName="[Table1].[Column2].[All]" dimensionUniqueName="[Table1]" displayFolder="" count="2" memberValueDatatype="130" unbalanced="0">
      <fieldsUsage count="2">
        <fieldUsage x="-1"/>
        <fieldUsage x="0"/>
      </fieldsUsage>
    </cacheHierarchy>
    <cacheHierarchy uniqueName="[Table1].[Column1]" caption="Column1" attribute="1" defaultMemberUniqueName="[Table1].[Column1].[All]" allUniqueName="[Table1].[Column1].[All]" dimensionUniqueName="[Table1]" displayFolder="" count="2" memberValueDatatype="20" unbalanced="0">
      <fieldsUsage count="2">
        <fieldUsage x="-1"/>
        <fieldUsage x="2"/>
      </fieldsUsage>
    </cacheHierarchy>
    <cacheHierarchy uniqueName="[Table1].[Order_Date]" caption="Order_Date" attribute="1" time="1" defaultMemberUniqueName="[Table1].[Order_Date].[All]" allUniqueName="[Table1].[Order_Date].[All]" dimensionUniqueName="[Table1]" displayFolder="" count="2" memberValueDatatype="7"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Customer City]" caption="Customer City" attribute="1" defaultMemberUniqueName="[Table1].[Customer City].[All]" allUniqueName="[Table1].[Customer City].[All]" dimensionUniqueName="[Table1]" displayFolder="" count="2" memberValueDatatype="130" unbalanced="0"/>
    <cacheHierarchy uniqueName="[Table1].[Customer_ID]" caption="Customer_ID" attribute="1" defaultMemberUniqueName="[Table1].[Customer_ID].[All]" allUniqueName="[Table1].[Customer_ID].[All]" dimensionUniqueName="[Table1]" displayFolder="" count="2" memberValueDatatype="130" unbalanced="0"/>
    <cacheHierarchy uniqueName="[Table1].[Product name with category]" caption="Product name with category" attribute="1" defaultMemberUniqueName="[Table1].[Product name with category].[All]" allUniqueName="[Table1].[Product name with category].[All]" dimensionUniqueName="[Table1]" displayFolder="" count="2" memberValueDatatype="130" unbalanced="0"/>
    <cacheHierarchy uniqueName="[Table1].[Product_ID]" caption="Product_ID" attribute="1" defaultMemberUniqueName="[Table1].[Product_ID].[All]" allUniqueName="[Table1].[Product_ID].[All]" dimensionUniqueName="[Table1]" displayFolder="" count="2" memberValueDatatype="130" unbalanced="0"/>
    <cacheHierarchy uniqueName="[Table1].[Store_Name-Region]" caption="Store_Name-Region" attribute="1" defaultMemberUniqueName="[Table1].[Store_Name-Region].[All]" allUniqueName="[Table1].[Store_Name-Region].[All]" dimensionUniqueName="[Table1]" displayFolder="" count="2" memberValueDatatype="130" unbalanced="0">
      <fieldsUsage count="2">
        <fieldUsage x="-1"/>
        <fieldUsage x="3"/>
      </fieldsUsage>
    </cacheHierarchy>
    <cacheHierarchy uniqueName="[Table1].[Store_ID]" caption="Store_ID" attribute="1" defaultMemberUniqueName="[Table1].[Store_ID].[All]" allUniqueName="[Table1].[Store_ID].[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130" unbalanced="0"/>
    <cacheHierarchy uniqueName="[Table1].[Unit_Price]" caption="Unit_Price" attribute="1" defaultMemberUniqueName="[Table1].[Unit_Price].[All]" allUniqueName="[Table1].[Unit_Price].[All]" dimensionUniqueName="[Table1]" displayFolder="" count="2" memberValueDatatype="5" unbalanced="0"/>
    <cacheHierarchy uniqueName="[Table1].[Discount]" caption="Discount" attribute="1" defaultMemberUniqueName="[Table1].[Discount].[All]" allUniqueName="[Table1].[Discount].[All]" dimensionUniqueName="[Table1]" displayFolder="" count="2" memberValueDatatype="5" unbalanced="0"/>
    <cacheHierarchy uniqueName="[Table1].[Payment_Type]" caption="Payment_Type" attribute="1" defaultMemberUniqueName="[Table1].[Payment_Type].[All]" allUniqueName="[Table1].[Payment_Type].[All]" dimensionUniqueName="[Table1]" displayFolder="" count="2" memberValueDatatype="130" unbalanced="0"/>
    <cacheHierarchy uniqueName="[Table1].[Total_amount]" caption="Total_amount" attribute="1" defaultMemberUniqueName="[Table1].[Total_amount].[All]" allUniqueName="[Table1].[Total_amount].[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amount]" caption="Sum of Total_amount"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Column1]" caption="Sum of Column1" measure="1" displayFolder="" measureGroup="Table1"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thili V" refreshedDate="46209.479670486115" backgroundQuery="1" createdVersion="8" refreshedVersion="8" minRefreshableVersion="3" recordCount="0" supportSubquery="1" supportAdvancedDrill="1" xr:uid="{713857DB-6BDE-4FFC-B3D3-85570663E472}">
  <cacheSource type="external" connectionId="1"/>
  <cacheFields count="4">
    <cacheField name="[Table1].[Payment_Type].[Payment_Type]" caption="Payment_Type" numFmtId="0" hierarchy="15" level="1">
      <sharedItems count="3">
        <s v="COD"/>
        <s v="Credit Card"/>
        <s v="PayPal"/>
      </sharedItems>
    </cacheField>
    <cacheField name="[Measures].[Sum of Total_amount]" caption="Sum of Total_amount" numFmtId="0" hierarchy="19" level="32767"/>
    <cacheField name="[Table1].[Column1].[Column1]" caption="Column1" numFmtId="0" hierarchy="3" level="1">
      <sharedItems containsSemiMixedTypes="0" containsString="0" containsNumber="1" containsInteger="1" minValue="2023" maxValue="2025" count="3">
        <n v="2023"/>
        <n v="2024"/>
        <n v="2025"/>
      </sharedItems>
      <extLst>
        <ext xmlns:x15="http://schemas.microsoft.com/office/spreadsheetml/2010/11/main" uri="{4F2E5C28-24EA-4eb8-9CBF-B6C8F9C3D259}">
          <x15:cachedUniqueNames>
            <x15:cachedUniqueName index="0" name="[Table1].[Column1].&amp;[2023]"/>
            <x15:cachedUniqueName index="1" name="[Table1].[Column1].&amp;[2024]"/>
            <x15:cachedUniqueName index="2" name="[Table1].[Column1].&amp;[2025]"/>
          </x15:cachedUniqueNames>
        </ext>
      </extLst>
    </cacheField>
    <cacheField name="[Table1].[Order_Date].[Order_Date]" caption="Order_Date" numFmtId="0" hierarchy="4" level="1">
      <sharedItems containsSemiMixedTypes="0" containsNonDate="0" containsString="0"/>
    </cacheField>
  </cacheFields>
  <cacheHierarchies count="22">
    <cacheHierarchy uniqueName="[Table1].[Sales_ID]" caption="Sales_ID" attribute="1" defaultMemberUniqueName="[Table1].[Sales_ID].[All]" allUniqueName="[Table1].[Sales_ID].[All]" dimensionUniqueName="[Table1]" displayFolder="" count="2" memberValueDatatype="130" unbalanced="0"/>
    <cacheHierarchy uniqueName="[Table1].[Column3]" caption="Column3" attribute="1" defaultMemberUniqueName="[Table1].[Column3].[All]" allUniqueName="[Table1].[Column3].[All]" dimensionUniqueName="[Table1]" displayFolder="" count="2" memberValueDatatype="130" unbalanced="0"/>
    <cacheHierarchy uniqueName="[Table1].[Column2]" caption="Column2" attribute="1" defaultMemberUniqueName="[Table1].[Column2].[All]" allUniqueName="[Table1].[Column2].[All]" dimensionUniqueName="[Table1]" displayFolder="" count="2" memberValueDatatype="130" unbalanced="0"/>
    <cacheHierarchy uniqueName="[Table1].[Column1]" caption="Column1" attribute="1" defaultMemberUniqueName="[Table1].[Column1].[All]" allUniqueName="[Table1].[Column1].[All]" dimensionUniqueName="[Table1]" displayFolder="" count="2" memberValueDatatype="20" unbalanced="0">
      <fieldsUsage count="2">
        <fieldUsage x="-1"/>
        <fieldUsage x="2"/>
      </fieldsUsage>
    </cacheHierarchy>
    <cacheHierarchy uniqueName="[Table1].[Order_Date]" caption="Order_Date" attribute="1" time="1" defaultMemberUniqueName="[Table1].[Order_Date].[All]" allUniqueName="[Table1].[Order_Date].[All]" dimensionUniqueName="[Table1]" displayFolder="" count="2" memberValueDatatype="7" unbalanced="0">
      <fieldsUsage count="2">
        <fieldUsage x="-1"/>
        <fieldUsage x="3"/>
      </fieldsUsage>
    </cacheHierarchy>
    <cacheHierarchy uniqueName="[Table1].[Customer Name]" caption="Customer Name" attribute="1" defaultMemberUniqueName="[Table1].[Customer Name].[All]" allUniqueName="[Table1].[Customer Name].[All]" dimensionUniqueName="[Table1]" displayFolder="" count="2" memberValueDatatype="130" unbalanced="0"/>
    <cacheHierarchy uniqueName="[Table1].[Customer City]" caption="Customer City" attribute="1" defaultMemberUniqueName="[Table1].[Customer City].[All]" allUniqueName="[Table1].[Customer City].[All]" dimensionUniqueName="[Table1]" displayFolder="" count="2" memberValueDatatype="130" unbalanced="0"/>
    <cacheHierarchy uniqueName="[Table1].[Customer_ID]" caption="Customer_ID" attribute="1" defaultMemberUniqueName="[Table1].[Customer_ID].[All]" allUniqueName="[Table1].[Customer_ID].[All]" dimensionUniqueName="[Table1]" displayFolder="" count="2" memberValueDatatype="130" unbalanced="0"/>
    <cacheHierarchy uniqueName="[Table1].[Product name with category]" caption="Product name with category" attribute="1" defaultMemberUniqueName="[Table1].[Product name with category].[All]" allUniqueName="[Table1].[Product name with category].[All]" dimensionUniqueName="[Table1]" displayFolder="" count="2" memberValueDatatype="130" unbalanced="0"/>
    <cacheHierarchy uniqueName="[Table1].[Product_ID]" caption="Product_ID" attribute="1" defaultMemberUniqueName="[Table1].[Product_ID].[All]" allUniqueName="[Table1].[Product_ID].[All]" dimensionUniqueName="[Table1]" displayFolder="" count="2" memberValueDatatype="130" unbalanced="0"/>
    <cacheHierarchy uniqueName="[Table1].[Store_Name-Region]" caption="Store_Name-Region" attribute="1" defaultMemberUniqueName="[Table1].[Store_Name-Region].[All]" allUniqueName="[Table1].[Store_Name-Region].[All]" dimensionUniqueName="[Table1]" displayFolder="" count="2" memberValueDatatype="130" unbalanced="0"/>
    <cacheHierarchy uniqueName="[Table1].[Store_ID]" caption="Store_ID" attribute="1" defaultMemberUniqueName="[Table1].[Store_ID].[All]" allUniqueName="[Table1].[Store_ID].[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130" unbalanced="0"/>
    <cacheHierarchy uniqueName="[Table1].[Unit_Price]" caption="Unit_Price" attribute="1" defaultMemberUniqueName="[Table1].[Unit_Price].[All]" allUniqueName="[Table1].[Unit_Price].[All]" dimensionUniqueName="[Table1]" displayFolder="" count="2" memberValueDatatype="5" unbalanced="0"/>
    <cacheHierarchy uniqueName="[Table1].[Discount]" caption="Discount" attribute="1" defaultMemberUniqueName="[Table1].[Discount].[All]" allUniqueName="[Table1].[Discount].[All]" dimensionUniqueName="[Table1]" displayFolder="" count="2" memberValueDatatype="5" unbalanced="0"/>
    <cacheHierarchy uniqueName="[Table1].[Payment_Type]" caption="Payment_Type" attribute="1" defaultMemberUniqueName="[Table1].[Payment_Type].[All]" allUniqueName="[Table1].[Payment_Type].[All]" dimensionUniqueName="[Table1]" displayFolder="" count="2" memberValueDatatype="130" unbalanced="0">
      <fieldsUsage count="2">
        <fieldUsage x="-1"/>
        <fieldUsage x="0"/>
      </fieldsUsage>
    </cacheHierarchy>
    <cacheHierarchy uniqueName="[Table1].[Total_amount]" caption="Total_amount" attribute="1" defaultMemberUniqueName="[Table1].[Total_amount].[All]" allUniqueName="[Table1].[Total_amount].[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amount]" caption="Sum of Total_amount"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Column1]" caption="Sum of Column1" measure="1" displayFolder="" measureGroup="Table1"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thili V" refreshedDate="46209.404251388885" backgroundQuery="1" createdVersion="3" refreshedVersion="8" minRefreshableVersion="3" recordCount="0" supportSubquery="1" supportAdvancedDrill="1" xr:uid="{2B786890-76D8-4A74-ADB0-66443BDC3FA2}">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Table1].[Sales_ID]" caption="Sales_ID" attribute="1" defaultMemberUniqueName="[Table1].[Sales_ID].[All]" allUniqueName="[Table1].[Sales_ID].[All]" dimensionUniqueName="[Table1]" displayFolder="" count="0" memberValueDatatype="130" unbalanced="0"/>
    <cacheHierarchy uniqueName="[Table1].[Column3]" caption="Column3" attribute="1" defaultMemberUniqueName="[Table1].[Column3].[All]" allUniqueName="[Table1].[Column3].[All]" dimensionUniqueName="[Table1]" displayFolder="" count="0" memberValueDatatype="130" unbalanced="0"/>
    <cacheHierarchy uniqueName="[Table1].[Column2]" caption="Column2" attribute="1" defaultMemberUniqueName="[Table1].[Column2].[All]" allUniqueName="[Table1].[Column2].[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Customer City]" caption="Customer City" attribute="1" defaultMemberUniqueName="[Table1].[Customer City].[All]" allUniqueName="[Table1].[Customer City].[All]" dimensionUniqueName="[Table1]" displayFolder="" count="0" memberValueDatatype="130" unbalanced="0"/>
    <cacheHierarchy uniqueName="[Table1].[Customer_ID]" caption="Customer_ID" attribute="1" defaultMemberUniqueName="[Table1].[Customer_ID].[All]" allUniqueName="[Table1].[Customer_ID].[All]" dimensionUniqueName="[Table1]" displayFolder="" count="0" memberValueDatatype="130" unbalanced="0"/>
    <cacheHierarchy uniqueName="[Table1].[Product name with category]" caption="Product name with category" attribute="1" defaultMemberUniqueName="[Table1].[Product name with category].[All]" allUniqueName="[Table1].[Product name with category].[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Store_Name-Region]" caption="Store_Name-Region" attribute="1" defaultMemberUniqueName="[Table1].[Store_Name-Region].[All]" allUniqueName="[Table1].[Store_Name-Region].[All]" dimensionUniqueName="[Table1]" displayFolder="" count="2" memberValueDatatype="130" unbalanced="0"/>
    <cacheHierarchy uniqueName="[Table1].[Store_ID]" caption="Store_ID" attribute="1" defaultMemberUniqueName="[Table1].[Store_ID].[All]" allUniqueName="[Table1].[Store_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ayment_Type]" caption="Payment_Type" attribute="1" defaultMemberUniqueName="[Table1].[Payment_Type].[All]" allUniqueName="[Table1].[Payment_Type].[All]" dimensionUniqueName="[Table1]" displayFolder="" count="0" memberValueDatatype="130" unbalanced="0"/>
    <cacheHierarchy uniqueName="[Table1].[Total_amount]" caption="Total_amount" attribute="1" defaultMemberUniqueName="[Table1].[Total_amount].[All]" allUniqueName="[Table1].[Total_amoun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amount]" caption="Sum of Total_amount" measure="1" displayFolder="" measureGroup="Table1" count="0" hidden="1">
      <extLst>
        <ext xmlns:x15="http://schemas.microsoft.com/office/spreadsheetml/2010/11/main" uri="{B97F6D7D-B522-45F9-BDA1-12C45D357490}">
          <x15:cacheHierarchy aggregatedColumn="16"/>
        </ext>
      </extLst>
    </cacheHierarchy>
    <cacheHierarchy uniqueName="[Measures].[Sum of Column1]" caption="Sum of Column1" measure="1" displayFolder="" measureGroup="Table1"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6263958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593E54-280E-4218-8D4C-77CE70049A6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Q8" firstHeaderRow="1" firstDataRow="2"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15">
        <item s="1" x="0"/>
        <item s="1" x="1"/>
        <item s="1" x="2"/>
        <item s="1" x="3"/>
        <item s="1" x="4"/>
        <item s="1" x="5"/>
        <item s="1" x="6"/>
        <item s="1" x="7"/>
        <item s="1" x="8"/>
        <item s="1" x="9"/>
        <item s="1" x="10"/>
        <item s="1" x="11"/>
        <item s="1" x="12"/>
        <item s="1" x="13"/>
        <item s="1" x="14"/>
      </items>
    </pivotField>
  </pivotFields>
  <rowFields count="1">
    <field x="0"/>
  </rowFields>
  <rowItems count="4">
    <i>
      <x/>
    </i>
    <i>
      <x v="1"/>
    </i>
    <i>
      <x v="2"/>
    </i>
    <i t="grand">
      <x/>
    </i>
  </rowItems>
  <colFields count="1">
    <field x="2"/>
  </colFields>
  <colItems count="16">
    <i>
      <x/>
    </i>
    <i>
      <x v="1"/>
    </i>
    <i>
      <x v="2"/>
    </i>
    <i>
      <x v="3"/>
    </i>
    <i>
      <x v="4"/>
    </i>
    <i>
      <x v="5"/>
    </i>
    <i>
      <x v="6"/>
    </i>
    <i>
      <x v="7"/>
    </i>
    <i>
      <x v="8"/>
    </i>
    <i>
      <x v="9"/>
    </i>
    <i>
      <x v="10"/>
    </i>
    <i>
      <x v="11"/>
    </i>
    <i>
      <x v="12"/>
    </i>
    <i>
      <x v="13"/>
    </i>
    <i>
      <x v="14"/>
    </i>
    <i t="grand">
      <x/>
    </i>
  </colItems>
  <dataFields count="1">
    <dataField name="Sum of Total_amount" fld="1" baseField="0" baseItem="0"/>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8390A2-E677-405A-B2CD-043EE6A8AC77}"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E17" firstHeaderRow="1" firstDataRow="2"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Col" allDrilled="1" subtotalTop="0" showAll="0" sortType="ascending" defaultSubtotal="0" defaultAttributeDrillState="1">
      <items count="3">
        <item x="0"/>
        <item x="1"/>
        <item x="2"/>
      </items>
    </pivotField>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4">
    <i>
      <x/>
    </i>
    <i>
      <x v="1"/>
    </i>
    <i>
      <x v="2"/>
    </i>
    <i t="grand">
      <x/>
    </i>
  </colItems>
  <dataFields count="1">
    <dataField name="Sum of Total_amount" fld="1" baseField="0" baseItem="0"/>
  </dataFields>
  <chartFormats count="3">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tore_Name-Region].&amp;[Aguirre-Keller-South]"/>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AA44FD-1A82-480C-BE71-843D573B70C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04" firstHeaderRow="1" firstDataRow="1" firstDataCol="1"/>
  <pivotFields count="2">
    <pivotField axis="axisRow" allDrilled="1" subtotalTop="0" showAll="0" sortType="ascending"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1">
    <i>
      <x v="41"/>
    </i>
    <i>
      <x v="79"/>
    </i>
    <i>
      <x v="31"/>
    </i>
    <i>
      <x v="26"/>
    </i>
    <i>
      <x v="68"/>
    </i>
    <i>
      <x v="20"/>
    </i>
    <i>
      <x v="44"/>
    </i>
    <i>
      <x v="1"/>
    </i>
    <i>
      <x v="63"/>
    </i>
    <i>
      <x v="74"/>
    </i>
    <i>
      <x v="3"/>
    </i>
    <i>
      <x v="51"/>
    </i>
    <i>
      <x v="90"/>
    </i>
    <i>
      <x v="70"/>
    </i>
    <i>
      <x v="95"/>
    </i>
    <i>
      <x v="96"/>
    </i>
    <i>
      <x v="88"/>
    </i>
    <i>
      <x v="14"/>
    </i>
    <i>
      <x v="98"/>
    </i>
    <i>
      <x v="99"/>
    </i>
    <i>
      <x v="89"/>
    </i>
    <i>
      <x v="62"/>
    </i>
    <i>
      <x v="83"/>
    </i>
    <i>
      <x v="17"/>
    </i>
    <i>
      <x v="10"/>
    </i>
    <i>
      <x v="45"/>
    </i>
    <i>
      <x v="38"/>
    </i>
    <i>
      <x v="32"/>
    </i>
    <i>
      <x v="30"/>
    </i>
    <i>
      <x v="9"/>
    </i>
    <i>
      <x v="56"/>
    </i>
    <i>
      <x v="13"/>
    </i>
    <i>
      <x v="34"/>
    </i>
    <i>
      <x v="7"/>
    </i>
    <i>
      <x v="33"/>
    </i>
    <i>
      <x v="39"/>
    </i>
    <i>
      <x v="2"/>
    </i>
    <i>
      <x v="55"/>
    </i>
    <i>
      <x v="75"/>
    </i>
    <i>
      <x v="47"/>
    </i>
    <i>
      <x v="87"/>
    </i>
    <i>
      <x v="12"/>
    </i>
    <i>
      <x v="53"/>
    </i>
    <i>
      <x v="77"/>
    </i>
    <i>
      <x v="24"/>
    </i>
    <i>
      <x v="23"/>
    </i>
    <i>
      <x v="18"/>
    </i>
    <i>
      <x v="8"/>
    </i>
    <i>
      <x v="28"/>
    </i>
    <i>
      <x v="6"/>
    </i>
    <i>
      <x v="97"/>
    </i>
    <i>
      <x v="40"/>
    </i>
    <i>
      <x v="84"/>
    </i>
    <i>
      <x v="50"/>
    </i>
    <i>
      <x v="73"/>
    </i>
    <i>
      <x v="22"/>
    </i>
    <i>
      <x v="61"/>
    </i>
    <i>
      <x v="76"/>
    </i>
    <i>
      <x v="65"/>
    </i>
    <i>
      <x v="57"/>
    </i>
    <i>
      <x v="94"/>
    </i>
    <i>
      <x v="11"/>
    </i>
    <i>
      <x v="92"/>
    </i>
    <i>
      <x v="78"/>
    </i>
    <i>
      <x v="86"/>
    </i>
    <i>
      <x v="4"/>
    </i>
    <i>
      <x v="49"/>
    </i>
    <i>
      <x v="15"/>
    </i>
    <i>
      <x v="52"/>
    </i>
    <i>
      <x v="82"/>
    </i>
    <i>
      <x v="81"/>
    </i>
    <i>
      <x v="48"/>
    </i>
    <i>
      <x v="16"/>
    </i>
    <i>
      <x v="37"/>
    </i>
    <i>
      <x v="54"/>
    </i>
    <i>
      <x v="35"/>
    </i>
    <i>
      <x v="29"/>
    </i>
    <i>
      <x v="42"/>
    </i>
    <i>
      <x v="72"/>
    </i>
    <i>
      <x v="59"/>
    </i>
    <i>
      <x v="36"/>
    </i>
    <i>
      <x v="27"/>
    </i>
    <i>
      <x v="71"/>
    </i>
    <i>
      <x v="69"/>
    </i>
    <i>
      <x v="66"/>
    </i>
    <i>
      <x v="58"/>
    </i>
    <i>
      <x v="19"/>
    </i>
    <i>
      <x v="80"/>
    </i>
    <i>
      <x v="21"/>
    </i>
    <i>
      <x/>
    </i>
    <i>
      <x v="67"/>
    </i>
    <i>
      <x v="91"/>
    </i>
    <i>
      <x v="46"/>
    </i>
    <i>
      <x v="5"/>
    </i>
    <i>
      <x v="85"/>
    </i>
    <i>
      <x v="93"/>
    </i>
    <i>
      <x v="25"/>
    </i>
    <i>
      <x v="43"/>
    </i>
    <i>
      <x v="64"/>
    </i>
    <i>
      <x v="60"/>
    </i>
    <i t="grand">
      <x/>
    </i>
  </rowItems>
  <colItems count="1">
    <i/>
  </colItems>
  <dataFields count="1">
    <dataField name="Sum of Total_amoun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C4ABA6-0312-4233-A1D5-E17C8B4A08E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24" firstHeaderRow="0"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Total_amount" fld="1" baseField="0" baseItem="0"/>
    <dataField name="Count of Quantity"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2A9A80-2C6D-434E-BE88-32872A334BC6}" name="PivotTable5"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E8" firstHeaderRow="1" firstDataRow="2" firstDataCol="1"/>
  <pivotFields count="4">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0"/>
  </rowFields>
  <rowItems count="4">
    <i>
      <x/>
    </i>
    <i>
      <x v="1"/>
    </i>
    <i>
      <x v="2"/>
    </i>
    <i t="grand">
      <x/>
    </i>
  </rowItems>
  <colFields count="1">
    <field x="2"/>
  </colFields>
  <colItems count="4">
    <i>
      <x/>
    </i>
    <i>
      <x v="1"/>
    </i>
    <i>
      <x v="2"/>
    </i>
    <i t="grand">
      <x/>
    </i>
  </colItems>
  <dataFields count="1">
    <dataField name="Sum of Total_amount" fld="1" baseField="0" baseItem="0"/>
  </dataFields>
  <chartFormats count="1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3">
          <reference field="4294967294" count="1" selected="0">
            <x v="0"/>
          </reference>
          <reference field="0" count="1" selected="0">
            <x v="0"/>
          </reference>
          <reference field="2" count="1" selected="0">
            <x v="0"/>
          </reference>
        </references>
      </pivotArea>
    </chartFormat>
    <chartFormat chart="0" format="4">
      <pivotArea type="data" outline="0" fieldPosition="0">
        <references count="3">
          <reference field="4294967294" count="1" selected="0">
            <x v="0"/>
          </reference>
          <reference field="0" count="1" selected="0">
            <x v="1"/>
          </reference>
          <reference field="2" count="1" selected="0">
            <x v="0"/>
          </reference>
        </references>
      </pivotArea>
    </chartFormat>
    <chartFormat chart="0" format="5">
      <pivotArea type="data" outline="0" fieldPosition="0">
        <references count="3">
          <reference field="4294967294" count="1" selected="0">
            <x v="0"/>
          </reference>
          <reference field="0" count="1" selected="0">
            <x v="2"/>
          </reference>
          <reference field="2" count="1" selected="0">
            <x v="0"/>
          </reference>
        </references>
      </pivotArea>
    </chartFormat>
    <chartFormat chart="0" format="6">
      <pivotArea type="data" outline="0" fieldPosition="0">
        <references count="3">
          <reference field="4294967294" count="1" selected="0">
            <x v="0"/>
          </reference>
          <reference field="0" count="1" selected="0">
            <x v="0"/>
          </reference>
          <reference field="2" count="1" selected="0">
            <x v="1"/>
          </reference>
        </references>
      </pivotArea>
    </chartFormat>
    <chartFormat chart="0" format="7">
      <pivotArea type="data" outline="0" fieldPosition="0">
        <references count="3">
          <reference field="4294967294" count="1" selected="0">
            <x v="0"/>
          </reference>
          <reference field="0" count="1" selected="0">
            <x v="1"/>
          </reference>
          <reference field="2" count="1" selected="0">
            <x v="1"/>
          </reference>
        </references>
      </pivotArea>
    </chartFormat>
    <chartFormat chart="0" format="8">
      <pivotArea type="data" outline="0" fieldPosition="0">
        <references count="3">
          <reference field="4294967294" count="1" selected="0">
            <x v="0"/>
          </reference>
          <reference field="0" count="1" selected="0">
            <x v="2"/>
          </reference>
          <reference field="2" count="1" selected="0">
            <x v="1"/>
          </reference>
        </references>
      </pivotArea>
    </chartFormat>
    <chartFormat chart="0" format="9">
      <pivotArea type="data" outline="0" fieldPosition="0">
        <references count="3">
          <reference field="4294967294" count="1" selected="0">
            <x v="0"/>
          </reference>
          <reference field="0" count="1" selected="0">
            <x v="0"/>
          </reference>
          <reference field="2" count="1" selected="0">
            <x v="2"/>
          </reference>
        </references>
      </pivotArea>
    </chartFormat>
    <chartFormat chart="0" format="10">
      <pivotArea type="data" outline="0" fieldPosition="0">
        <references count="3">
          <reference field="4294967294" count="1" selected="0">
            <x v="0"/>
          </reference>
          <reference field="0" count="1" selected="0">
            <x v="1"/>
          </reference>
          <reference field="2" count="1" selected="0">
            <x v="2"/>
          </reference>
        </references>
      </pivotArea>
    </chartFormat>
    <chartFormat chart="0" format="11">
      <pivotArea type="data" outline="0" fieldPosition="0">
        <references count="3">
          <reference field="4294967294" count="1" selected="0">
            <x v="0"/>
          </reference>
          <reference field="0" count="1" selected="0">
            <x v="2"/>
          </reference>
          <reference field="2" count="1" selected="0">
            <x v="2"/>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2" name="[Table1].[Order_Date]">
      <autoFilter ref="A1">
        <filterColumn colId="0">
          <customFilters and="1">
            <customFilter operator="greaterThanOrEqual" val="45839"/>
            <customFilter operator="lessThanOrEqual" val="45869"/>
          </customFilters>
        </filterColumn>
      </autoFilter>
      <extLst>
        <ext xmlns:x15="http://schemas.microsoft.com/office/spreadsheetml/2010/11/main" uri="{0605FD5F-26C8-4aeb-8148-2DB25E43C511}">
          <x15:pivotFilter useWholeDay="1"/>
        </ext>
      </extLst>
    </filter>
  </filters>
  <rowHierarchiesUsage count="1">
    <rowHierarchyUsage hierarchyUsage="15"/>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EA03E5-B1AD-487E-B394-461C1EA7F9F2}"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Total_amount" fld="1" baseField="0" baseItem="0"/>
  </dataFields>
  <chartFormats count="1">
    <chartFormat chart="2" format="0"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_Region" xr10:uid="{46DA4FCD-FFC0-4D8D-9D2D-7702FE72D578}" sourceName="[Table1].[Store_Name-Region]">
  <pivotTables>
    <pivotTable tabId="7" name="PivotTable2"/>
  </pivotTables>
  <data>
    <olap pivotCacheId="262639580">
      <levels count="2">
        <level uniqueName="[Table1].[Store_Name-Region].[(All)]" sourceCaption="(All)" count="0"/>
        <level uniqueName="[Table1].[Store_Name-Region].[Store_Name-Region]" sourceCaption="Store_Name-Region" count="20">
          <ranges>
            <range startItem="0">
              <i n="[Table1].[Store_Name-Region].&amp;[Aguirre-Keller-South]" c="Aguirre-Keller-South"/>
              <i n="[Table1].[Store_Name-Region].&amp;[Alexander Group-South]" c="Alexander Group-South"/>
              <i n="[Table1].[Store_Name-Region].&amp;[Bean, Jones and Park-West]" c="Bean, Jones and Park-West"/>
              <i n="[Table1].[Store_Name-Region].&amp;[Benson-Elliott-East]" c="Benson-Elliott-East"/>
              <i n="[Table1].[Store_Name-Region].&amp;[Black-Horn-South]" c="Black-Horn-South"/>
              <i n="[Table1].[Store_Name-Region].&amp;[Frederick-Wright-West]" c="Frederick-Wright-West"/>
              <i n="[Table1].[Store_Name-Region].&amp;[Gardner, Humphrey and Contreras-East]" c="Gardner, Humphrey and Contreras-East"/>
              <i n="[Table1].[Store_Name-Region].&amp;[Gray Ltd-North]" c="Gray Ltd-North"/>
              <i n="[Table1].[Store_Name-Region].&amp;[Guerrero-Schmitt-East]" c="Guerrero-Schmitt-East"/>
              <i n="[Table1].[Store_Name-Region].&amp;[Hill, Wagner and Ballard-East]" c="Hill, Wagner and Ballard-East"/>
              <i n="[Table1].[Store_Name-Region].&amp;[Holloway Ltd-North]" c="Holloway Ltd-North"/>
              <i n="[Table1].[Store_Name-Region].&amp;[Johnson-Wright-North]" c="Johnson-Wright-North"/>
              <i n="[Table1].[Store_Name-Region].&amp;[Mann-Austin-East]" c="Mann-Austin-East"/>
              <i n="[Table1].[Store_Name-Region].&amp;[Martinez, Adkins and Johnson-North]" c="Martinez, Adkins and Johnson-North"/>
              <i n="[Table1].[Store_Name-Region].&amp;[Martinez-Mullins-South]" c="Martinez-Mullins-South"/>
              <i n="[Table1].[Store_Name-Region].&amp;[Mcdonald Inc-South]" c="Mcdonald Inc-South"/>
              <i n="[Table1].[Store_Name-Region].&amp;[Moore, Padilla and Butler-South]" c="Moore, Padilla and Butler-South"/>
              <i n="[Table1].[Store_Name-Region].&amp;[Rivera-Warner-East]" c="Rivera-Warner-East"/>
              <i n="[Table1].[Store_Name-Region].&amp;[Shelton PLC-North]" c="Shelton PLC-North"/>
              <i n="[Table1].[Store_Name-Region].&amp;[Thomas, Bridges and Harris-North]" c="Thomas, Bridges and Harris-North"/>
            </range>
          </ranges>
        </level>
      </levels>
      <selections count="1">
        <selection n="[Table1].[Store_Name-Region].&amp;[Aguirre-Keller-South]"/>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Name-Region" xr10:uid="{F0880EE8-243D-4801-A167-C617B0615802}" cache="Slicer_Store_Name_Region" caption="Store_Name-Region"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34DFAD9-354E-41C9-AEE0-E20B972112DD}" name="Table4" displayName="Table4" ref="A1:H501" totalsRowShown="0" headerRowDxfId="20" headerRowBorderDxfId="19" tableBorderDxfId="18">
  <autoFilter ref="A1:H501" xr:uid="{934DFAD9-354E-41C9-AEE0-E20B972112DD}"/>
  <tableColumns count="8">
    <tableColumn id="1" xr3:uid="{DA5A4F29-6B47-4B37-ADFF-F874359EE23B}" name="Customer_ID"/>
    <tableColumn id="2" xr3:uid="{623ED0E4-0D5B-4E3C-B33F-9089DA45BA06}" name="Name"/>
    <tableColumn id="3" xr3:uid="{24688DB9-00B2-47B6-B8D0-1CB59E714DEC}" name="Age"/>
    <tableColumn id="4" xr3:uid="{55F9872E-FD3E-4FDD-BDD9-A3605BAD5EDE}" name="Gender"/>
    <tableColumn id="5" xr3:uid="{EC9F2167-7225-48C3-AEDE-8233B4F1D16F}" name="City"/>
    <tableColumn id="6" xr3:uid="{86341CBE-25D9-4E09-BEBD-972701D93636}" name="State"/>
    <tableColumn id="7" xr3:uid="{A29FF8AC-2552-4E91-BEAD-D8D8FD6AC803}" name="Country"/>
    <tableColumn id="8" xr3:uid="{E8C0185A-319F-4479-88EE-0C781DCA157F}" name="Loyalty_Level"/>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929DDA-0A86-4E10-B773-F6F70F6D1D9D}" name="Table2" displayName="Table2" ref="A1:G101" totalsRowShown="0" headerRowDxfId="26" headerRowBorderDxfId="25" tableBorderDxfId="24">
  <autoFilter ref="A1:G101" xr:uid="{F0929DDA-0A86-4E10-B773-F6F70F6D1D9D}"/>
  <tableColumns count="7">
    <tableColumn id="1" xr3:uid="{27F62E9B-EEF3-47C5-8F91-65586AADCEED}" name="Product_ID"/>
    <tableColumn id="9" xr3:uid="{AF3B631E-83F5-4C6D-98D4-F065660FA177}" name="Product Name with category"/>
    <tableColumn id="4" xr3:uid="{7AF9328E-F921-4BDA-A132-95AB7B450E24}" name="Sub_Category"/>
    <tableColumn id="5" xr3:uid="{05422DD0-4E31-4B45-A155-E906B186F514}" name="Brand"/>
    <tableColumn id="6" xr3:uid="{A03777B8-EED8-4585-ABC3-6752D16691D4}" name="Cost" dataDxfId="23"/>
    <tableColumn id="2" xr3:uid="{E3DD57AE-BEC7-46E6-B323-82B1F01497DE}" name="Stock range" dataDxfId="22">
      <calculatedColumnFormula>IF(Table2[[#This Row],[Stock Value]]&gt;200,"High","Low")</calculatedColumnFormula>
    </tableColumn>
    <tableColumn id="7" xr3:uid="{AD0E61A4-9A9B-4F2F-9984-677AF1C592BA}" name="Stock Value" dataDxfId="21"/>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65AFF9-5278-4866-BB27-12632282A7D6}" name="Table3" displayName="Table3" ref="A1:D22" totalsRowShown="0" headerRowDxfId="17" headerRowBorderDxfId="16" tableBorderDxfId="15">
  <autoFilter ref="A1:D22" xr:uid="{4065AFF9-5278-4866-BB27-12632282A7D6}"/>
  <tableColumns count="4">
    <tableColumn id="1" xr3:uid="{7C4079C5-0AAB-46FE-A5D6-BD5D44E26F7C}" name="Column1"/>
    <tableColumn id="7" xr3:uid="{8CF42BFA-4B1B-46EC-A9CC-BD8E7FCBD812}" name="Column12"/>
    <tableColumn id="5" xr3:uid="{70C90BAC-A2CD-4936-8F87-4B9336128388}" name="Column5"/>
    <tableColumn id="6" xr3:uid="{15F7A437-D507-4859-AE58-DBBB7449FDF4}" name="Column6"/>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CE9F5B-DBE5-4D8E-91D7-BCD1D5D6B05F}" name="Table1" displayName="Table1" ref="A1:Q2001" totalsRowShown="0" headerRowDxfId="14" headerRowBorderDxfId="13" tableBorderDxfId="12">
  <autoFilter ref="A1:Q2001" xr:uid="{B2CE9F5B-DBE5-4D8E-91D7-BCD1D5D6B05F}"/>
  <tableColumns count="17">
    <tableColumn id="1" xr3:uid="{96D6E342-4BB5-43A5-B25B-E87F43F0501E}" name="Sales_ID"/>
    <tableColumn id="15" xr3:uid="{0546F92B-B77F-4478-B629-05AD1B16993A}" name="Quarter" dataDxfId="11">
      <calculatedColumnFormula>"Q" &amp;ROUNDUP(MONTH(E2)/3,0)</calculatedColumnFormula>
    </tableColumn>
    <tableColumn id="17" xr3:uid="{3366FDB6-B1A3-4B03-A1DD-C93F4409B874}" name="Month" dataDxfId="10">
      <calculatedColumnFormula>TEXT(Table1[[#This Row],[Order_Date]],"mmmm")</calculatedColumnFormula>
    </tableColumn>
    <tableColumn id="6" xr3:uid="{4E43A152-28CC-4837-9C8D-7AFB2FB6586A}" name="Year" dataDxfId="9">
      <calculatedColumnFormula>YEAR(Table1[[#This Row],[Order_Date]])</calculatedColumnFormula>
    </tableColumn>
    <tableColumn id="2" xr3:uid="{CF173FB4-6D81-4325-8CA0-23D6E72F33D4}" name="Order_Date" dataDxfId="8"/>
    <tableColumn id="11" xr3:uid="{E09D33B2-0C5F-4664-A87B-17B90B13B200}" name="Customer Name" dataDxfId="7">
      <calculatedColumnFormula>VLOOKUP(Table1[[#This Row],[Customer_ID]],Customer_Dim!$A$2:$H$501,2,FALSE)</calculatedColumnFormula>
    </tableColumn>
    <tableColumn id="14" xr3:uid="{2CFC1CE5-FB89-447D-8833-757A9F619A69}" name="Customer City" dataDxfId="6">
      <calculatedColumnFormula>_xlfn.XLOOKUP(Table1[[#This Row],[Customer_ID]],Customer_Dim!$A$2:$A$501,Customer_Dim!$E$2:$E$501)</calculatedColumnFormula>
    </tableColumn>
    <tableColumn id="3" xr3:uid="{6346818C-3E44-4DA7-8B06-910ABAE586A7}" name="Customer_ID"/>
    <tableColumn id="12" xr3:uid="{3D139859-8BFA-45E1-8C44-0D4F16F31B66}" name="Product name with category" dataDxfId="5">
      <calculatedColumnFormula>VLOOKUP(Table1[[#This Row],[Product_ID]],Product_Dim!$A$2:$G$101,2,FALSE)</calculatedColumnFormula>
    </tableColumn>
    <tableColumn id="4" xr3:uid="{332BF80C-E1F3-4C8C-877F-267A8D1AFCC7}" name="Product_ID"/>
    <tableColumn id="13" xr3:uid="{B6AA889E-3CDE-4429-94F8-C142AA75EE85}" name="Store_Name-Region" dataDxfId="4">
      <calculatedColumnFormula>VLOOKUP(Table1[[#This Row],[Store_ID]],Store_Dim!$A$3:$D$22,2,FALSE)</calculatedColumnFormula>
    </tableColumn>
    <tableColumn id="5" xr3:uid="{FF3C523D-0544-49BD-859F-398BBC8513F5}" name="Store_ID"/>
    <tableColumn id="16" xr3:uid="{24E77A87-772F-4D19-9A6C-092702C5B4E2}" name="Quantity"/>
    <tableColumn id="7" xr3:uid="{882DA0D9-047B-4940-A775-1598C32B7787}" name="Unit_Price" dataDxfId="3"/>
    <tableColumn id="8" xr3:uid="{33A8B950-C991-44F5-A63F-35B4171822AF}" name="Discount" dataDxfId="2"/>
    <tableColumn id="9" xr3:uid="{8AEFE435-D544-4C07-8CBA-045BDEA5CA8E}" name="Payment_Type"/>
    <tableColumn id="10" xr3:uid="{5B045B49-88CA-40E6-9D18-5C5CC8749D60}" name="Total_amount" dataDxfId="1"/>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1"/>
  <sheetViews>
    <sheetView topLeftCell="D1" zoomScale="110" zoomScaleNormal="110" workbookViewId="0">
      <selection activeCell="N3" sqref="N3"/>
    </sheetView>
  </sheetViews>
  <sheetFormatPr defaultRowHeight="14.4" x14ac:dyDescent="0.3"/>
  <cols>
    <col min="1" max="1" width="13.6640625" customWidth="1"/>
    <col min="2" max="2" width="14.6640625" customWidth="1"/>
    <col min="5" max="5" width="24.33203125" customWidth="1"/>
    <col min="7" max="7" width="13" customWidth="1"/>
    <col min="8" max="8" width="13.88671875" customWidth="1"/>
  </cols>
  <sheetData>
    <row r="1" spans="1:10" x14ac:dyDescent="0.3">
      <c r="A1" s="5" t="s">
        <v>0</v>
      </c>
      <c r="B1" s="5" t="s">
        <v>1</v>
      </c>
      <c r="C1" s="5" t="s">
        <v>2</v>
      </c>
      <c r="D1" s="5" t="s">
        <v>3</v>
      </c>
      <c r="E1" s="5" t="s">
        <v>4</v>
      </c>
      <c r="F1" s="5" t="s">
        <v>5</v>
      </c>
      <c r="G1" s="5" t="s">
        <v>6</v>
      </c>
      <c r="H1" s="5" t="s">
        <v>7</v>
      </c>
    </row>
    <row r="2" spans="1:10" x14ac:dyDescent="0.3">
      <c r="A2" t="s">
        <v>8</v>
      </c>
      <c r="B2" t="s">
        <v>3804</v>
      </c>
      <c r="C2">
        <v>55</v>
      </c>
      <c r="D2" t="s">
        <v>9</v>
      </c>
      <c r="E2" t="s">
        <v>10</v>
      </c>
      <c r="F2" t="s">
        <v>11</v>
      </c>
      <c r="G2" t="s">
        <v>12</v>
      </c>
      <c r="H2" t="s">
        <v>3826</v>
      </c>
    </row>
    <row r="3" spans="1:10" x14ac:dyDescent="0.3">
      <c r="A3" t="s">
        <v>14</v>
      </c>
      <c r="B3" t="s">
        <v>15</v>
      </c>
      <c r="C3">
        <v>26</v>
      </c>
      <c r="D3" t="s">
        <v>16</v>
      </c>
      <c r="E3" t="s">
        <v>17</v>
      </c>
      <c r="F3" t="s">
        <v>18</v>
      </c>
      <c r="G3" t="s">
        <v>12</v>
      </c>
      <c r="H3" t="s">
        <v>19</v>
      </c>
      <c r="J3" t="s">
        <v>3982</v>
      </c>
    </row>
    <row r="4" spans="1:10" x14ac:dyDescent="0.3">
      <c r="A4" t="s">
        <v>20</v>
      </c>
      <c r="B4" t="s">
        <v>3805</v>
      </c>
      <c r="C4">
        <v>29</v>
      </c>
      <c r="D4" t="s">
        <v>16</v>
      </c>
      <c r="E4" t="s">
        <v>21</v>
      </c>
      <c r="F4" t="s">
        <v>22</v>
      </c>
      <c r="G4" t="s">
        <v>12</v>
      </c>
      <c r="H4" t="s">
        <v>19</v>
      </c>
    </row>
    <row r="5" spans="1:10" x14ac:dyDescent="0.3">
      <c r="A5" t="s">
        <v>23</v>
      </c>
      <c r="B5" t="s">
        <v>3806</v>
      </c>
      <c r="C5">
        <v>59</v>
      </c>
      <c r="D5" t="s">
        <v>16</v>
      </c>
      <c r="E5" t="s">
        <v>24</v>
      </c>
      <c r="F5" t="s">
        <v>25</v>
      </c>
      <c r="G5" t="s">
        <v>12</v>
      </c>
      <c r="H5" t="s">
        <v>26</v>
      </c>
    </row>
    <row r="6" spans="1:10" x14ac:dyDescent="0.3">
      <c r="A6" t="s">
        <v>27</v>
      </c>
      <c r="B6" t="s">
        <v>28</v>
      </c>
      <c r="C6">
        <v>64</v>
      </c>
      <c r="D6" t="s">
        <v>16</v>
      </c>
      <c r="E6" t="s">
        <v>29</v>
      </c>
      <c r="F6" t="s">
        <v>30</v>
      </c>
      <c r="G6" t="s">
        <v>12</v>
      </c>
      <c r="H6" t="s">
        <v>31</v>
      </c>
    </row>
    <row r="7" spans="1:10" x14ac:dyDescent="0.3">
      <c r="A7" t="s">
        <v>32</v>
      </c>
      <c r="B7" t="s">
        <v>33</v>
      </c>
      <c r="C7">
        <v>24</v>
      </c>
      <c r="D7" t="s">
        <v>9</v>
      </c>
      <c r="E7" t="s">
        <v>34</v>
      </c>
      <c r="F7" t="s">
        <v>35</v>
      </c>
      <c r="G7" t="s">
        <v>12</v>
      </c>
      <c r="H7" t="s">
        <v>26</v>
      </c>
    </row>
    <row r="8" spans="1:10" x14ac:dyDescent="0.3">
      <c r="A8" t="s">
        <v>36</v>
      </c>
      <c r="B8" t="s">
        <v>37</v>
      </c>
      <c r="C8">
        <v>29</v>
      </c>
      <c r="D8" t="s">
        <v>16</v>
      </c>
      <c r="E8" t="s">
        <v>38</v>
      </c>
      <c r="F8" t="s">
        <v>39</v>
      </c>
      <c r="G8" t="s">
        <v>12</v>
      </c>
      <c r="H8" t="s">
        <v>19</v>
      </c>
    </row>
    <row r="9" spans="1:10" x14ac:dyDescent="0.3">
      <c r="A9" t="s">
        <v>40</v>
      </c>
      <c r="B9" t="s">
        <v>41</v>
      </c>
      <c r="C9">
        <v>29</v>
      </c>
      <c r="D9" t="s">
        <v>16</v>
      </c>
      <c r="E9" t="s">
        <v>42</v>
      </c>
      <c r="F9" t="s">
        <v>43</v>
      </c>
      <c r="G9" t="s">
        <v>12</v>
      </c>
      <c r="H9" t="s">
        <v>26</v>
      </c>
    </row>
    <row r="10" spans="1:10" x14ac:dyDescent="0.3">
      <c r="A10" t="s">
        <v>44</v>
      </c>
      <c r="B10" t="s">
        <v>45</v>
      </c>
      <c r="C10">
        <v>53</v>
      </c>
      <c r="D10" t="s">
        <v>16</v>
      </c>
      <c r="E10" t="s">
        <v>46</v>
      </c>
      <c r="F10" t="s">
        <v>47</v>
      </c>
      <c r="G10" t="s">
        <v>12</v>
      </c>
      <c r="H10" t="s">
        <v>13</v>
      </c>
    </row>
    <row r="11" spans="1:10" x14ac:dyDescent="0.3">
      <c r="A11" t="s">
        <v>48</v>
      </c>
      <c r="B11" t="s">
        <v>49</v>
      </c>
      <c r="C11">
        <v>64</v>
      </c>
      <c r="D11" t="s">
        <v>9</v>
      </c>
      <c r="E11" t="s">
        <v>50</v>
      </c>
      <c r="F11" t="s">
        <v>51</v>
      </c>
      <c r="G11" t="s">
        <v>12</v>
      </c>
      <c r="H11" t="s">
        <v>19</v>
      </c>
    </row>
    <row r="12" spans="1:10" x14ac:dyDescent="0.3">
      <c r="A12" t="s">
        <v>52</v>
      </c>
      <c r="B12" t="s">
        <v>53</v>
      </c>
      <c r="C12">
        <v>53</v>
      </c>
      <c r="D12" t="s">
        <v>9</v>
      </c>
      <c r="E12" t="s">
        <v>54</v>
      </c>
      <c r="F12" t="s">
        <v>51</v>
      </c>
      <c r="G12" t="s">
        <v>12</v>
      </c>
      <c r="H12" t="s">
        <v>26</v>
      </c>
    </row>
    <row r="13" spans="1:10" x14ac:dyDescent="0.3">
      <c r="A13" t="s">
        <v>55</v>
      </c>
      <c r="B13" t="s">
        <v>56</v>
      </c>
      <c r="C13">
        <v>28</v>
      </c>
      <c r="D13" t="s">
        <v>16</v>
      </c>
      <c r="E13" t="s">
        <v>57</v>
      </c>
      <c r="F13" t="s">
        <v>58</v>
      </c>
      <c r="G13" t="s">
        <v>12</v>
      </c>
      <c r="H13" t="s">
        <v>13</v>
      </c>
    </row>
    <row r="14" spans="1:10" x14ac:dyDescent="0.3">
      <c r="A14" t="s">
        <v>59</v>
      </c>
      <c r="B14" t="s">
        <v>60</v>
      </c>
      <c r="C14">
        <v>55</v>
      </c>
      <c r="D14" t="s">
        <v>16</v>
      </c>
      <c r="E14" t="s">
        <v>61</v>
      </c>
      <c r="F14" t="s">
        <v>62</v>
      </c>
      <c r="G14" t="s">
        <v>12</v>
      </c>
      <c r="H14" t="s">
        <v>19</v>
      </c>
    </row>
    <row r="15" spans="1:10" x14ac:dyDescent="0.3">
      <c r="A15" t="s">
        <v>63</v>
      </c>
      <c r="B15" t="s">
        <v>64</v>
      </c>
      <c r="C15">
        <v>32</v>
      </c>
      <c r="D15" t="s">
        <v>16</v>
      </c>
      <c r="E15" t="s">
        <v>65</v>
      </c>
      <c r="F15" t="s">
        <v>66</v>
      </c>
      <c r="G15" t="s">
        <v>12</v>
      </c>
      <c r="H15" t="s">
        <v>31</v>
      </c>
    </row>
    <row r="16" spans="1:10" x14ac:dyDescent="0.3">
      <c r="A16" t="s">
        <v>67</v>
      </c>
      <c r="B16" t="s">
        <v>68</v>
      </c>
      <c r="C16">
        <v>53</v>
      </c>
      <c r="D16" t="s">
        <v>16</v>
      </c>
      <c r="E16" t="s">
        <v>69</v>
      </c>
      <c r="F16" t="s">
        <v>70</v>
      </c>
      <c r="G16" t="s">
        <v>12</v>
      </c>
      <c r="H16" t="s">
        <v>31</v>
      </c>
    </row>
    <row r="17" spans="1:8" x14ac:dyDescent="0.3">
      <c r="A17" t="s">
        <v>71</v>
      </c>
      <c r="B17" t="s">
        <v>72</v>
      </c>
      <c r="C17">
        <v>49</v>
      </c>
      <c r="D17" t="s">
        <v>16</v>
      </c>
      <c r="E17" t="s">
        <v>73</v>
      </c>
      <c r="F17" t="s">
        <v>74</v>
      </c>
      <c r="G17" t="s">
        <v>12</v>
      </c>
      <c r="H17" t="s">
        <v>19</v>
      </c>
    </row>
    <row r="18" spans="1:8" x14ac:dyDescent="0.3">
      <c r="A18" t="s">
        <v>75</v>
      </c>
      <c r="B18" t="s">
        <v>76</v>
      </c>
      <c r="C18">
        <v>24</v>
      </c>
      <c r="D18" t="s">
        <v>16</v>
      </c>
      <c r="E18" t="s">
        <v>77</v>
      </c>
      <c r="F18" t="s">
        <v>51</v>
      </c>
      <c r="G18" t="s">
        <v>12</v>
      </c>
      <c r="H18" t="s">
        <v>26</v>
      </c>
    </row>
    <row r="19" spans="1:8" x14ac:dyDescent="0.3">
      <c r="A19" t="s">
        <v>78</v>
      </c>
      <c r="B19" t="s">
        <v>79</v>
      </c>
      <c r="C19">
        <v>60</v>
      </c>
      <c r="D19" t="s">
        <v>16</v>
      </c>
      <c r="E19" t="s">
        <v>80</v>
      </c>
      <c r="F19" t="s">
        <v>81</v>
      </c>
      <c r="G19" t="s">
        <v>12</v>
      </c>
      <c r="H19" t="s">
        <v>19</v>
      </c>
    </row>
    <row r="20" spans="1:8" x14ac:dyDescent="0.3">
      <c r="A20" t="s">
        <v>82</v>
      </c>
      <c r="B20" t="s">
        <v>83</v>
      </c>
      <c r="C20">
        <v>43</v>
      </c>
      <c r="D20" t="s">
        <v>9</v>
      </c>
      <c r="E20" t="s">
        <v>84</v>
      </c>
      <c r="F20" t="s">
        <v>62</v>
      </c>
      <c r="G20" t="s">
        <v>12</v>
      </c>
      <c r="H20" t="s">
        <v>3826</v>
      </c>
    </row>
    <row r="21" spans="1:8" x14ac:dyDescent="0.3">
      <c r="A21" t="s">
        <v>85</v>
      </c>
      <c r="B21" t="s">
        <v>86</v>
      </c>
      <c r="C21">
        <v>46</v>
      </c>
      <c r="D21" t="s">
        <v>16</v>
      </c>
      <c r="E21" t="s">
        <v>87</v>
      </c>
      <c r="F21" t="s">
        <v>88</v>
      </c>
      <c r="G21" t="s">
        <v>12</v>
      </c>
      <c r="H21" t="s">
        <v>19</v>
      </c>
    </row>
    <row r="22" spans="1:8" x14ac:dyDescent="0.3">
      <c r="A22" t="s">
        <v>89</v>
      </c>
      <c r="B22" t="s">
        <v>90</v>
      </c>
      <c r="C22">
        <v>59</v>
      </c>
      <c r="D22" t="s">
        <v>9</v>
      </c>
      <c r="E22" t="s">
        <v>91</v>
      </c>
      <c r="F22" t="s">
        <v>92</v>
      </c>
      <c r="G22" t="s">
        <v>12</v>
      </c>
      <c r="H22" t="s">
        <v>31</v>
      </c>
    </row>
    <row r="23" spans="1:8" x14ac:dyDescent="0.3">
      <c r="A23" t="s">
        <v>93</v>
      </c>
      <c r="B23" t="s">
        <v>94</v>
      </c>
      <c r="C23">
        <v>36</v>
      </c>
      <c r="D23" t="s">
        <v>16</v>
      </c>
      <c r="E23" t="s">
        <v>95</v>
      </c>
      <c r="F23" t="s">
        <v>96</v>
      </c>
      <c r="G23" t="s">
        <v>12</v>
      </c>
      <c r="H23" t="s">
        <v>13</v>
      </c>
    </row>
    <row r="24" spans="1:8" x14ac:dyDescent="0.3">
      <c r="A24" t="s">
        <v>97</v>
      </c>
      <c r="B24" t="s">
        <v>3807</v>
      </c>
      <c r="C24">
        <v>33</v>
      </c>
      <c r="D24" t="s">
        <v>16</v>
      </c>
      <c r="E24" t="s">
        <v>98</v>
      </c>
      <c r="F24" t="s">
        <v>99</v>
      </c>
      <c r="G24" t="s">
        <v>12</v>
      </c>
      <c r="H24" t="s">
        <v>31</v>
      </c>
    </row>
    <row r="25" spans="1:8" x14ac:dyDescent="0.3">
      <c r="A25" t="s">
        <v>100</v>
      </c>
      <c r="B25" t="s">
        <v>101</v>
      </c>
      <c r="C25">
        <v>52</v>
      </c>
      <c r="D25" t="s">
        <v>16</v>
      </c>
      <c r="E25" t="s">
        <v>102</v>
      </c>
      <c r="F25" t="s">
        <v>35</v>
      </c>
      <c r="G25" t="s">
        <v>12</v>
      </c>
      <c r="H25" t="s">
        <v>31</v>
      </c>
    </row>
    <row r="26" spans="1:8" x14ac:dyDescent="0.3">
      <c r="A26" t="s">
        <v>103</v>
      </c>
      <c r="B26" t="s">
        <v>104</v>
      </c>
      <c r="C26">
        <v>40</v>
      </c>
      <c r="D26" t="s">
        <v>9</v>
      </c>
      <c r="E26" t="s">
        <v>105</v>
      </c>
      <c r="F26" t="s">
        <v>106</v>
      </c>
      <c r="G26" t="s">
        <v>12</v>
      </c>
      <c r="H26" t="s">
        <v>19</v>
      </c>
    </row>
    <row r="27" spans="1:8" x14ac:dyDescent="0.3">
      <c r="A27" t="s">
        <v>107</v>
      </c>
      <c r="B27" t="s">
        <v>108</v>
      </c>
      <c r="C27">
        <v>59</v>
      </c>
      <c r="D27" t="s">
        <v>16</v>
      </c>
      <c r="E27" t="s">
        <v>109</v>
      </c>
      <c r="F27" t="s">
        <v>30</v>
      </c>
      <c r="G27" t="s">
        <v>12</v>
      </c>
      <c r="H27" t="s">
        <v>26</v>
      </c>
    </row>
    <row r="28" spans="1:8" x14ac:dyDescent="0.3">
      <c r="A28" t="s">
        <v>110</v>
      </c>
      <c r="B28" t="s">
        <v>111</v>
      </c>
      <c r="C28">
        <v>18</v>
      </c>
      <c r="D28" t="s">
        <v>16</v>
      </c>
      <c r="E28" t="s">
        <v>112</v>
      </c>
      <c r="F28" t="s">
        <v>113</v>
      </c>
      <c r="G28" t="s">
        <v>12</v>
      </c>
      <c r="H28" t="s">
        <v>13</v>
      </c>
    </row>
    <row r="29" spans="1:8" x14ac:dyDescent="0.3">
      <c r="A29" t="s">
        <v>114</v>
      </c>
      <c r="B29" t="s">
        <v>115</v>
      </c>
      <c r="C29">
        <v>31</v>
      </c>
      <c r="D29" t="s">
        <v>9</v>
      </c>
      <c r="E29" t="s">
        <v>116</v>
      </c>
      <c r="F29" t="s">
        <v>117</v>
      </c>
      <c r="G29" t="s">
        <v>12</v>
      </c>
      <c r="H29" t="s">
        <v>3826</v>
      </c>
    </row>
    <row r="30" spans="1:8" x14ac:dyDescent="0.3">
      <c r="A30" t="s">
        <v>118</v>
      </c>
      <c r="B30" t="s">
        <v>119</v>
      </c>
      <c r="C30">
        <v>27</v>
      </c>
      <c r="D30" t="s">
        <v>16</v>
      </c>
      <c r="E30" t="s">
        <v>120</v>
      </c>
      <c r="F30" t="s">
        <v>88</v>
      </c>
      <c r="G30" t="s">
        <v>12</v>
      </c>
      <c r="H30" t="s">
        <v>19</v>
      </c>
    </row>
    <row r="31" spans="1:8" x14ac:dyDescent="0.3">
      <c r="A31" t="s">
        <v>121</v>
      </c>
      <c r="B31" t="s">
        <v>122</v>
      </c>
      <c r="C31">
        <v>54</v>
      </c>
      <c r="D31" t="s">
        <v>16</v>
      </c>
      <c r="E31" t="s">
        <v>123</v>
      </c>
      <c r="F31" t="s">
        <v>30</v>
      </c>
      <c r="G31" t="s">
        <v>12</v>
      </c>
      <c r="H31" t="s">
        <v>31</v>
      </c>
    </row>
    <row r="32" spans="1:8" x14ac:dyDescent="0.3">
      <c r="A32" t="s">
        <v>124</v>
      </c>
      <c r="B32" t="s">
        <v>125</v>
      </c>
      <c r="C32">
        <v>64</v>
      </c>
      <c r="D32" t="s">
        <v>16</v>
      </c>
      <c r="E32" t="s">
        <v>126</v>
      </c>
      <c r="F32" t="s">
        <v>51</v>
      </c>
      <c r="G32" t="s">
        <v>12</v>
      </c>
      <c r="H32" t="s">
        <v>26</v>
      </c>
    </row>
    <row r="33" spans="1:8" x14ac:dyDescent="0.3">
      <c r="A33" t="s">
        <v>127</v>
      </c>
      <c r="B33" t="s">
        <v>128</v>
      </c>
      <c r="C33">
        <v>41</v>
      </c>
      <c r="D33" t="s">
        <v>9</v>
      </c>
      <c r="E33" t="s">
        <v>129</v>
      </c>
      <c r="F33" t="s">
        <v>35</v>
      </c>
      <c r="G33" t="s">
        <v>12</v>
      </c>
      <c r="H33" t="s">
        <v>31</v>
      </c>
    </row>
    <row r="34" spans="1:8" x14ac:dyDescent="0.3">
      <c r="A34" t="s">
        <v>130</v>
      </c>
      <c r="B34" t="s">
        <v>131</v>
      </c>
      <c r="C34">
        <v>48</v>
      </c>
      <c r="D34" t="s">
        <v>16</v>
      </c>
      <c r="E34" t="s">
        <v>132</v>
      </c>
      <c r="F34" t="s">
        <v>133</v>
      </c>
      <c r="G34" t="s">
        <v>12</v>
      </c>
      <c r="H34" t="s">
        <v>13</v>
      </c>
    </row>
    <row r="35" spans="1:8" x14ac:dyDescent="0.3">
      <c r="A35" t="s">
        <v>134</v>
      </c>
      <c r="B35" t="s">
        <v>3808</v>
      </c>
      <c r="C35">
        <v>25</v>
      </c>
      <c r="D35" t="s">
        <v>9</v>
      </c>
      <c r="E35" t="s">
        <v>135</v>
      </c>
      <c r="F35" t="s">
        <v>96</v>
      </c>
      <c r="G35" t="s">
        <v>12</v>
      </c>
      <c r="H35" t="s">
        <v>19</v>
      </c>
    </row>
    <row r="36" spans="1:8" x14ac:dyDescent="0.3">
      <c r="A36" t="s">
        <v>136</v>
      </c>
      <c r="B36" t="s">
        <v>137</v>
      </c>
      <c r="C36">
        <v>27</v>
      </c>
      <c r="D36" t="s">
        <v>16</v>
      </c>
      <c r="E36" t="s">
        <v>138</v>
      </c>
      <c r="F36" t="s">
        <v>139</v>
      </c>
      <c r="G36" t="s">
        <v>12</v>
      </c>
      <c r="H36" t="s">
        <v>19</v>
      </c>
    </row>
    <row r="37" spans="1:8" x14ac:dyDescent="0.3">
      <c r="A37" t="s">
        <v>140</v>
      </c>
      <c r="B37" t="s">
        <v>141</v>
      </c>
      <c r="C37">
        <v>52</v>
      </c>
      <c r="D37" t="s">
        <v>9</v>
      </c>
      <c r="E37" t="s">
        <v>142</v>
      </c>
      <c r="F37" t="s">
        <v>18</v>
      </c>
      <c r="G37" t="s">
        <v>12</v>
      </c>
      <c r="H37" t="s">
        <v>31</v>
      </c>
    </row>
    <row r="38" spans="1:8" x14ac:dyDescent="0.3">
      <c r="A38" t="s">
        <v>143</v>
      </c>
      <c r="B38" t="s">
        <v>144</v>
      </c>
      <c r="C38">
        <v>20</v>
      </c>
      <c r="D38" t="s">
        <v>16</v>
      </c>
      <c r="E38" t="s">
        <v>145</v>
      </c>
      <c r="F38" t="s">
        <v>81</v>
      </c>
      <c r="G38" t="s">
        <v>12</v>
      </c>
      <c r="H38" t="s">
        <v>13</v>
      </c>
    </row>
    <row r="39" spans="1:8" x14ac:dyDescent="0.3">
      <c r="A39" t="s">
        <v>146</v>
      </c>
      <c r="B39" t="s">
        <v>147</v>
      </c>
      <c r="C39">
        <v>27</v>
      </c>
      <c r="D39" t="s">
        <v>16</v>
      </c>
      <c r="E39" t="s">
        <v>148</v>
      </c>
      <c r="F39" t="s">
        <v>39</v>
      </c>
      <c r="G39" t="s">
        <v>12</v>
      </c>
      <c r="H39" t="s">
        <v>3826</v>
      </c>
    </row>
    <row r="40" spans="1:8" x14ac:dyDescent="0.3">
      <c r="A40" t="s">
        <v>149</v>
      </c>
      <c r="B40" t="s">
        <v>150</v>
      </c>
      <c r="C40">
        <v>35</v>
      </c>
      <c r="D40" t="s">
        <v>16</v>
      </c>
      <c r="E40" t="s">
        <v>151</v>
      </c>
      <c r="F40" t="s">
        <v>18</v>
      </c>
      <c r="G40" t="s">
        <v>12</v>
      </c>
      <c r="H40" t="s">
        <v>26</v>
      </c>
    </row>
    <row r="41" spans="1:8" x14ac:dyDescent="0.3">
      <c r="A41" t="s">
        <v>152</v>
      </c>
      <c r="B41" t="s">
        <v>153</v>
      </c>
      <c r="C41">
        <v>55</v>
      </c>
      <c r="D41" t="s">
        <v>16</v>
      </c>
      <c r="E41" t="s">
        <v>154</v>
      </c>
      <c r="F41" t="s">
        <v>155</v>
      </c>
      <c r="G41" t="s">
        <v>12</v>
      </c>
      <c r="H41" t="s">
        <v>13</v>
      </c>
    </row>
    <row r="42" spans="1:8" x14ac:dyDescent="0.3">
      <c r="A42" t="s">
        <v>156</v>
      </c>
      <c r="B42" t="s">
        <v>157</v>
      </c>
      <c r="C42">
        <v>50</v>
      </c>
      <c r="D42" t="s">
        <v>9</v>
      </c>
      <c r="E42" t="s">
        <v>158</v>
      </c>
      <c r="F42" t="s">
        <v>62</v>
      </c>
      <c r="G42" t="s">
        <v>12</v>
      </c>
      <c r="H42" t="s">
        <v>13</v>
      </c>
    </row>
    <row r="43" spans="1:8" x14ac:dyDescent="0.3">
      <c r="A43" t="s">
        <v>159</v>
      </c>
      <c r="B43" t="s">
        <v>160</v>
      </c>
      <c r="C43">
        <v>21</v>
      </c>
      <c r="D43" t="s">
        <v>9</v>
      </c>
      <c r="E43" t="s">
        <v>161</v>
      </c>
      <c r="F43" t="s">
        <v>162</v>
      </c>
      <c r="G43" t="s">
        <v>12</v>
      </c>
      <c r="H43" t="s">
        <v>19</v>
      </c>
    </row>
    <row r="44" spans="1:8" x14ac:dyDescent="0.3">
      <c r="A44" t="s">
        <v>163</v>
      </c>
      <c r="B44" t="s">
        <v>164</v>
      </c>
      <c r="C44">
        <v>19</v>
      </c>
      <c r="D44" t="s">
        <v>9</v>
      </c>
      <c r="E44" t="s">
        <v>165</v>
      </c>
      <c r="F44" t="s">
        <v>166</v>
      </c>
      <c r="G44" t="s">
        <v>12</v>
      </c>
      <c r="H44" t="s">
        <v>19</v>
      </c>
    </row>
    <row r="45" spans="1:8" x14ac:dyDescent="0.3">
      <c r="A45" t="s">
        <v>167</v>
      </c>
      <c r="B45" t="s">
        <v>168</v>
      </c>
      <c r="C45">
        <v>45</v>
      </c>
      <c r="D45" t="s">
        <v>9</v>
      </c>
      <c r="E45" t="s">
        <v>169</v>
      </c>
      <c r="F45" t="s">
        <v>170</v>
      </c>
      <c r="G45" t="s">
        <v>12</v>
      </c>
      <c r="H45" t="s">
        <v>13</v>
      </c>
    </row>
    <row r="46" spans="1:8" x14ac:dyDescent="0.3">
      <c r="A46" t="s">
        <v>171</v>
      </c>
      <c r="B46" t="s">
        <v>172</v>
      </c>
      <c r="C46">
        <v>34</v>
      </c>
      <c r="D46" t="s">
        <v>9</v>
      </c>
      <c r="E46" t="s">
        <v>173</v>
      </c>
      <c r="F46" t="s">
        <v>99</v>
      </c>
      <c r="G46" t="s">
        <v>12</v>
      </c>
      <c r="H46" t="s">
        <v>26</v>
      </c>
    </row>
    <row r="47" spans="1:8" x14ac:dyDescent="0.3">
      <c r="A47" t="s">
        <v>174</v>
      </c>
      <c r="B47" t="s">
        <v>3809</v>
      </c>
      <c r="C47">
        <v>54</v>
      </c>
      <c r="D47" t="s">
        <v>9</v>
      </c>
      <c r="E47" t="s">
        <v>175</v>
      </c>
      <c r="F47" t="s">
        <v>133</v>
      </c>
      <c r="G47" t="s">
        <v>12</v>
      </c>
      <c r="H47" t="s">
        <v>13</v>
      </c>
    </row>
    <row r="48" spans="1:8" x14ac:dyDescent="0.3">
      <c r="A48" t="s">
        <v>176</v>
      </c>
      <c r="B48" t="s">
        <v>3810</v>
      </c>
      <c r="C48">
        <v>55</v>
      </c>
      <c r="D48" t="s">
        <v>16</v>
      </c>
      <c r="E48" t="s">
        <v>177</v>
      </c>
      <c r="F48" t="s">
        <v>25</v>
      </c>
      <c r="G48" t="s">
        <v>12</v>
      </c>
      <c r="H48" t="s">
        <v>19</v>
      </c>
    </row>
    <row r="49" spans="1:8" x14ac:dyDescent="0.3">
      <c r="A49" t="s">
        <v>178</v>
      </c>
      <c r="B49" t="s">
        <v>179</v>
      </c>
      <c r="C49">
        <v>54</v>
      </c>
      <c r="D49" t="s">
        <v>16</v>
      </c>
      <c r="E49" t="s">
        <v>180</v>
      </c>
      <c r="F49" t="s">
        <v>181</v>
      </c>
      <c r="G49" t="s">
        <v>12</v>
      </c>
      <c r="H49" t="s">
        <v>31</v>
      </c>
    </row>
    <row r="50" spans="1:8" x14ac:dyDescent="0.3">
      <c r="A50" t="s">
        <v>182</v>
      </c>
      <c r="B50" t="s">
        <v>183</v>
      </c>
      <c r="C50">
        <v>54</v>
      </c>
      <c r="D50" t="s">
        <v>9</v>
      </c>
      <c r="E50" t="s">
        <v>184</v>
      </c>
      <c r="F50" t="s">
        <v>11</v>
      </c>
      <c r="G50" t="s">
        <v>12</v>
      </c>
      <c r="H50" t="s">
        <v>19</v>
      </c>
    </row>
    <row r="51" spans="1:8" x14ac:dyDescent="0.3">
      <c r="A51" t="s">
        <v>185</v>
      </c>
      <c r="B51" t="s">
        <v>186</v>
      </c>
      <c r="C51">
        <v>45</v>
      </c>
      <c r="D51" t="s">
        <v>16</v>
      </c>
      <c r="E51" t="s">
        <v>187</v>
      </c>
      <c r="F51" t="s">
        <v>25</v>
      </c>
      <c r="G51" t="s">
        <v>12</v>
      </c>
      <c r="H51" t="s">
        <v>13</v>
      </c>
    </row>
    <row r="52" spans="1:8" x14ac:dyDescent="0.3">
      <c r="A52" t="s">
        <v>188</v>
      </c>
      <c r="B52" t="s">
        <v>189</v>
      </c>
      <c r="C52">
        <v>61</v>
      </c>
      <c r="D52" t="s">
        <v>16</v>
      </c>
      <c r="E52" t="s">
        <v>190</v>
      </c>
      <c r="F52" t="s">
        <v>191</v>
      </c>
      <c r="G52" t="s">
        <v>12</v>
      </c>
      <c r="H52" t="s">
        <v>13</v>
      </c>
    </row>
    <row r="53" spans="1:8" x14ac:dyDescent="0.3">
      <c r="A53" t="s">
        <v>192</v>
      </c>
      <c r="B53" t="s">
        <v>193</v>
      </c>
      <c r="C53">
        <v>23</v>
      </c>
      <c r="D53" t="s">
        <v>16</v>
      </c>
      <c r="E53" t="s">
        <v>194</v>
      </c>
      <c r="F53" t="s">
        <v>43</v>
      </c>
      <c r="G53" t="s">
        <v>12</v>
      </c>
      <c r="H53" t="s">
        <v>13</v>
      </c>
    </row>
    <row r="54" spans="1:8" x14ac:dyDescent="0.3">
      <c r="A54" t="s">
        <v>195</v>
      </c>
      <c r="B54" t="s">
        <v>196</v>
      </c>
      <c r="C54">
        <v>55</v>
      </c>
      <c r="D54" t="s">
        <v>9</v>
      </c>
      <c r="E54" t="s">
        <v>197</v>
      </c>
      <c r="F54" t="s">
        <v>198</v>
      </c>
      <c r="G54" t="s">
        <v>12</v>
      </c>
      <c r="H54" t="s">
        <v>26</v>
      </c>
    </row>
    <row r="55" spans="1:8" x14ac:dyDescent="0.3">
      <c r="A55" t="s">
        <v>199</v>
      </c>
      <c r="B55" t="s">
        <v>200</v>
      </c>
      <c r="C55">
        <v>37</v>
      </c>
      <c r="D55" t="s">
        <v>16</v>
      </c>
      <c r="E55" t="s">
        <v>201</v>
      </c>
      <c r="F55" t="s">
        <v>155</v>
      </c>
      <c r="G55" t="s">
        <v>12</v>
      </c>
      <c r="H55" t="s">
        <v>13</v>
      </c>
    </row>
    <row r="56" spans="1:8" x14ac:dyDescent="0.3">
      <c r="A56" t="s">
        <v>202</v>
      </c>
      <c r="B56" t="s">
        <v>203</v>
      </c>
      <c r="C56">
        <v>24</v>
      </c>
      <c r="D56" t="s">
        <v>9</v>
      </c>
      <c r="E56" t="s">
        <v>204</v>
      </c>
      <c r="F56" t="s">
        <v>96</v>
      </c>
      <c r="G56" t="s">
        <v>12</v>
      </c>
      <c r="H56" t="s">
        <v>19</v>
      </c>
    </row>
    <row r="57" spans="1:8" x14ac:dyDescent="0.3">
      <c r="A57" t="s">
        <v>205</v>
      </c>
      <c r="B57" t="s">
        <v>206</v>
      </c>
      <c r="C57">
        <v>56</v>
      </c>
      <c r="D57" t="s">
        <v>16</v>
      </c>
      <c r="E57" t="s">
        <v>207</v>
      </c>
      <c r="F57" t="s">
        <v>198</v>
      </c>
      <c r="G57" t="s">
        <v>12</v>
      </c>
      <c r="H57" t="s">
        <v>26</v>
      </c>
    </row>
    <row r="58" spans="1:8" x14ac:dyDescent="0.3">
      <c r="A58" t="s">
        <v>208</v>
      </c>
      <c r="B58" t="s">
        <v>209</v>
      </c>
      <c r="C58">
        <v>49</v>
      </c>
      <c r="D58" t="s">
        <v>16</v>
      </c>
      <c r="E58" t="s">
        <v>210</v>
      </c>
      <c r="F58" t="s">
        <v>51</v>
      </c>
      <c r="G58" t="s">
        <v>12</v>
      </c>
      <c r="H58" t="s">
        <v>13</v>
      </c>
    </row>
    <row r="59" spans="1:8" x14ac:dyDescent="0.3">
      <c r="A59" t="s">
        <v>211</v>
      </c>
      <c r="B59" t="s">
        <v>212</v>
      </c>
      <c r="C59">
        <v>43</v>
      </c>
      <c r="D59" t="s">
        <v>16</v>
      </c>
      <c r="E59" t="s">
        <v>213</v>
      </c>
      <c r="F59" t="s">
        <v>214</v>
      </c>
      <c r="G59" t="s">
        <v>12</v>
      </c>
      <c r="H59" t="s">
        <v>19</v>
      </c>
    </row>
    <row r="60" spans="1:8" x14ac:dyDescent="0.3">
      <c r="A60" t="s">
        <v>215</v>
      </c>
      <c r="B60" t="s">
        <v>216</v>
      </c>
      <c r="C60">
        <v>51</v>
      </c>
      <c r="D60" t="s">
        <v>9</v>
      </c>
      <c r="E60" t="s">
        <v>217</v>
      </c>
      <c r="F60" t="s">
        <v>139</v>
      </c>
      <c r="G60" t="s">
        <v>12</v>
      </c>
      <c r="H60" t="s">
        <v>19</v>
      </c>
    </row>
    <row r="61" spans="1:8" x14ac:dyDescent="0.3">
      <c r="A61" t="s">
        <v>218</v>
      </c>
      <c r="B61" t="s">
        <v>219</v>
      </c>
      <c r="C61">
        <v>53</v>
      </c>
      <c r="D61" t="s">
        <v>9</v>
      </c>
      <c r="E61" t="s">
        <v>220</v>
      </c>
      <c r="F61" t="s">
        <v>66</v>
      </c>
      <c r="G61" t="s">
        <v>12</v>
      </c>
      <c r="H61" t="s">
        <v>19</v>
      </c>
    </row>
    <row r="62" spans="1:8" x14ac:dyDescent="0.3">
      <c r="A62" t="s">
        <v>221</v>
      </c>
      <c r="B62" t="s">
        <v>222</v>
      </c>
      <c r="C62">
        <v>22</v>
      </c>
      <c r="D62" t="s">
        <v>16</v>
      </c>
      <c r="E62" t="s">
        <v>223</v>
      </c>
      <c r="F62" t="s">
        <v>162</v>
      </c>
      <c r="G62" t="s">
        <v>12</v>
      </c>
      <c r="H62" t="s">
        <v>31</v>
      </c>
    </row>
    <row r="63" spans="1:8" x14ac:dyDescent="0.3">
      <c r="A63" t="s">
        <v>224</v>
      </c>
      <c r="B63" t="s">
        <v>225</v>
      </c>
      <c r="C63">
        <v>23</v>
      </c>
      <c r="D63" t="s">
        <v>9</v>
      </c>
      <c r="E63" t="s">
        <v>226</v>
      </c>
      <c r="F63" t="s">
        <v>113</v>
      </c>
      <c r="G63" t="s">
        <v>12</v>
      </c>
      <c r="H63" t="s">
        <v>31</v>
      </c>
    </row>
    <row r="64" spans="1:8" x14ac:dyDescent="0.3">
      <c r="A64" t="s">
        <v>227</v>
      </c>
      <c r="B64" t="s">
        <v>228</v>
      </c>
      <c r="C64">
        <v>50</v>
      </c>
      <c r="D64" t="s">
        <v>9</v>
      </c>
      <c r="E64" t="s">
        <v>229</v>
      </c>
      <c r="F64" t="s">
        <v>230</v>
      </c>
      <c r="G64" t="s">
        <v>12</v>
      </c>
      <c r="H64" t="s">
        <v>26</v>
      </c>
    </row>
    <row r="65" spans="1:8" x14ac:dyDescent="0.3">
      <c r="A65" t="s">
        <v>231</v>
      </c>
      <c r="B65" t="s">
        <v>232</v>
      </c>
      <c r="C65">
        <v>51</v>
      </c>
      <c r="D65" t="s">
        <v>9</v>
      </c>
      <c r="E65" t="s">
        <v>233</v>
      </c>
      <c r="F65" t="s">
        <v>234</v>
      </c>
      <c r="G65" t="s">
        <v>12</v>
      </c>
      <c r="H65" t="s">
        <v>19</v>
      </c>
    </row>
    <row r="66" spans="1:8" x14ac:dyDescent="0.3">
      <c r="A66" t="s">
        <v>235</v>
      </c>
      <c r="B66" t="s">
        <v>236</v>
      </c>
      <c r="C66">
        <v>33</v>
      </c>
      <c r="D66" t="s">
        <v>9</v>
      </c>
      <c r="E66" t="s">
        <v>237</v>
      </c>
      <c r="F66" t="s">
        <v>133</v>
      </c>
      <c r="G66" t="s">
        <v>12</v>
      </c>
      <c r="H66" t="s">
        <v>13</v>
      </c>
    </row>
    <row r="67" spans="1:8" x14ac:dyDescent="0.3">
      <c r="A67" t="s">
        <v>238</v>
      </c>
      <c r="B67" t="s">
        <v>239</v>
      </c>
      <c r="C67">
        <v>21</v>
      </c>
      <c r="D67" t="s">
        <v>16</v>
      </c>
      <c r="E67" t="s">
        <v>240</v>
      </c>
      <c r="F67" t="s">
        <v>181</v>
      </c>
      <c r="G67" t="s">
        <v>12</v>
      </c>
      <c r="H67" t="s">
        <v>31</v>
      </c>
    </row>
    <row r="68" spans="1:8" x14ac:dyDescent="0.3">
      <c r="A68" t="s">
        <v>241</v>
      </c>
      <c r="B68" t="s">
        <v>242</v>
      </c>
      <c r="C68">
        <v>27</v>
      </c>
      <c r="D68" t="s">
        <v>16</v>
      </c>
      <c r="E68" t="s">
        <v>243</v>
      </c>
      <c r="F68" t="s">
        <v>47</v>
      </c>
      <c r="G68" t="s">
        <v>12</v>
      </c>
      <c r="H68" t="s">
        <v>31</v>
      </c>
    </row>
    <row r="69" spans="1:8" x14ac:dyDescent="0.3">
      <c r="A69" t="s">
        <v>244</v>
      </c>
      <c r="B69" t="s">
        <v>245</v>
      </c>
      <c r="C69">
        <v>58</v>
      </c>
      <c r="D69" t="s">
        <v>9</v>
      </c>
      <c r="E69" t="s">
        <v>246</v>
      </c>
      <c r="F69" t="s">
        <v>247</v>
      </c>
      <c r="G69" t="s">
        <v>12</v>
      </c>
      <c r="H69" t="s">
        <v>31</v>
      </c>
    </row>
    <row r="70" spans="1:8" x14ac:dyDescent="0.3">
      <c r="A70" t="s">
        <v>248</v>
      </c>
      <c r="B70" t="s">
        <v>249</v>
      </c>
      <c r="C70">
        <v>24</v>
      </c>
      <c r="D70" t="s">
        <v>16</v>
      </c>
      <c r="E70" t="s">
        <v>250</v>
      </c>
      <c r="F70" t="s">
        <v>251</v>
      </c>
      <c r="G70" t="s">
        <v>12</v>
      </c>
      <c r="H70" t="s">
        <v>31</v>
      </c>
    </row>
    <row r="71" spans="1:8" x14ac:dyDescent="0.3">
      <c r="A71" t="s">
        <v>252</v>
      </c>
      <c r="B71" t="s">
        <v>253</v>
      </c>
      <c r="C71">
        <v>24</v>
      </c>
      <c r="D71" t="s">
        <v>16</v>
      </c>
      <c r="E71" t="s">
        <v>254</v>
      </c>
      <c r="F71" t="s">
        <v>88</v>
      </c>
      <c r="G71" t="s">
        <v>12</v>
      </c>
      <c r="H71" t="s">
        <v>19</v>
      </c>
    </row>
    <row r="72" spans="1:8" x14ac:dyDescent="0.3">
      <c r="A72" t="s">
        <v>255</v>
      </c>
      <c r="B72" t="s">
        <v>256</v>
      </c>
      <c r="C72">
        <v>29</v>
      </c>
      <c r="D72" t="s">
        <v>16</v>
      </c>
      <c r="E72" t="s">
        <v>257</v>
      </c>
      <c r="F72" t="s">
        <v>230</v>
      </c>
      <c r="G72" t="s">
        <v>12</v>
      </c>
      <c r="H72" t="s">
        <v>13</v>
      </c>
    </row>
    <row r="73" spans="1:8" x14ac:dyDescent="0.3">
      <c r="A73" t="s">
        <v>258</v>
      </c>
      <c r="B73" t="s">
        <v>259</v>
      </c>
      <c r="C73">
        <v>61</v>
      </c>
      <c r="D73" t="s">
        <v>16</v>
      </c>
      <c r="E73" t="s">
        <v>260</v>
      </c>
      <c r="F73" t="s">
        <v>230</v>
      </c>
      <c r="G73" t="s">
        <v>12</v>
      </c>
      <c r="H73" t="s">
        <v>13</v>
      </c>
    </row>
    <row r="74" spans="1:8" x14ac:dyDescent="0.3">
      <c r="A74" t="s">
        <v>261</v>
      </c>
      <c r="B74" t="s">
        <v>262</v>
      </c>
      <c r="C74">
        <v>39</v>
      </c>
      <c r="D74" t="s">
        <v>16</v>
      </c>
      <c r="E74" t="s">
        <v>263</v>
      </c>
      <c r="F74" t="s">
        <v>264</v>
      </c>
      <c r="G74" t="s">
        <v>12</v>
      </c>
      <c r="H74" t="s">
        <v>13</v>
      </c>
    </row>
    <row r="75" spans="1:8" x14ac:dyDescent="0.3">
      <c r="A75" t="s">
        <v>265</v>
      </c>
      <c r="B75" t="s">
        <v>266</v>
      </c>
      <c r="C75">
        <v>56</v>
      </c>
      <c r="D75" t="s">
        <v>16</v>
      </c>
      <c r="E75" t="s">
        <v>267</v>
      </c>
      <c r="F75" t="s">
        <v>43</v>
      </c>
      <c r="G75" t="s">
        <v>12</v>
      </c>
      <c r="H75" t="s">
        <v>31</v>
      </c>
    </row>
    <row r="76" spans="1:8" x14ac:dyDescent="0.3">
      <c r="A76" t="s">
        <v>268</v>
      </c>
      <c r="B76" t="s">
        <v>269</v>
      </c>
      <c r="C76">
        <v>58</v>
      </c>
      <c r="D76" t="s">
        <v>9</v>
      </c>
      <c r="E76" t="s">
        <v>270</v>
      </c>
      <c r="F76" t="s">
        <v>271</v>
      </c>
      <c r="G76" t="s">
        <v>12</v>
      </c>
      <c r="H76" t="s">
        <v>26</v>
      </c>
    </row>
    <row r="77" spans="1:8" x14ac:dyDescent="0.3">
      <c r="A77" t="s">
        <v>272</v>
      </c>
      <c r="B77" t="s">
        <v>273</v>
      </c>
      <c r="C77">
        <v>61</v>
      </c>
      <c r="D77" t="s">
        <v>16</v>
      </c>
      <c r="E77" t="s">
        <v>274</v>
      </c>
      <c r="F77" t="s">
        <v>30</v>
      </c>
      <c r="G77" t="s">
        <v>12</v>
      </c>
      <c r="H77" t="s">
        <v>13</v>
      </c>
    </row>
    <row r="78" spans="1:8" x14ac:dyDescent="0.3">
      <c r="A78" t="s">
        <v>275</v>
      </c>
      <c r="B78" t="s">
        <v>276</v>
      </c>
      <c r="C78">
        <v>37</v>
      </c>
      <c r="D78" t="s">
        <v>9</v>
      </c>
      <c r="E78" t="s">
        <v>277</v>
      </c>
      <c r="F78" t="s">
        <v>96</v>
      </c>
      <c r="G78" t="s">
        <v>12</v>
      </c>
      <c r="H78" t="s">
        <v>13</v>
      </c>
    </row>
    <row r="79" spans="1:8" x14ac:dyDescent="0.3">
      <c r="A79" t="s">
        <v>278</v>
      </c>
      <c r="B79" t="s">
        <v>279</v>
      </c>
      <c r="C79">
        <v>29</v>
      </c>
      <c r="D79" t="s">
        <v>9</v>
      </c>
      <c r="E79" t="s">
        <v>280</v>
      </c>
      <c r="F79" t="s">
        <v>170</v>
      </c>
      <c r="G79" t="s">
        <v>12</v>
      </c>
      <c r="H79" t="s">
        <v>13</v>
      </c>
    </row>
    <row r="80" spans="1:8" x14ac:dyDescent="0.3">
      <c r="A80" t="s">
        <v>281</v>
      </c>
      <c r="B80" t="s">
        <v>282</v>
      </c>
      <c r="C80">
        <v>21</v>
      </c>
      <c r="D80" t="s">
        <v>9</v>
      </c>
      <c r="E80" t="s">
        <v>283</v>
      </c>
      <c r="F80" t="s">
        <v>284</v>
      </c>
      <c r="G80" t="s">
        <v>12</v>
      </c>
      <c r="H80" t="s">
        <v>13</v>
      </c>
    </row>
    <row r="81" spans="1:8" x14ac:dyDescent="0.3">
      <c r="A81" t="s">
        <v>285</v>
      </c>
      <c r="B81" t="s">
        <v>286</v>
      </c>
      <c r="C81">
        <v>22</v>
      </c>
      <c r="D81" t="s">
        <v>16</v>
      </c>
      <c r="E81" t="s">
        <v>287</v>
      </c>
      <c r="F81" t="s">
        <v>288</v>
      </c>
      <c r="G81" t="s">
        <v>12</v>
      </c>
      <c r="H81" t="s">
        <v>19</v>
      </c>
    </row>
    <row r="82" spans="1:8" x14ac:dyDescent="0.3">
      <c r="A82" t="s">
        <v>289</v>
      </c>
      <c r="B82" t="s">
        <v>290</v>
      </c>
      <c r="C82">
        <v>61</v>
      </c>
      <c r="D82" t="s">
        <v>16</v>
      </c>
      <c r="E82" t="s">
        <v>291</v>
      </c>
      <c r="F82" t="s">
        <v>230</v>
      </c>
      <c r="G82" t="s">
        <v>12</v>
      </c>
      <c r="H82" t="s">
        <v>26</v>
      </c>
    </row>
    <row r="83" spans="1:8" x14ac:dyDescent="0.3">
      <c r="A83" t="s">
        <v>292</v>
      </c>
      <c r="B83" t="s">
        <v>293</v>
      </c>
      <c r="C83">
        <v>34</v>
      </c>
      <c r="D83" t="s">
        <v>16</v>
      </c>
      <c r="E83" t="s">
        <v>294</v>
      </c>
      <c r="F83" t="s">
        <v>133</v>
      </c>
      <c r="G83" t="s">
        <v>12</v>
      </c>
      <c r="H83" t="s">
        <v>19</v>
      </c>
    </row>
    <row r="84" spans="1:8" x14ac:dyDescent="0.3">
      <c r="A84" t="s">
        <v>295</v>
      </c>
      <c r="B84" t="s">
        <v>296</v>
      </c>
      <c r="C84">
        <v>53</v>
      </c>
      <c r="D84" t="s">
        <v>9</v>
      </c>
      <c r="E84" t="s">
        <v>297</v>
      </c>
      <c r="F84" t="s">
        <v>247</v>
      </c>
      <c r="G84" t="s">
        <v>12</v>
      </c>
      <c r="H84" t="s">
        <v>26</v>
      </c>
    </row>
    <row r="85" spans="1:8" x14ac:dyDescent="0.3">
      <c r="A85" t="s">
        <v>298</v>
      </c>
      <c r="B85" t="s">
        <v>299</v>
      </c>
      <c r="C85">
        <v>48</v>
      </c>
      <c r="D85" t="s">
        <v>16</v>
      </c>
      <c r="E85" t="s">
        <v>300</v>
      </c>
      <c r="F85" t="s">
        <v>81</v>
      </c>
      <c r="G85" t="s">
        <v>12</v>
      </c>
      <c r="H85" t="s">
        <v>26</v>
      </c>
    </row>
    <row r="86" spans="1:8" x14ac:dyDescent="0.3">
      <c r="A86" t="s">
        <v>301</v>
      </c>
      <c r="B86" t="s">
        <v>302</v>
      </c>
      <c r="C86">
        <v>26</v>
      </c>
      <c r="D86" t="s">
        <v>16</v>
      </c>
      <c r="E86" t="s">
        <v>303</v>
      </c>
      <c r="F86" t="s">
        <v>251</v>
      </c>
      <c r="G86" t="s">
        <v>12</v>
      </c>
      <c r="H86" t="s">
        <v>19</v>
      </c>
    </row>
    <row r="87" spans="1:8" x14ac:dyDescent="0.3">
      <c r="A87" t="s">
        <v>304</v>
      </c>
      <c r="B87" t="s">
        <v>305</v>
      </c>
      <c r="C87">
        <v>36</v>
      </c>
      <c r="D87" t="s">
        <v>9</v>
      </c>
      <c r="E87" t="s">
        <v>306</v>
      </c>
      <c r="F87" t="s">
        <v>51</v>
      </c>
      <c r="G87" t="s">
        <v>12</v>
      </c>
      <c r="H87" t="s">
        <v>31</v>
      </c>
    </row>
    <row r="88" spans="1:8" x14ac:dyDescent="0.3">
      <c r="A88" t="s">
        <v>307</v>
      </c>
      <c r="B88" t="s">
        <v>3811</v>
      </c>
      <c r="C88">
        <v>19</v>
      </c>
      <c r="D88" t="s">
        <v>16</v>
      </c>
      <c r="E88" t="s">
        <v>308</v>
      </c>
      <c r="F88" t="s">
        <v>309</v>
      </c>
      <c r="G88" t="s">
        <v>12</v>
      </c>
      <c r="H88" t="s">
        <v>13</v>
      </c>
    </row>
    <row r="89" spans="1:8" x14ac:dyDescent="0.3">
      <c r="A89" t="s">
        <v>310</v>
      </c>
      <c r="B89" t="s">
        <v>3812</v>
      </c>
      <c r="C89">
        <v>58</v>
      </c>
      <c r="D89" t="s">
        <v>16</v>
      </c>
      <c r="E89" t="s">
        <v>311</v>
      </c>
      <c r="F89" t="s">
        <v>312</v>
      </c>
      <c r="G89" t="s">
        <v>12</v>
      </c>
      <c r="H89" t="s">
        <v>26</v>
      </c>
    </row>
    <row r="90" spans="1:8" x14ac:dyDescent="0.3">
      <c r="A90" t="s">
        <v>313</v>
      </c>
      <c r="B90" t="s">
        <v>314</v>
      </c>
      <c r="C90">
        <v>58</v>
      </c>
      <c r="D90" t="s">
        <v>9</v>
      </c>
      <c r="E90" t="s">
        <v>315</v>
      </c>
      <c r="F90" t="s">
        <v>288</v>
      </c>
      <c r="G90" t="s">
        <v>12</v>
      </c>
      <c r="H90" t="s">
        <v>31</v>
      </c>
    </row>
    <row r="91" spans="1:8" x14ac:dyDescent="0.3">
      <c r="A91" t="s">
        <v>316</v>
      </c>
      <c r="B91" t="s">
        <v>317</v>
      </c>
      <c r="C91">
        <v>43</v>
      </c>
      <c r="D91" t="s">
        <v>9</v>
      </c>
      <c r="E91" t="s">
        <v>318</v>
      </c>
      <c r="F91" t="s">
        <v>319</v>
      </c>
      <c r="G91" t="s">
        <v>12</v>
      </c>
      <c r="H91" t="s">
        <v>19</v>
      </c>
    </row>
    <row r="92" spans="1:8" x14ac:dyDescent="0.3">
      <c r="A92" t="s">
        <v>320</v>
      </c>
      <c r="B92" t="s">
        <v>321</v>
      </c>
      <c r="C92">
        <v>58</v>
      </c>
      <c r="D92" t="s">
        <v>16</v>
      </c>
      <c r="E92" t="s">
        <v>322</v>
      </c>
      <c r="F92" t="s">
        <v>323</v>
      </c>
      <c r="G92" t="s">
        <v>12</v>
      </c>
      <c r="H92" t="s">
        <v>19</v>
      </c>
    </row>
    <row r="93" spans="1:8" x14ac:dyDescent="0.3">
      <c r="A93" t="s">
        <v>324</v>
      </c>
      <c r="B93" t="s">
        <v>325</v>
      </c>
      <c r="C93">
        <v>29</v>
      </c>
      <c r="D93" t="s">
        <v>16</v>
      </c>
      <c r="E93" t="s">
        <v>326</v>
      </c>
      <c r="F93" t="s">
        <v>133</v>
      </c>
      <c r="G93" t="s">
        <v>12</v>
      </c>
      <c r="H93" t="s">
        <v>31</v>
      </c>
    </row>
    <row r="94" spans="1:8" x14ac:dyDescent="0.3">
      <c r="A94" t="s">
        <v>327</v>
      </c>
      <c r="B94" t="s">
        <v>328</v>
      </c>
      <c r="C94">
        <v>44</v>
      </c>
      <c r="D94" t="s">
        <v>16</v>
      </c>
      <c r="E94" t="s">
        <v>329</v>
      </c>
      <c r="F94" t="s">
        <v>234</v>
      </c>
      <c r="G94" t="s">
        <v>12</v>
      </c>
      <c r="H94" t="s">
        <v>19</v>
      </c>
    </row>
    <row r="95" spans="1:8" x14ac:dyDescent="0.3">
      <c r="A95" t="s">
        <v>330</v>
      </c>
      <c r="B95" t="s">
        <v>331</v>
      </c>
      <c r="C95">
        <v>28</v>
      </c>
      <c r="D95" t="s">
        <v>16</v>
      </c>
      <c r="E95" t="s">
        <v>332</v>
      </c>
      <c r="F95" t="s">
        <v>312</v>
      </c>
      <c r="G95" t="s">
        <v>12</v>
      </c>
      <c r="H95" t="s">
        <v>13</v>
      </c>
    </row>
    <row r="96" spans="1:8" x14ac:dyDescent="0.3">
      <c r="A96" t="s">
        <v>333</v>
      </c>
      <c r="B96" t="s">
        <v>334</v>
      </c>
      <c r="C96">
        <v>43</v>
      </c>
      <c r="D96" t="s">
        <v>16</v>
      </c>
      <c r="E96" t="s">
        <v>335</v>
      </c>
      <c r="F96" t="s">
        <v>181</v>
      </c>
      <c r="G96" t="s">
        <v>12</v>
      </c>
      <c r="H96" t="s">
        <v>13</v>
      </c>
    </row>
    <row r="97" spans="1:8" x14ac:dyDescent="0.3">
      <c r="A97" t="s">
        <v>336</v>
      </c>
      <c r="B97" t="s">
        <v>337</v>
      </c>
      <c r="C97">
        <v>62</v>
      </c>
      <c r="D97" t="s">
        <v>16</v>
      </c>
      <c r="E97" t="s">
        <v>338</v>
      </c>
      <c r="F97" t="s">
        <v>58</v>
      </c>
      <c r="G97" t="s">
        <v>12</v>
      </c>
      <c r="H97" t="s">
        <v>19</v>
      </c>
    </row>
    <row r="98" spans="1:8" x14ac:dyDescent="0.3">
      <c r="A98" t="s">
        <v>339</v>
      </c>
      <c r="B98" t="s">
        <v>340</v>
      </c>
      <c r="C98">
        <v>30</v>
      </c>
      <c r="D98" t="s">
        <v>16</v>
      </c>
      <c r="E98" t="s">
        <v>341</v>
      </c>
      <c r="F98" t="s">
        <v>323</v>
      </c>
      <c r="G98" t="s">
        <v>12</v>
      </c>
      <c r="H98" t="s">
        <v>19</v>
      </c>
    </row>
    <row r="99" spans="1:8" x14ac:dyDescent="0.3">
      <c r="A99" t="s">
        <v>342</v>
      </c>
      <c r="B99" t="s">
        <v>343</v>
      </c>
      <c r="C99">
        <v>36</v>
      </c>
      <c r="D99" t="s">
        <v>9</v>
      </c>
      <c r="E99" t="s">
        <v>344</v>
      </c>
      <c r="F99" t="s">
        <v>39</v>
      </c>
      <c r="G99" t="s">
        <v>12</v>
      </c>
      <c r="H99" t="s">
        <v>31</v>
      </c>
    </row>
    <row r="100" spans="1:8" x14ac:dyDescent="0.3">
      <c r="A100" t="s">
        <v>345</v>
      </c>
      <c r="B100" t="s">
        <v>346</v>
      </c>
      <c r="C100">
        <v>24</v>
      </c>
      <c r="D100" t="s">
        <v>9</v>
      </c>
      <c r="E100" t="s">
        <v>347</v>
      </c>
      <c r="F100" t="s">
        <v>162</v>
      </c>
      <c r="G100" t="s">
        <v>12</v>
      </c>
      <c r="H100" t="s">
        <v>13</v>
      </c>
    </row>
    <row r="101" spans="1:8" x14ac:dyDescent="0.3">
      <c r="A101" t="s">
        <v>348</v>
      </c>
      <c r="B101" t="s">
        <v>349</v>
      </c>
      <c r="C101">
        <v>35</v>
      </c>
      <c r="D101" t="s">
        <v>9</v>
      </c>
      <c r="E101" t="s">
        <v>350</v>
      </c>
      <c r="F101" t="s">
        <v>234</v>
      </c>
      <c r="G101" t="s">
        <v>12</v>
      </c>
      <c r="H101" t="s">
        <v>31</v>
      </c>
    </row>
    <row r="102" spans="1:8" x14ac:dyDescent="0.3">
      <c r="A102" t="s">
        <v>351</v>
      </c>
      <c r="B102" t="s">
        <v>352</v>
      </c>
      <c r="C102">
        <v>53</v>
      </c>
      <c r="D102" t="s">
        <v>16</v>
      </c>
      <c r="E102" t="s">
        <v>353</v>
      </c>
      <c r="F102" t="s">
        <v>354</v>
      </c>
      <c r="G102" t="s">
        <v>12</v>
      </c>
      <c r="H102" t="s">
        <v>19</v>
      </c>
    </row>
    <row r="103" spans="1:8" x14ac:dyDescent="0.3">
      <c r="A103" t="s">
        <v>355</v>
      </c>
      <c r="B103" t="s">
        <v>356</v>
      </c>
      <c r="C103">
        <v>29</v>
      </c>
      <c r="D103" t="s">
        <v>9</v>
      </c>
      <c r="E103" t="s">
        <v>357</v>
      </c>
      <c r="F103" t="s">
        <v>117</v>
      </c>
      <c r="G103" t="s">
        <v>12</v>
      </c>
      <c r="H103" t="s">
        <v>13</v>
      </c>
    </row>
    <row r="104" spans="1:8" x14ac:dyDescent="0.3">
      <c r="A104" t="s">
        <v>358</v>
      </c>
      <c r="B104" t="s">
        <v>359</v>
      </c>
      <c r="C104">
        <v>34</v>
      </c>
      <c r="D104" t="s">
        <v>16</v>
      </c>
      <c r="E104" t="s">
        <v>360</v>
      </c>
      <c r="F104" t="s">
        <v>51</v>
      </c>
      <c r="G104" t="s">
        <v>12</v>
      </c>
      <c r="H104" t="s">
        <v>26</v>
      </c>
    </row>
    <row r="105" spans="1:8" x14ac:dyDescent="0.3">
      <c r="A105" t="s">
        <v>361</v>
      </c>
      <c r="B105" t="s">
        <v>362</v>
      </c>
      <c r="C105">
        <v>21</v>
      </c>
      <c r="D105" t="s">
        <v>9</v>
      </c>
      <c r="E105" t="s">
        <v>363</v>
      </c>
      <c r="F105" t="s">
        <v>166</v>
      </c>
      <c r="G105" t="s">
        <v>12</v>
      </c>
      <c r="H105" t="s">
        <v>26</v>
      </c>
    </row>
    <row r="106" spans="1:8" x14ac:dyDescent="0.3">
      <c r="A106" t="s">
        <v>364</v>
      </c>
      <c r="B106" t="s">
        <v>365</v>
      </c>
      <c r="C106">
        <v>64</v>
      </c>
      <c r="D106" t="s">
        <v>9</v>
      </c>
      <c r="E106" t="s">
        <v>366</v>
      </c>
      <c r="F106" t="s">
        <v>81</v>
      </c>
      <c r="G106" t="s">
        <v>12</v>
      </c>
      <c r="H106" t="s">
        <v>31</v>
      </c>
    </row>
    <row r="107" spans="1:8" x14ac:dyDescent="0.3">
      <c r="A107" t="s">
        <v>367</v>
      </c>
      <c r="B107" t="s">
        <v>368</v>
      </c>
      <c r="C107">
        <v>50</v>
      </c>
      <c r="D107" t="s">
        <v>16</v>
      </c>
      <c r="E107" t="s">
        <v>369</v>
      </c>
      <c r="F107" t="s">
        <v>247</v>
      </c>
      <c r="G107" t="s">
        <v>12</v>
      </c>
      <c r="H107" t="s">
        <v>13</v>
      </c>
    </row>
    <row r="108" spans="1:8" x14ac:dyDescent="0.3">
      <c r="A108" t="s">
        <v>370</v>
      </c>
      <c r="B108" t="s">
        <v>371</v>
      </c>
      <c r="C108">
        <v>53</v>
      </c>
      <c r="D108" t="s">
        <v>16</v>
      </c>
      <c r="E108" t="s">
        <v>372</v>
      </c>
      <c r="F108" t="s">
        <v>214</v>
      </c>
      <c r="G108" t="s">
        <v>12</v>
      </c>
      <c r="H108" t="s">
        <v>26</v>
      </c>
    </row>
    <row r="109" spans="1:8" x14ac:dyDescent="0.3">
      <c r="A109" t="s">
        <v>373</v>
      </c>
      <c r="B109" t="s">
        <v>374</v>
      </c>
      <c r="C109">
        <v>62</v>
      </c>
      <c r="D109" t="s">
        <v>16</v>
      </c>
      <c r="E109" t="s">
        <v>375</v>
      </c>
      <c r="F109" t="s">
        <v>18</v>
      </c>
      <c r="G109" t="s">
        <v>12</v>
      </c>
      <c r="H109" t="s">
        <v>19</v>
      </c>
    </row>
    <row r="110" spans="1:8" x14ac:dyDescent="0.3">
      <c r="A110" t="s">
        <v>376</v>
      </c>
      <c r="B110" t="s">
        <v>377</v>
      </c>
      <c r="C110">
        <v>38</v>
      </c>
      <c r="D110" t="s">
        <v>9</v>
      </c>
      <c r="E110" t="s">
        <v>378</v>
      </c>
      <c r="F110" t="s">
        <v>47</v>
      </c>
      <c r="G110" t="s">
        <v>12</v>
      </c>
      <c r="H110" t="s">
        <v>26</v>
      </c>
    </row>
    <row r="111" spans="1:8" x14ac:dyDescent="0.3">
      <c r="A111" t="s">
        <v>379</v>
      </c>
      <c r="B111" t="s">
        <v>380</v>
      </c>
      <c r="C111">
        <v>27</v>
      </c>
      <c r="D111" t="s">
        <v>9</v>
      </c>
      <c r="E111" t="s">
        <v>381</v>
      </c>
      <c r="F111" t="s">
        <v>43</v>
      </c>
      <c r="G111" t="s">
        <v>12</v>
      </c>
      <c r="H111" t="s">
        <v>31</v>
      </c>
    </row>
    <row r="112" spans="1:8" x14ac:dyDescent="0.3">
      <c r="A112" t="s">
        <v>382</v>
      </c>
      <c r="B112" t="s">
        <v>383</v>
      </c>
      <c r="C112">
        <v>40</v>
      </c>
      <c r="D112" t="s">
        <v>16</v>
      </c>
      <c r="E112" t="s">
        <v>384</v>
      </c>
      <c r="F112" t="s">
        <v>139</v>
      </c>
      <c r="G112" t="s">
        <v>12</v>
      </c>
      <c r="H112" t="s">
        <v>13</v>
      </c>
    </row>
    <row r="113" spans="1:8" x14ac:dyDescent="0.3">
      <c r="A113" t="s">
        <v>385</v>
      </c>
      <c r="B113" t="s">
        <v>386</v>
      </c>
      <c r="C113">
        <v>18</v>
      </c>
      <c r="D113" t="s">
        <v>16</v>
      </c>
      <c r="E113" t="s">
        <v>387</v>
      </c>
      <c r="F113" t="s">
        <v>133</v>
      </c>
      <c r="G113" t="s">
        <v>12</v>
      </c>
      <c r="H113" t="s">
        <v>19</v>
      </c>
    </row>
    <row r="114" spans="1:8" x14ac:dyDescent="0.3">
      <c r="A114" t="s">
        <v>388</v>
      </c>
      <c r="B114" t="s">
        <v>389</v>
      </c>
      <c r="C114">
        <v>27</v>
      </c>
      <c r="D114" t="s">
        <v>16</v>
      </c>
      <c r="E114" t="s">
        <v>390</v>
      </c>
      <c r="F114" t="s">
        <v>155</v>
      </c>
      <c r="G114" t="s">
        <v>12</v>
      </c>
      <c r="H114" t="s">
        <v>31</v>
      </c>
    </row>
    <row r="115" spans="1:8" x14ac:dyDescent="0.3">
      <c r="A115" t="s">
        <v>391</v>
      </c>
      <c r="B115" t="s">
        <v>392</v>
      </c>
      <c r="C115">
        <v>51</v>
      </c>
      <c r="D115" t="s">
        <v>9</v>
      </c>
      <c r="E115" t="s">
        <v>393</v>
      </c>
      <c r="F115" t="s">
        <v>230</v>
      </c>
      <c r="G115" t="s">
        <v>12</v>
      </c>
      <c r="H115" t="s">
        <v>13</v>
      </c>
    </row>
    <row r="116" spans="1:8" x14ac:dyDescent="0.3">
      <c r="A116" t="s">
        <v>394</v>
      </c>
      <c r="B116" t="s">
        <v>395</v>
      </c>
      <c r="C116">
        <v>30</v>
      </c>
      <c r="D116" t="s">
        <v>9</v>
      </c>
      <c r="E116" t="s">
        <v>396</v>
      </c>
      <c r="F116" t="s">
        <v>181</v>
      </c>
      <c r="G116" t="s">
        <v>12</v>
      </c>
      <c r="H116" t="s">
        <v>26</v>
      </c>
    </row>
    <row r="117" spans="1:8" x14ac:dyDescent="0.3">
      <c r="A117" t="s">
        <v>397</v>
      </c>
      <c r="B117" t="s">
        <v>398</v>
      </c>
      <c r="C117">
        <v>53</v>
      </c>
      <c r="D117" t="s">
        <v>16</v>
      </c>
      <c r="E117" t="s">
        <v>399</v>
      </c>
      <c r="F117" t="s">
        <v>18</v>
      </c>
      <c r="G117" t="s">
        <v>12</v>
      </c>
      <c r="H117" t="s">
        <v>19</v>
      </c>
    </row>
    <row r="118" spans="1:8" x14ac:dyDescent="0.3">
      <c r="A118" t="s">
        <v>400</v>
      </c>
      <c r="B118" t="s">
        <v>401</v>
      </c>
      <c r="C118">
        <v>18</v>
      </c>
      <c r="D118" t="s">
        <v>16</v>
      </c>
      <c r="E118" t="s">
        <v>402</v>
      </c>
      <c r="F118" t="s">
        <v>214</v>
      </c>
      <c r="G118" t="s">
        <v>12</v>
      </c>
      <c r="H118" t="s">
        <v>19</v>
      </c>
    </row>
    <row r="119" spans="1:8" x14ac:dyDescent="0.3">
      <c r="A119" t="s">
        <v>403</v>
      </c>
      <c r="B119" t="s">
        <v>404</v>
      </c>
      <c r="C119">
        <v>21</v>
      </c>
      <c r="D119" t="s">
        <v>16</v>
      </c>
      <c r="E119" t="s">
        <v>405</v>
      </c>
      <c r="F119" t="s">
        <v>74</v>
      </c>
      <c r="G119" t="s">
        <v>12</v>
      </c>
      <c r="H119" t="s">
        <v>19</v>
      </c>
    </row>
    <row r="120" spans="1:8" x14ac:dyDescent="0.3">
      <c r="A120" t="s">
        <v>406</v>
      </c>
      <c r="B120" t="s">
        <v>407</v>
      </c>
      <c r="C120">
        <v>36</v>
      </c>
      <c r="D120" t="s">
        <v>9</v>
      </c>
      <c r="E120" t="s">
        <v>408</v>
      </c>
      <c r="F120" t="s">
        <v>70</v>
      </c>
      <c r="G120" t="s">
        <v>12</v>
      </c>
      <c r="H120" t="s">
        <v>19</v>
      </c>
    </row>
    <row r="121" spans="1:8" x14ac:dyDescent="0.3">
      <c r="A121" t="s">
        <v>409</v>
      </c>
      <c r="B121" t="s">
        <v>410</v>
      </c>
      <c r="C121">
        <v>40</v>
      </c>
      <c r="D121" t="s">
        <v>9</v>
      </c>
      <c r="E121" t="s">
        <v>411</v>
      </c>
      <c r="F121" t="s">
        <v>234</v>
      </c>
      <c r="G121" t="s">
        <v>12</v>
      </c>
      <c r="H121" t="s">
        <v>26</v>
      </c>
    </row>
    <row r="122" spans="1:8" x14ac:dyDescent="0.3">
      <c r="A122" t="s">
        <v>412</v>
      </c>
      <c r="B122" t="s">
        <v>413</v>
      </c>
      <c r="C122">
        <v>44</v>
      </c>
      <c r="D122" t="s">
        <v>16</v>
      </c>
      <c r="E122" t="s">
        <v>3774</v>
      </c>
      <c r="F122" t="s">
        <v>51</v>
      </c>
      <c r="G122" t="s">
        <v>12</v>
      </c>
      <c r="H122" t="s">
        <v>19</v>
      </c>
    </row>
    <row r="123" spans="1:8" x14ac:dyDescent="0.3">
      <c r="A123" t="s">
        <v>414</v>
      </c>
      <c r="B123" t="s">
        <v>415</v>
      </c>
      <c r="C123">
        <v>62</v>
      </c>
      <c r="D123" t="s">
        <v>9</v>
      </c>
      <c r="E123" t="s">
        <v>416</v>
      </c>
      <c r="F123" t="s">
        <v>99</v>
      </c>
      <c r="G123" t="s">
        <v>12</v>
      </c>
      <c r="H123" t="s">
        <v>19</v>
      </c>
    </row>
    <row r="124" spans="1:8" x14ac:dyDescent="0.3">
      <c r="A124" t="s">
        <v>417</v>
      </c>
      <c r="B124" t="s">
        <v>418</v>
      </c>
      <c r="C124">
        <v>50</v>
      </c>
      <c r="D124" t="s">
        <v>9</v>
      </c>
      <c r="E124" t="s">
        <v>419</v>
      </c>
      <c r="F124" t="s">
        <v>11</v>
      </c>
      <c r="G124" t="s">
        <v>12</v>
      </c>
      <c r="H124" t="s">
        <v>19</v>
      </c>
    </row>
    <row r="125" spans="1:8" x14ac:dyDescent="0.3">
      <c r="A125" t="s">
        <v>420</v>
      </c>
      <c r="B125" t="s">
        <v>421</v>
      </c>
      <c r="C125">
        <v>40</v>
      </c>
      <c r="D125" t="s">
        <v>9</v>
      </c>
      <c r="E125" t="s">
        <v>422</v>
      </c>
      <c r="F125" t="s">
        <v>264</v>
      </c>
      <c r="G125" t="s">
        <v>12</v>
      </c>
      <c r="H125" t="s">
        <v>31</v>
      </c>
    </row>
    <row r="126" spans="1:8" x14ac:dyDescent="0.3">
      <c r="A126" t="s">
        <v>423</v>
      </c>
      <c r="B126" t="s">
        <v>424</v>
      </c>
      <c r="C126">
        <v>26</v>
      </c>
      <c r="D126" t="s">
        <v>9</v>
      </c>
      <c r="E126" t="s">
        <v>425</v>
      </c>
      <c r="F126" t="s">
        <v>191</v>
      </c>
      <c r="G126" t="s">
        <v>12</v>
      </c>
      <c r="H126" t="s">
        <v>26</v>
      </c>
    </row>
    <row r="127" spans="1:8" x14ac:dyDescent="0.3">
      <c r="A127" t="s">
        <v>426</v>
      </c>
      <c r="B127" t="s">
        <v>427</v>
      </c>
      <c r="C127">
        <v>64</v>
      </c>
      <c r="D127" t="s">
        <v>16</v>
      </c>
      <c r="E127" t="s">
        <v>428</v>
      </c>
      <c r="F127" t="s">
        <v>429</v>
      </c>
      <c r="G127" t="s">
        <v>12</v>
      </c>
      <c r="H127" t="s">
        <v>19</v>
      </c>
    </row>
    <row r="128" spans="1:8" x14ac:dyDescent="0.3">
      <c r="A128" t="s">
        <v>430</v>
      </c>
      <c r="B128" t="s">
        <v>431</v>
      </c>
      <c r="C128">
        <v>62</v>
      </c>
      <c r="D128" t="s">
        <v>16</v>
      </c>
      <c r="E128" t="s">
        <v>432</v>
      </c>
      <c r="F128" t="s">
        <v>133</v>
      </c>
      <c r="G128" t="s">
        <v>12</v>
      </c>
      <c r="H128" t="s">
        <v>13</v>
      </c>
    </row>
    <row r="129" spans="1:8" x14ac:dyDescent="0.3">
      <c r="A129" t="s">
        <v>433</v>
      </c>
      <c r="B129" t="s">
        <v>434</v>
      </c>
      <c r="C129">
        <v>39</v>
      </c>
      <c r="D129" t="s">
        <v>9</v>
      </c>
      <c r="E129" t="s">
        <v>435</v>
      </c>
      <c r="F129" t="s">
        <v>170</v>
      </c>
      <c r="G129" t="s">
        <v>12</v>
      </c>
      <c r="H129" t="s">
        <v>19</v>
      </c>
    </row>
    <row r="130" spans="1:8" x14ac:dyDescent="0.3">
      <c r="A130" t="s">
        <v>436</v>
      </c>
      <c r="B130" t="s">
        <v>437</v>
      </c>
      <c r="C130">
        <v>45</v>
      </c>
      <c r="D130" t="s">
        <v>9</v>
      </c>
      <c r="E130" t="s">
        <v>438</v>
      </c>
      <c r="F130" t="s">
        <v>288</v>
      </c>
      <c r="G130" t="s">
        <v>12</v>
      </c>
      <c r="H130" t="s">
        <v>31</v>
      </c>
    </row>
    <row r="131" spans="1:8" x14ac:dyDescent="0.3">
      <c r="A131" t="s">
        <v>439</v>
      </c>
      <c r="B131" t="s">
        <v>440</v>
      </c>
      <c r="C131">
        <v>43</v>
      </c>
      <c r="D131" t="s">
        <v>16</v>
      </c>
      <c r="E131" t="s">
        <v>441</v>
      </c>
      <c r="F131" t="s">
        <v>39</v>
      </c>
      <c r="G131" t="s">
        <v>12</v>
      </c>
      <c r="H131" t="s">
        <v>31</v>
      </c>
    </row>
    <row r="132" spans="1:8" x14ac:dyDescent="0.3">
      <c r="A132" t="s">
        <v>442</v>
      </c>
      <c r="B132" t="s">
        <v>443</v>
      </c>
      <c r="C132">
        <v>29</v>
      </c>
      <c r="D132" t="s">
        <v>9</v>
      </c>
      <c r="E132" t="s">
        <v>3775</v>
      </c>
      <c r="F132" t="s">
        <v>166</v>
      </c>
      <c r="G132" t="s">
        <v>12</v>
      </c>
      <c r="H132" t="s">
        <v>19</v>
      </c>
    </row>
    <row r="133" spans="1:8" x14ac:dyDescent="0.3">
      <c r="A133" t="s">
        <v>444</v>
      </c>
      <c r="B133" t="s">
        <v>445</v>
      </c>
      <c r="C133">
        <v>34</v>
      </c>
      <c r="D133" t="s">
        <v>16</v>
      </c>
      <c r="E133" t="s">
        <v>446</v>
      </c>
      <c r="F133" t="s">
        <v>22</v>
      </c>
      <c r="G133" t="s">
        <v>12</v>
      </c>
      <c r="H133" t="s">
        <v>26</v>
      </c>
    </row>
    <row r="134" spans="1:8" x14ac:dyDescent="0.3">
      <c r="A134" t="s">
        <v>447</v>
      </c>
      <c r="B134" t="s">
        <v>448</v>
      </c>
      <c r="C134">
        <v>57</v>
      </c>
      <c r="D134" t="s">
        <v>16</v>
      </c>
      <c r="E134" t="s">
        <v>449</v>
      </c>
      <c r="F134" t="s">
        <v>25</v>
      </c>
      <c r="G134" t="s">
        <v>12</v>
      </c>
      <c r="H134" t="s">
        <v>13</v>
      </c>
    </row>
    <row r="135" spans="1:8" x14ac:dyDescent="0.3">
      <c r="A135" t="s">
        <v>450</v>
      </c>
      <c r="B135" t="s">
        <v>451</v>
      </c>
      <c r="C135">
        <v>62</v>
      </c>
      <c r="D135" t="s">
        <v>16</v>
      </c>
      <c r="E135" t="s">
        <v>452</v>
      </c>
      <c r="F135" t="s">
        <v>247</v>
      </c>
      <c r="G135" t="s">
        <v>12</v>
      </c>
      <c r="H135" t="s">
        <v>26</v>
      </c>
    </row>
    <row r="136" spans="1:8" x14ac:dyDescent="0.3">
      <c r="A136" t="s">
        <v>453</v>
      </c>
      <c r="B136" t="s">
        <v>454</v>
      </c>
      <c r="C136">
        <v>54</v>
      </c>
      <c r="D136" t="s">
        <v>9</v>
      </c>
      <c r="E136" t="s">
        <v>455</v>
      </c>
      <c r="F136" t="s">
        <v>74</v>
      </c>
      <c r="G136" t="s">
        <v>12</v>
      </c>
      <c r="H136" t="s">
        <v>13</v>
      </c>
    </row>
    <row r="137" spans="1:8" x14ac:dyDescent="0.3">
      <c r="A137" t="s">
        <v>456</v>
      </c>
      <c r="B137" t="s">
        <v>457</v>
      </c>
      <c r="C137">
        <v>33</v>
      </c>
      <c r="D137" t="s">
        <v>16</v>
      </c>
      <c r="E137" t="s">
        <v>458</v>
      </c>
      <c r="F137" t="s">
        <v>155</v>
      </c>
      <c r="G137" t="s">
        <v>12</v>
      </c>
      <c r="H137" t="s">
        <v>19</v>
      </c>
    </row>
    <row r="138" spans="1:8" x14ac:dyDescent="0.3">
      <c r="A138" t="s">
        <v>459</v>
      </c>
      <c r="B138" t="s">
        <v>460</v>
      </c>
      <c r="C138">
        <v>29</v>
      </c>
      <c r="D138" t="s">
        <v>9</v>
      </c>
      <c r="E138" t="s">
        <v>461</v>
      </c>
      <c r="F138" t="s">
        <v>70</v>
      </c>
      <c r="G138" t="s">
        <v>12</v>
      </c>
      <c r="H138" t="s">
        <v>31</v>
      </c>
    </row>
    <row r="139" spans="1:8" x14ac:dyDescent="0.3">
      <c r="A139" t="s">
        <v>462</v>
      </c>
      <c r="B139" t="s">
        <v>463</v>
      </c>
      <c r="C139">
        <v>55</v>
      </c>
      <c r="D139" t="s">
        <v>16</v>
      </c>
      <c r="E139" t="s">
        <v>464</v>
      </c>
      <c r="F139" t="s">
        <v>25</v>
      </c>
      <c r="G139" t="s">
        <v>12</v>
      </c>
      <c r="H139" t="s">
        <v>19</v>
      </c>
    </row>
    <row r="140" spans="1:8" x14ac:dyDescent="0.3">
      <c r="A140" t="s">
        <v>465</v>
      </c>
      <c r="B140" t="s">
        <v>466</v>
      </c>
      <c r="C140">
        <v>43</v>
      </c>
      <c r="D140" t="s">
        <v>9</v>
      </c>
      <c r="E140" t="s">
        <v>390</v>
      </c>
      <c r="F140" t="s">
        <v>284</v>
      </c>
      <c r="G140" t="s">
        <v>12</v>
      </c>
      <c r="H140" t="s">
        <v>13</v>
      </c>
    </row>
    <row r="141" spans="1:8" x14ac:dyDescent="0.3">
      <c r="A141" t="s">
        <v>467</v>
      </c>
      <c r="B141" t="s">
        <v>468</v>
      </c>
      <c r="C141">
        <v>32</v>
      </c>
      <c r="D141" t="s">
        <v>9</v>
      </c>
      <c r="E141" t="s">
        <v>469</v>
      </c>
      <c r="F141" t="s">
        <v>117</v>
      </c>
      <c r="G141" t="s">
        <v>12</v>
      </c>
      <c r="H141" t="s">
        <v>26</v>
      </c>
    </row>
    <row r="142" spans="1:8" x14ac:dyDescent="0.3">
      <c r="A142" t="s">
        <v>470</v>
      </c>
      <c r="B142" t="s">
        <v>471</v>
      </c>
      <c r="C142">
        <v>63</v>
      </c>
      <c r="D142" t="s">
        <v>16</v>
      </c>
      <c r="E142" t="s">
        <v>472</v>
      </c>
      <c r="F142" t="s">
        <v>51</v>
      </c>
      <c r="G142" t="s">
        <v>12</v>
      </c>
      <c r="H142" t="s">
        <v>13</v>
      </c>
    </row>
    <row r="143" spans="1:8" x14ac:dyDescent="0.3">
      <c r="A143" t="s">
        <v>473</v>
      </c>
      <c r="B143" t="s">
        <v>474</v>
      </c>
      <c r="C143">
        <v>30</v>
      </c>
      <c r="D143" t="s">
        <v>9</v>
      </c>
      <c r="E143" t="s">
        <v>475</v>
      </c>
      <c r="F143" t="s">
        <v>30</v>
      </c>
      <c r="G143" t="s">
        <v>12</v>
      </c>
      <c r="H143" t="s">
        <v>26</v>
      </c>
    </row>
    <row r="144" spans="1:8" x14ac:dyDescent="0.3">
      <c r="A144" t="s">
        <v>476</v>
      </c>
      <c r="B144" t="s">
        <v>477</v>
      </c>
      <c r="C144">
        <v>37</v>
      </c>
      <c r="D144" t="s">
        <v>9</v>
      </c>
      <c r="E144" t="s">
        <v>478</v>
      </c>
      <c r="F144" t="s">
        <v>66</v>
      </c>
      <c r="G144" t="s">
        <v>12</v>
      </c>
      <c r="H144" t="s">
        <v>26</v>
      </c>
    </row>
    <row r="145" spans="1:8" x14ac:dyDescent="0.3">
      <c r="A145" t="s">
        <v>479</v>
      </c>
      <c r="B145" t="s">
        <v>480</v>
      </c>
      <c r="C145">
        <v>46</v>
      </c>
      <c r="D145" t="s">
        <v>9</v>
      </c>
      <c r="E145" t="s">
        <v>481</v>
      </c>
      <c r="F145" t="s">
        <v>22</v>
      </c>
      <c r="G145" t="s">
        <v>12</v>
      </c>
      <c r="H145" t="s">
        <v>26</v>
      </c>
    </row>
    <row r="146" spans="1:8" x14ac:dyDescent="0.3">
      <c r="A146" t="s">
        <v>482</v>
      </c>
      <c r="B146" t="s">
        <v>483</v>
      </c>
      <c r="C146">
        <v>62</v>
      </c>
      <c r="D146" t="s">
        <v>16</v>
      </c>
      <c r="E146" t="s">
        <v>484</v>
      </c>
      <c r="F146" t="s">
        <v>181</v>
      </c>
      <c r="G146" t="s">
        <v>12</v>
      </c>
      <c r="H146" t="s">
        <v>26</v>
      </c>
    </row>
    <row r="147" spans="1:8" x14ac:dyDescent="0.3">
      <c r="A147" t="s">
        <v>485</v>
      </c>
      <c r="B147" t="s">
        <v>486</v>
      </c>
      <c r="C147">
        <v>46</v>
      </c>
      <c r="D147" t="s">
        <v>9</v>
      </c>
      <c r="E147" t="s">
        <v>487</v>
      </c>
      <c r="F147" t="s">
        <v>251</v>
      </c>
      <c r="G147" t="s">
        <v>12</v>
      </c>
      <c r="H147" t="s">
        <v>19</v>
      </c>
    </row>
    <row r="148" spans="1:8" x14ac:dyDescent="0.3">
      <c r="A148" t="s">
        <v>488</v>
      </c>
      <c r="B148" t="s">
        <v>489</v>
      </c>
      <c r="C148">
        <v>32</v>
      </c>
      <c r="D148" t="s">
        <v>16</v>
      </c>
      <c r="E148" t="s">
        <v>490</v>
      </c>
      <c r="F148" t="s">
        <v>312</v>
      </c>
      <c r="G148" t="s">
        <v>12</v>
      </c>
      <c r="H148" t="s">
        <v>13</v>
      </c>
    </row>
    <row r="149" spans="1:8" x14ac:dyDescent="0.3">
      <c r="A149" t="s">
        <v>491</v>
      </c>
      <c r="B149" t="s">
        <v>492</v>
      </c>
      <c r="C149">
        <v>49</v>
      </c>
      <c r="D149" t="s">
        <v>16</v>
      </c>
      <c r="E149" t="s">
        <v>493</v>
      </c>
      <c r="F149" t="s">
        <v>162</v>
      </c>
      <c r="G149" t="s">
        <v>12</v>
      </c>
      <c r="H149" t="s">
        <v>19</v>
      </c>
    </row>
    <row r="150" spans="1:8" x14ac:dyDescent="0.3">
      <c r="A150" t="s">
        <v>494</v>
      </c>
      <c r="B150" t="s">
        <v>495</v>
      </c>
      <c r="C150">
        <v>42</v>
      </c>
      <c r="D150" t="s">
        <v>16</v>
      </c>
      <c r="E150" t="s">
        <v>496</v>
      </c>
      <c r="F150" t="s">
        <v>319</v>
      </c>
      <c r="G150" t="s">
        <v>12</v>
      </c>
      <c r="H150" t="s">
        <v>26</v>
      </c>
    </row>
    <row r="151" spans="1:8" x14ac:dyDescent="0.3">
      <c r="A151" t="s">
        <v>497</v>
      </c>
      <c r="B151" t="s">
        <v>498</v>
      </c>
      <c r="C151">
        <v>33</v>
      </c>
      <c r="D151" t="s">
        <v>9</v>
      </c>
      <c r="E151" t="s">
        <v>499</v>
      </c>
      <c r="F151" t="s">
        <v>247</v>
      </c>
      <c r="G151" t="s">
        <v>12</v>
      </c>
      <c r="H151" t="s">
        <v>19</v>
      </c>
    </row>
    <row r="152" spans="1:8" x14ac:dyDescent="0.3">
      <c r="A152" t="s">
        <v>500</v>
      </c>
      <c r="B152" t="s">
        <v>501</v>
      </c>
      <c r="C152">
        <v>24</v>
      </c>
      <c r="D152" t="s">
        <v>9</v>
      </c>
      <c r="E152" t="s">
        <v>502</v>
      </c>
      <c r="F152" t="s">
        <v>309</v>
      </c>
      <c r="G152" t="s">
        <v>12</v>
      </c>
      <c r="H152" t="s">
        <v>13</v>
      </c>
    </row>
    <row r="153" spans="1:8" x14ac:dyDescent="0.3">
      <c r="A153" t="s">
        <v>503</v>
      </c>
      <c r="B153" t="s">
        <v>504</v>
      </c>
      <c r="C153">
        <v>25</v>
      </c>
      <c r="D153" t="s">
        <v>16</v>
      </c>
      <c r="E153" t="s">
        <v>505</v>
      </c>
      <c r="F153" t="s">
        <v>35</v>
      </c>
      <c r="G153" t="s">
        <v>12</v>
      </c>
      <c r="H153" t="s">
        <v>13</v>
      </c>
    </row>
    <row r="154" spans="1:8" x14ac:dyDescent="0.3">
      <c r="A154" t="s">
        <v>506</v>
      </c>
      <c r="B154" t="s">
        <v>507</v>
      </c>
      <c r="C154">
        <v>41</v>
      </c>
      <c r="D154" t="s">
        <v>16</v>
      </c>
      <c r="E154" t="s">
        <v>508</v>
      </c>
      <c r="F154" t="s">
        <v>113</v>
      </c>
      <c r="G154" t="s">
        <v>12</v>
      </c>
      <c r="H154" t="s">
        <v>19</v>
      </c>
    </row>
    <row r="155" spans="1:8" x14ac:dyDescent="0.3">
      <c r="A155" t="s">
        <v>509</v>
      </c>
      <c r="B155" t="s">
        <v>510</v>
      </c>
      <c r="C155">
        <v>31</v>
      </c>
      <c r="D155" t="s">
        <v>9</v>
      </c>
      <c r="E155" t="s">
        <v>511</v>
      </c>
      <c r="F155" t="s">
        <v>18</v>
      </c>
      <c r="G155" t="s">
        <v>12</v>
      </c>
      <c r="H155" t="s">
        <v>26</v>
      </c>
    </row>
    <row r="156" spans="1:8" x14ac:dyDescent="0.3">
      <c r="A156" t="s">
        <v>512</v>
      </c>
      <c r="B156" t="s">
        <v>513</v>
      </c>
      <c r="C156">
        <v>35</v>
      </c>
      <c r="D156" t="s">
        <v>16</v>
      </c>
      <c r="E156" t="s">
        <v>514</v>
      </c>
      <c r="F156" t="s">
        <v>170</v>
      </c>
      <c r="G156" t="s">
        <v>12</v>
      </c>
      <c r="H156" t="s">
        <v>13</v>
      </c>
    </row>
    <row r="157" spans="1:8" x14ac:dyDescent="0.3">
      <c r="A157" t="s">
        <v>515</v>
      </c>
      <c r="B157" t="s">
        <v>516</v>
      </c>
      <c r="C157">
        <v>60</v>
      </c>
      <c r="D157" t="s">
        <v>16</v>
      </c>
      <c r="E157" t="s">
        <v>517</v>
      </c>
      <c r="F157" t="s">
        <v>264</v>
      </c>
      <c r="G157" t="s">
        <v>12</v>
      </c>
      <c r="H157" t="s">
        <v>13</v>
      </c>
    </row>
    <row r="158" spans="1:8" x14ac:dyDescent="0.3">
      <c r="A158" t="s">
        <v>518</v>
      </c>
      <c r="B158" t="s">
        <v>519</v>
      </c>
      <c r="C158">
        <v>46</v>
      </c>
      <c r="D158" t="s">
        <v>9</v>
      </c>
      <c r="E158" t="s">
        <v>520</v>
      </c>
      <c r="F158" t="s">
        <v>18</v>
      </c>
      <c r="G158" t="s">
        <v>12</v>
      </c>
      <c r="H158" t="s">
        <v>26</v>
      </c>
    </row>
    <row r="159" spans="1:8" x14ac:dyDescent="0.3">
      <c r="A159" t="s">
        <v>521</v>
      </c>
      <c r="B159" t="s">
        <v>522</v>
      </c>
      <c r="C159">
        <v>59</v>
      </c>
      <c r="D159" t="s">
        <v>9</v>
      </c>
      <c r="E159" t="s">
        <v>523</v>
      </c>
      <c r="F159" t="s">
        <v>18</v>
      </c>
      <c r="G159" t="s">
        <v>12</v>
      </c>
      <c r="H159" t="s">
        <v>19</v>
      </c>
    </row>
    <row r="160" spans="1:8" x14ac:dyDescent="0.3">
      <c r="A160" t="s">
        <v>524</v>
      </c>
      <c r="B160" t="s">
        <v>525</v>
      </c>
      <c r="C160">
        <v>43</v>
      </c>
      <c r="D160" t="s">
        <v>9</v>
      </c>
      <c r="E160" t="s">
        <v>526</v>
      </c>
      <c r="F160" t="s">
        <v>170</v>
      </c>
      <c r="G160" t="s">
        <v>12</v>
      </c>
      <c r="H160" t="s">
        <v>26</v>
      </c>
    </row>
    <row r="161" spans="1:8" x14ac:dyDescent="0.3">
      <c r="A161" t="s">
        <v>527</v>
      </c>
      <c r="B161" t="s">
        <v>528</v>
      </c>
      <c r="C161">
        <v>46</v>
      </c>
      <c r="D161" t="s">
        <v>16</v>
      </c>
      <c r="E161" t="s">
        <v>529</v>
      </c>
      <c r="F161" t="s">
        <v>88</v>
      </c>
      <c r="G161" t="s">
        <v>12</v>
      </c>
      <c r="H161" t="s">
        <v>13</v>
      </c>
    </row>
    <row r="162" spans="1:8" x14ac:dyDescent="0.3">
      <c r="A162" t="s">
        <v>530</v>
      </c>
      <c r="B162" t="s">
        <v>531</v>
      </c>
      <c r="C162">
        <v>41</v>
      </c>
      <c r="D162" t="s">
        <v>16</v>
      </c>
      <c r="E162" t="s">
        <v>532</v>
      </c>
      <c r="F162" t="s">
        <v>11</v>
      </c>
      <c r="G162" t="s">
        <v>12</v>
      </c>
      <c r="H162" t="s">
        <v>19</v>
      </c>
    </row>
    <row r="163" spans="1:8" x14ac:dyDescent="0.3">
      <c r="A163" t="s">
        <v>533</v>
      </c>
      <c r="B163" t="s">
        <v>534</v>
      </c>
      <c r="C163">
        <v>18</v>
      </c>
      <c r="D163" t="s">
        <v>16</v>
      </c>
      <c r="E163" t="s">
        <v>535</v>
      </c>
      <c r="F163" t="s">
        <v>133</v>
      </c>
      <c r="G163" t="s">
        <v>12</v>
      </c>
      <c r="H163" t="s">
        <v>31</v>
      </c>
    </row>
    <row r="164" spans="1:8" x14ac:dyDescent="0.3">
      <c r="A164" t="s">
        <v>536</v>
      </c>
      <c r="B164" t="s">
        <v>537</v>
      </c>
      <c r="C164">
        <v>37</v>
      </c>
      <c r="D164" t="s">
        <v>9</v>
      </c>
      <c r="E164" t="s">
        <v>538</v>
      </c>
      <c r="F164" t="s">
        <v>234</v>
      </c>
      <c r="G164" t="s">
        <v>12</v>
      </c>
      <c r="H164" t="s">
        <v>31</v>
      </c>
    </row>
    <row r="165" spans="1:8" x14ac:dyDescent="0.3">
      <c r="A165" t="s">
        <v>539</v>
      </c>
      <c r="B165" t="s">
        <v>540</v>
      </c>
      <c r="C165">
        <v>21</v>
      </c>
      <c r="D165" t="s">
        <v>9</v>
      </c>
      <c r="E165" t="s">
        <v>541</v>
      </c>
      <c r="F165" t="s">
        <v>191</v>
      </c>
      <c r="G165" t="s">
        <v>12</v>
      </c>
      <c r="H165" t="s">
        <v>26</v>
      </c>
    </row>
    <row r="166" spans="1:8" x14ac:dyDescent="0.3">
      <c r="A166" t="s">
        <v>542</v>
      </c>
      <c r="B166" t="s">
        <v>543</v>
      </c>
      <c r="C166">
        <v>39</v>
      </c>
      <c r="D166" t="s">
        <v>16</v>
      </c>
      <c r="E166" t="s">
        <v>544</v>
      </c>
      <c r="F166" t="s">
        <v>81</v>
      </c>
      <c r="G166" t="s">
        <v>12</v>
      </c>
      <c r="H166" t="s">
        <v>31</v>
      </c>
    </row>
    <row r="167" spans="1:8" x14ac:dyDescent="0.3">
      <c r="A167" t="s">
        <v>545</v>
      </c>
      <c r="B167" t="s">
        <v>546</v>
      </c>
      <c r="C167">
        <v>47</v>
      </c>
      <c r="D167" t="s">
        <v>16</v>
      </c>
      <c r="E167" t="s">
        <v>547</v>
      </c>
      <c r="F167" t="s">
        <v>191</v>
      </c>
      <c r="G167" t="s">
        <v>12</v>
      </c>
      <c r="H167" t="s">
        <v>19</v>
      </c>
    </row>
    <row r="168" spans="1:8" x14ac:dyDescent="0.3">
      <c r="A168" t="s">
        <v>548</v>
      </c>
      <c r="B168" t="s">
        <v>549</v>
      </c>
      <c r="C168">
        <v>25</v>
      </c>
      <c r="D168" t="s">
        <v>16</v>
      </c>
      <c r="E168" t="s">
        <v>550</v>
      </c>
      <c r="F168" t="s">
        <v>155</v>
      </c>
      <c r="G168" t="s">
        <v>12</v>
      </c>
      <c r="H168" t="s">
        <v>31</v>
      </c>
    </row>
    <row r="169" spans="1:8" x14ac:dyDescent="0.3">
      <c r="A169" t="s">
        <v>551</v>
      </c>
      <c r="B169" t="s">
        <v>552</v>
      </c>
      <c r="C169">
        <v>36</v>
      </c>
      <c r="D169" t="s">
        <v>16</v>
      </c>
      <c r="E169" t="s">
        <v>553</v>
      </c>
      <c r="F169" t="s">
        <v>234</v>
      </c>
      <c r="G169" t="s">
        <v>12</v>
      </c>
      <c r="H169" t="s">
        <v>13</v>
      </c>
    </row>
    <row r="170" spans="1:8" x14ac:dyDescent="0.3">
      <c r="A170" t="s">
        <v>554</v>
      </c>
      <c r="B170" t="s">
        <v>555</v>
      </c>
      <c r="C170">
        <v>36</v>
      </c>
      <c r="D170" t="s">
        <v>16</v>
      </c>
      <c r="E170" t="s">
        <v>556</v>
      </c>
      <c r="F170" t="s">
        <v>247</v>
      </c>
      <c r="G170" t="s">
        <v>12</v>
      </c>
      <c r="H170" t="s">
        <v>19</v>
      </c>
    </row>
    <row r="171" spans="1:8" x14ac:dyDescent="0.3">
      <c r="A171" t="s">
        <v>557</v>
      </c>
      <c r="B171" t="s">
        <v>558</v>
      </c>
      <c r="C171">
        <v>64</v>
      </c>
      <c r="D171" t="s">
        <v>9</v>
      </c>
      <c r="E171" t="s">
        <v>559</v>
      </c>
      <c r="F171" t="s">
        <v>47</v>
      </c>
      <c r="G171" t="s">
        <v>12</v>
      </c>
      <c r="H171" t="s">
        <v>26</v>
      </c>
    </row>
    <row r="172" spans="1:8" x14ac:dyDescent="0.3">
      <c r="A172" t="s">
        <v>560</v>
      </c>
      <c r="B172" t="s">
        <v>3813</v>
      </c>
      <c r="C172">
        <v>18</v>
      </c>
      <c r="D172" t="s">
        <v>9</v>
      </c>
      <c r="E172" t="s">
        <v>561</v>
      </c>
      <c r="F172" t="s">
        <v>113</v>
      </c>
      <c r="G172" t="s">
        <v>12</v>
      </c>
      <c r="H172" t="s">
        <v>13</v>
      </c>
    </row>
    <row r="173" spans="1:8" x14ac:dyDescent="0.3">
      <c r="A173" t="s">
        <v>562</v>
      </c>
      <c r="B173" t="s">
        <v>563</v>
      </c>
      <c r="C173">
        <v>44</v>
      </c>
      <c r="D173" t="s">
        <v>16</v>
      </c>
      <c r="E173" t="s">
        <v>564</v>
      </c>
      <c r="F173" t="s">
        <v>251</v>
      </c>
      <c r="G173" t="s">
        <v>12</v>
      </c>
      <c r="H173" t="s">
        <v>19</v>
      </c>
    </row>
    <row r="174" spans="1:8" x14ac:dyDescent="0.3">
      <c r="A174" t="s">
        <v>565</v>
      </c>
      <c r="B174" t="s">
        <v>566</v>
      </c>
      <c r="C174">
        <v>41</v>
      </c>
      <c r="D174" t="s">
        <v>16</v>
      </c>
      <c r="E174" t="s">
        <v>567</v>
      </c>
      <c r="F174" t="s">
        <v>43</v>
      </c>
      <c r="G174" t="s">
        <v>12</v>
      </c>
      <c r="H174" t="s">
        <v>26</v>
      </c>
    </row>
    <row r="175" spans="1:8" x14ac:dyDescent="0.3">
      <c r="A175" t="s">
        <v>568</v>
      </c>
      <c r="B175" t="s">
        <v>569</v>
      </c>
      <c r="C175">
        <v>41</v>
      </c>
      <c r="D175" t="s">
        <v>16</v>
      </c>
      <c r="E175" t="s">
        <v>393</v>
      </c>
      <c r="F175" t="s">
        <v>264</v>
      </c>
      <c r="G175" t="s">
        <v>12</v>
      </c>
      <c r="H175" t="s">
        <v>19</v>
      </c>
    </row>
    <row r="176" spans="1:8" x14ac:dyDescent="0.3">
      <c r="A176" t="s">
        <v>570</v>
      </c>
      <c r="B176" t="s">
        <v>571</v>
      </c>
      <c r="C176">
        <v>26</v>
      </c>
      <c r="D176" t="s">
        <v>16</v>
      </c>
      <c r="E176" t="s">
        <v>572</v>
      </c>
      <c r="F176" t="s">
        <v>170</v>
      </c>
      <c r="G176" t="s">
        <v>12</v>
      </c>
      <c r="H176" t="s">
        <v>13</v>
      </c>
    </row>
    <row r="177" spans="1:8" x14ac:dyDescent="0.3">
      <c r="A177" t="s">
        <v>573</v>
      </c>
      <c r="B177" t="s">
        <v>574</v>
      </c>
      <c r="C177">
        <v>56</v>
      </c>
      <c r="D177" t="s">
        <v>9</v>
      </c>
      <c r="E177" t="s">
        <v>575</v>
      </c>
      <c r="F177" t="s">
        <v>99</v>
      </c>
      <c r="G177" t="s">
        <v>12</v>
      </c>
      <c r="H177" t="s">
        <v>19</v>
      </c>
    </row>
    <row r="178" spans="1:8" x14ac:dyDescent="0.3">
      <c r="A178" t="s">
        <v>576</v>
      </c>
      <c r="B178" t="s">
        <v>577</v>
      </c>
      <c r="C178">
        <v>48</v>
      </c>
      <c r="D178" t="s">
        <v>9</v>
      </c>
      <c r="E178" t="s">
        <v>578</v>
      </c>
      <c r="F178" t="s">
        <v>170</v>
      </c>
      <c r="G178" t="s">
        <v>12</v>
      </c>
      <c r="H178" t="s">
        <v>31</v>
      </c>
    </row>
    <row r="179" spans="1:8" x14ac:dyDescent="0.3">
      <c r="A179" t="s">
        <v>579</v>
      </c>
      <c r="B179" t="s">
        <v>580</v>
      </c>
      <c r="C179">
        <v>55</v>
      </c>
      <c r="D179" t="s">
        <v>9</v>
      </c>
      <c r="E179" t="s">
        <v>581</v>
      </c>
      <c r="F179" t="s">
        <v>582</v>
      </c>
      <c r="G179" t="s">
        <v>12</v>
      </c>
      <c r="H179" t="s">
        <v>19</v>
      </c>
    </row>
    <row r="180" spans="1:8" x14ac:dyDescent="0.3">
      <c r="A180" t="s">
        <v>583</v>
      </c>
      <c r="B180" t="s">
        <v>584</v>
      </c>
      <c r="C180">
        <v>33</v>
      </c>
      <c r="D180" t="s">
        <v>16</v>
      </c>
      <c r="E180" t="s">
        <v>585</v>
      </c>
      <c r="F180" t="s">
        <v>312</v>
      </c>
      <c r="G180" t="s">
        <v>12</v>
      </c>
      <c r="H180" t="s">
        <v>26</v>
      </c>
    </row>
    <row r="181" spans="1:8" x14ac:dyDescent="0.3">
      <c r="A181" t="s">
        <v>586</v>
      </c>
      <c r="B181" t="s">
        <v>587</v>
      </c>
      <c r="C181">
        <v>43</v>
      </c>
      <c r="D181" t="s">
        <v>16</v>
      </c>
      <c r="E181" t="s">
        <v>588</v>
      </c>
      <c r="F181" t="s">
        <v>117</v>
      </c>
      <c r="G181" t="s">
        <v>12</v>
      </c>
      <c r="H181" t="s">
        <v>31</v>
      </c>
    </row>
    <row r="182" spans="1:8" x14ac:dyDescent="0.3">
      <c r="A182" t="s">
        <v>589</v>
      </c>
      <c r="B182" t="s">
        <v>590</v>
      </c>
      <c r="C182">
        <v>38</v>
      </c>
      <c r="D182" t="s">
        <v>9</v>
      </c>
      <c r="E182" t="s">
        <v>591</v>
      </c>
      <c r="F182" t="s">
        <v>429</v>
      </c>
      <c r="G182" t="s">
        <v>12</v>
      </c>
      <c r="H182" t="s">
        <v>26</v>
      </c>
    </row>
    <row r="183" spans="1:8" x14ac:dyDescent="0.3">
      <c r="A183" t="s">
        <v>592</v>
      </c>
      <c r="B183" t="s">
        <v>593</v>
      </c>
      <c r="C183">
        <v>60</v>
      </c>
      <c r="D183" t="s">
        <v>9</v>
      </c>
      <c r="E183" t="s">
        <v>594</v>
      </c>
      <c r="F183" t="s">
        <v>58</v>
      </c>
      <c r="G183" t="s">
        <v>12</v>
      </c>
      <c r="H183" t="s">
        <v>26</v>
      </c>
    </row>
    <row r="184" spans="1:8" x14ac:dyDescent="0.3">
      <c r="A184" t="s">
        <v>595</v>
      </c>
      <c r="B184" t="s">
        <v>596</v>
      </c>
      <c r="C184">
        <v>23</v>
      </c>
      <c r="D184" t="s">
        <v>16</v>
      </c>
      <c r="E184" t="s">
        <v>597</v>
      </c>
      <c r="F184" t="s">
        <v>96</v>
      </c>
      <c r="G184" t="s">
        <v>12</v>
      </c>
      <c r="H184" t="s">
        <v>31</v>
      </c>
    </row>
    <row r="185" spans="1:8" x14ac:dyDescent="0.3">
      <c r="A185" t="s">
        <v>598</v>
      </c>
      <c r="B185" t="s">
        <v>599</v>
      </c>
      <c r="C185">
        <v>18</v>
      </c>
      <c r="D185" t="s">
        <v>9</v>
      </c>
      <c r="E185" t="s">
        <v>600</v>
      </c>
      <c r="F185" t="s">
        <v>58</v>
      </c>
      <c r="G185" t="s">
        <v>12</v>
      </c>
      <c r="H185" t="s">
        <v>19</v>
      </c>
    </row>
    <row r="186" spans="1:8" x14ac:dyDescent="0.3">
      <c r="A186" t="s">
        <v>601</v>
      </c>
      <c r="B186" t="s">
        <v>602</v>
      </c>
      <c r="C186">
        <v>46</v>
      </c>
      <c r="D186" t="s">
        <v>16</v>
      </c>
      <c r="E186" t="s">
        <v>603</v>
      </c>
      <c r="F186" t="s">
        <v>18</v>
      </c>
      <c r="G186" t="s">
        <v>12</v>
      </c>
      <c r="H186" t="s">
        <v>31</v>
      </c>
    </row>
    <row r="187" spans="1:8" x14ac:dyDescent="0.3">
      <c r="A187" t="s">
        <v>604</v>
      </c>
      <c r="B187" t="s">
        <v>605</v>
      </c>
      <c r="C187">
        <v>54</v>
      </c>
      <c r="D187" t="s">
        <v>16</v>
      </c>
      <c r="E187" t="s">
        <v>606</v>
      </c>
      <c r="F187" t="s">
        <v>88</v>
      </c>
      <c r="G187" t="s">
        <v>12</v>
      </c>
      <c r="H187" t="s">
        <v>19</v>
      </c>
    </row>
    <row r="188" spans="1:8" x14ac:dyDescent="0.3">
      <c r="A188" t="s">
        <v>607</v>
      </c>
      <c r="B188" t="s">
        <v>608</v>
      </c>
      <c r="C188">
        <v>53</v>
      </c>
      <c r="D188" t="s">
        <v>9</v>
      </c>
      <c r="E188" t="s">
        <v>609</v>
      </c>
      <c r="F188" t="s">
        <v>113</v>
      </c>
      <c r="G188" t="s">
        <v>12</v>
      </c>
      <c r="H188" t="s">
        <v>31</v>
      </c>
    </row>
    <row r="189" spans="1:8" x14ac:dyDescent="0.3">
      <c r="A189" t="s">
        <v>610</v>
      </c>
      <c r="B189" t="s">
        <v>611</v>
      </c>
      <c r="C189">
        <v>60</v>
      </c>
      <c r="D189" t="s">
        <v>16</v>
      </c>
      <c r="E189" t="s">
        <v>612</v>
      </c>
      <c r="F189" t="s">
        <v>22</v>
      </c>
      <c r="G189" t="s">
        <v>12</v>
      </c>
      <c r="H189" t="s">
        <v>19</v>
      </c>
    </row>
    <row r="190" spans="1:8" x14ac:dyDescent="0.3">
      <c r="A190" t="s">
        <v>613</v>
      </c>
      <c r="B190" t="s">
        <v>614</v>
      </c>
      <c r="C190">
        <v>42</v>
      </c>
      <c r="D190" t="s">
        <v>9</v>
      </c>
      <c r="E190" t="s">
        <v>615</v>
      </c>
      <c r="F190" t="s">
        <v>230</v>
      </c>
      <c r="G190" t="s">
        <v>12</v>
      </c>
      <c r="H190" t="s">
        <v>31</v>
      </c>
    </row>
    <row r="191" spans="1:8" x14ac:dyDescent="0.3">
      <c r="A191" t="s">
        <v>616</v>
      </c>
      <c r="B191" t="s">
        <v>617</v>
      </c>
      <c r="C191">
        <v>29</v>
      </c>
      <c r="D191" t="s">
        <v>9</v>
      </c>
      <c r="E191" t="s">
        <v>618</v>
      </c>
      <c r="F191" t="s">
        <v>582</v>
      </c>
      <c r="G191" t="s">
        <v>12</v>
      </c>
      <c r="H191" t="s">
        <v>13</v>
      </c>
    </row>
    <row r="192" spans="1:8" x14ac:dyDescent="0.3">
      <c r="A192" t="s">
        <v>619</v>
      </c>
      <c r="B192" t="s">
        <v>620</v>
      </c>
      <c r="C192">
        <v>21</v>
      </c>
      <c r="D192" t="s">
        <v>9</v>
      </c>
      <c r="E192" t="s">
        <v>621</v>
      </c>
      <c r="F192" t="s">
        <v>58</v>
      </c>
      <c r="G192" t="s">
        <v>12</v>
      </c>
      <c r="H192" t="s">
        <v>26</v>
      </c>
    </row>
    <row r="193" spans="1:8" x14ac:dyDescent="0.3">
      <c r="A193" t="s">
        <v>622</v>
      </c>
      <c r="B193" t="s">
        <v>623</v>
      </c>
      <c r="C193">
        <v>29</v>
      </c>
      <c r="D193" t="s">
        <v>16</v>
      </c>
      <c r="E193" t="s">
        <v>624</v>
      </c>
      <c r="F193" t="s">
        <v>25</v>
      </c>
      <c r="G193" t="s">
        <v>12</v>
      </c>
      <c r="H193" t="s">
        <v>26</v>
      </c>
    </row>
    <row r="194" spans="1:8" x14ac:dyDescent="0.3">
      <c r="A194" t="s">
        <v>625</v>
      </c>
      <c r="B194" t="s">
        <v>626</v>
      </c>
      <c r="C194">
        <v>26</v>
      </c>
      <c r="D194" t="s">
        <v>9</v>
      </c>
      <c r="E194" t="s">
        <v>627</v>
      </c>
      <c r="F194" t="s">
        <v>106</v>
      </c>
      <c r="G194" t="s">
        <v>12</v>
      </c>
      <c r="H194" t="s">
        <v>13</v>
      </c>
    </row>
    <row r="195" spans="1:8" x14ac:dyDescent="0.3">
      <c r="A195" t="s">
        <v>628</v>
      </c>
      <c r="B195" t="s">
        <v>629</v>
      </c>
      <c r="C195">
        <v>38</v>
      </c>
      <c r="D195" t="s">
        <v>9</v>
      </c>
      <c r="E195" t="s">
        <v>630</v>
      </c>
      <c r="F195" t="s">
        <v>81</v>
      </c>
      <c r="G195" t="s">
        <v>12</v>
      </c>
      <c r="H195" t="s">
        <v>13</v>
      </c>
    </row>
    <row r="196" spans="1:8" x14ac:dyDescent="0.3">
      <c r="A196" t="s">
        <v>631</v>
      </c>
      <c r="B196" t="s">
        <v>632</v>
      </c>
      <c r="C196">
        <v>46</v>
      </c>
      <c r="D196" t="s">
        <v>9</v>
      </c>
      <c r="E196" t="s">
        <v>633</v>
      </c>
      <c r="F196" t="s">
        <v>51</v>
      </c>
      <c r="G196" t="s">
        <v>12</v>
      </c>
      <c r="H196" t="s">
        <v>13</v>
      </c>
    </row>
    <row r="197" spans="1:8" x14ac:dyDescent="0.3">
      <c r="A197" t="s">
        <v>634</v>
      </c>
      <c r="B197" t="s">
        <v>635</v>
      </c>
      <c r="C197">
        <v>60</v>
      </c>
      <c r="D197" t="s">
        <v>9</v>
      </c>
      <c r="E197" t="s">
        <v>636</v>
      </c>
      <c r="F197" t="s">
        <v>133</v>
      </c>
      <c r="G197" t="s">
        <v>12</v>
      </c>
      <c r="H197" t="s">
        <v>31</v>
      </c>
    </row>
    <row r="198" spans="1:8" x14ac:dyDescent="0.3">
      <c r="A198" t="s">
        <v>637</v>
      </c>
      <c r="B198" t="s">
        <v>638</v>
      </c>
      <c r="C198">
        <v>18</v>
      </c>
      <c r="D198" t="s">
        <v>16</v>
      </c>
      <c r="E198" t="s">
        <v>639</v>
      </c>
      <c r="F198" t="s">
        <v>162</v>
      </c>
      <c r="G198" t="s">
        <v>12</v>
      </c>
      <c r="H198" t="s">
        <v>19</v>
      </c>
    </row>
    <row r="199" spans="1:8" x14ac:dyDescent="0.3">
      <c r="A199" t="s">
        <v>640</v>
      </c>
      <c r="B199" t="s">
        <v>641</v>
      </c>
      <c r="C199">
        <v>45</v>
      </c>
      <c r="D199" t="s">
        <v>16</v>
      </c>
      <c r="E199" t="s">
        <v>204</v>
      </c>
      <c r="F199" t="s">
        <v>198</v>
      </c>
      <c r="G199" t="s">
        <v>12</v>
      </c>
      <c r="H199" t="s">
        <v>19</v>
      </c>
    </row>
    <row r="200" spans="1:8" x14ac:dyDescent="0.3">
      <c r="A200" t="s">
        <v>642</v>
      </c>
      <c r="B200" t="s">
        <v>643</v>
      </c>
      <c r="C200">
        <v>54</v>
      </c>
      <c r="D200" t="s">
        <v>9</v>
      </c>
      <c r="E200" t="s">
        <v>644</v>
      </c>
      <c r="F200" t="s">
        <v>170</v>
      </c>
      <c r="G200" t="s">
        <v>12</v>
      </c>
      <c r="H200" t="s">
        <v>26</v>
      </c>
    </row>
    <row r="201" spans="1:8" x14ac:dyDescent="0.3">
      <c r="A201" t="s">
        <v>645</v>
      </c>
      <c r="B201" t="s">
        <v>646</v>
      </c>
      <c r="C201">
        <v>46</v>
      </c>
      <c r="D201" t="s">
        <v>9</v>
      </c>
      <c r="E201" t="s">
        <v>647</v>
      </c>
      <c r="F201" t="s">
        <v>234</v>
      </c>
      <c r="G201" t="s">
        <v>12</v>
      </c>
      <c r="H201" t="s">
        <v>26</v>
      </c>
    </row>
    <row r="202" spans="1:8" x14ac:dyDescent="0.3">
      <c r="A202" t="s">
        <v>648</v>
      </c>
      <c r="B202" t="s">
        <v>649</v>
      </c>
      <c r="C202">
        <v>30</v>
      </c>
      <c r="D202" t="s">
        <v>9</v>
      </c>
      <c r="E202" t="s">
        <v>650</v>
      </c>
      <c r="F202" t="s">
        <v>429</v>
      </c>
      <c r="G202" t="s">
        <v>12</v>
      </c>
      <c r="H202" t="s">
        <v>19</v>
      </c>
    </row>
    <row r="203" spans="1:8" x14ac:dyDescent="0.3">
      <c r="A203" t="s">
        <v>651</v>
      </c>
      <c r="B203" t="s">
        <v>652</v>
      </c>
      <c r="C203">
        <v>25</v>
      </c>
      <c r="D203" t="s">
        <v>16</v>
      </c>
      <c r="E203" t="s">
        <v>653</v>
      </c>
      <c r="F203" t="s">
        <v>155</v>
      </c>
      <c r="G203" t="s">
        <v>12</v>
      </c>
      <c r="H203" t="s">
        <v>26</v>
      </c>
    </row>
    <row r="204" spans="1:8" x14ac:dyDescent="0.3">
      <c r="A204" t="s">
        <v>654</v>
      </c>
      <c r="B204" t="s">
        <v>655</v>
      </c>
      <c r="C204">
        <v>37</v>
      </c>
      <c r="D204" t="s">
        <v>16</v>
      </c>
      <c r="E204" t="s">
        <v>656</v>
      </c>
      <c r="F204" t="s">
        <v>62</v>
      </c>
      <c r="G204" t="s">
        <v>12</v>
      </c>
      <c r="H204" t="s">
        <v>19</v>
      </c>
    </row>
    <row r="205" spans="1:8" x14ac:dyDescent="0.3">
      <c r="A205" t="s">
        <v>657</v>
      </c>
      <c r="B205" t="s">
        <v>658</v>
      </c>
      <c r="C205">
        <v>47</v>
      </c>
      <c r="D205" t="s">
        <v>9</v>
      </c>
      <c r="E205" t="s">
        <v>659</v>
      </c>
      <c r="F205" t="s">
        <v>264</v>
      </c>
      <c r="G205" t="s">
        <v>12</v>
      </c>
      <c r="H205" t="s">
        <v>19</v>
      </c>
    </row>
    <row r="206" spans="1:8" x14ac:dyDescent="0.3">
      <c r="A206" t="s">
        <v>660</v>
      </c>
      <c r="B206" t="s">
        <v>661</v>
      </c>
      <c r="C206">
        <v>52</v>
      </c>
      <c r="D206" t="s">
        <v>9</v>
      </c>
      <c r="E206" t="s">
        <v>662</v>
      </c>
      <c r="F206" t="s">
        <v>284</v>
      </c>
      <c r="G206" t="s">
        <v>12</v>
      </c>
      <c r="H206" t="s">
        <v>19</v>
      </c>
    </row>
    <row r="207" spans="1:8" x14ac:dyDescent="0.3">
      <c r="A207" t="s">
        <v>663</v>
      </c>
      <c r="B207" t="s">
        <v>664</v>
      </c>
      <c r="C207">
        <v>44</v>
      </c>
      <c r="D207" t="s">
        <v>16</v>
      </c>
      <c r="E207" t="s">
        <v>665</v>
      </c>
      <c r="F207" t="s">
        <v>88</v>
      </c>
      <c r="G207" t="s">
        <v>12</v>
      </c>
      <c r="H207" t="s">
        <v>13</v>
      </c>
    </row>
    <row r="208" spans="1:8" x14ac:dyDescent="0.3">
      <c r="A208" t="s">
        <v>666</v>
      </c>
      <c r="B208" t="s">
        <v>667</v>
      </c>
      <c r="C208">
        <v>26</v>
      </c>
      <c r="D208" t="s">
        <v>16</v>
      </c>
      <c r="E208" t="s">
        <v>668</v>
      </c>
      <c r="F208" t="s">
        <v>234</v>
      </c>
      <c r="G208" t="s">
        <v>12</v>
      </c>
      <c r="H208" t="s">
        <v>31</v>
      </c>
    </row>
    <row r="209" spans="1:8" x14ac:dyDescent="0.3">
      <c r="A209" t="s">
        <v>669</v>
      </c>
      <c r="B209" t="s">
        <v>670</v>
      </c>
      <c r="C209">
        <v>28</v>
      </c>
      <c r="D209" t="s">
        <v>16</v>
      </c>
      <c r="E209" t="s">
        <v>671</v>
      </c>
      <c r="F209" t="s">
        <v>88</v>
      </c>
      <c r="G209" t="s">
        <v>12</v>
      </c>
      <c r="H209" t="s">
        <v>26</v>
      </c>
    </row>
    <row r="210" spans="1:8" x14ac:dyDescent="0.3">
      <c r="A210" t="s">
        <v>672</v>
      </c>
      <c r="B210" t="s">
        <v>673</v>
      </c>
      <c r="C210">
        <v>54</v>
      </c>
      <c r="D210" t="s">
        <v>9</v>
      </c>
      <c r="E210" t="s">
        <v>674</v>
      </c>
      <c r="F210" t="s">
        <v>323</v>
      </c>
      <c r="G210" t="s">
        <v>12</v>
      </c>
      <c r="H210" t="s">
        <v>19</v>
      </c>
    </row>
    <row r="211" spans="1:8" x14ac:dyDescent="0.3">
      <c r="A211" t="s">
        <v>675</v>
      </c>
      <c r="B211" t="s">
        <v>676</v>
      </c>
      <c r="C211">
        <v>50</v>
      </c>
      <c r="D211" t="s">
        <v>16</v>
      </c>
      <c r="E211" t="s">
        <v>677</v>
      </c>
      <c r="F211" t="s">
        <v>429</v>
      </c>
      <c r="G211" t="s">
        <v>12</v>
      </c>
      <c r="H211" t="s">
        <v>19</v>
      </c>
    </row>
    <row r="212" spans="1:8" x14ac:dyDescent="0.3">
      <c r="A212" t="s">
        <v>678</v>
      </c>
      <c r="B212" t="s">
        <v>679</v>
      </c>
      <c r="C212">
        <v>48</v>
      </c>
      <c r="D212" t="s">
        <v>9</v>
      </c>
      <c r="E212" t="s">
        <v>680</v>
      </c>
      <c r="F212" t="s">
        <v>81</v>
      </c>
      <c r="G212" t="s">
        <v>12</v>
      </c>
      <c r="H212" t="s">
        <v>31</v>
      </c>
    </row>
    <row r="213" spans="1:8" x14ac:dyDescent="0.3">
      <c r="A213" t="s">
        <v>681</v>
      </c>
      <c r="B213" t="s">
        <v>682</v>
      </c>
      <c r="C213">
        <v>20</v>
      </c>
      <c r="D213" t="s">
        <v>16</v>
      </c>
      <c r="E213" t="s">
        <v>683</v>
      </c>
      <c r="F213" t="s">
        <v>92</v>
      </c>
      <c r="G213" t="s">
        <v>12</v>
      </c>
      <c r="H213" t="s">
        <v>31</v>
      </c>
    </row>
    <row r="214" spans="1:8" x14ac:dyDescent="0.3">
      <c r="A214" t="s">
        <v>684</v>
      </c>
      <c r="B214" t="s">
        <v>685</v>
      </c>
      <c r="C214">
        <v>63</v>
      </c>
      <c r="D214" t="s">
        <v>16</v>
      </c>
      <c r="E214" t="s">
        <v>686</v>
      </c>
      <c r="F214" t="s">
        <v>74</v>
      </c>
      <c r="G214" t="s">
        <v>12</v>
      </c>
      <c r="H214" t="s">
        <v>19</v>
      </c>
    </row>
    <row r="215" spans="1:8" x14ac:dyDescent="0.3">
      <c r="A215" t="s">
        <v>687</v>
      </c>
      <c r="B215" t="s">
        <v>688</v>
      </c>
      <c r="C215">
        <v>42</v>
      </c>
      <c r="D215" t="s">
        <v>16</v>
      </c>
      <c r="E215" t="s">
        <v>689</v>
      </c>
      <c r="F215" t="s">
        <v>18</v>
      </c>
      <c r="G215" t="s">
        <v>12</v>
      </c>
      <c r="H215" t="s">
        <v>19</v>
      </c>
    </row>
    <row r="216" spans="1:8" x14ac:dyDescent="0.3">
      <c r="A216" t="s">
        <v>690</v>
      </c>
      <c r="B216" t="s">
        <v>691</v>
      </c>
      <c r="C216">
        <v>61</v>
      </c>
      <c r="D216" t="s">
        <v>9</v>
      </c>
      <c r="E216" t="s">
        <v>692</v>
      </c>
      <c r="F216" t="s">
        <v>66</v>
      </c>
      <c r="G216" t="s">
        <v>12</v>
      </c>
      <c r="H216" t="s">
        <v>13</v>
      </c>
    </row>
    <row r="217" spans="1:8" x14ac:dyDescent="0.3">
      <c r="A217" t="s">
        <v>693</v>
      </c>
      <c r="B217" t="s">
        <v>694</v>
      </c>
      <c r="C217">
        <v>50</v>
      </c>
      <c r="D217" t="s">
        <v>16</v>
      </c>
      <c r="E217" t="s">
        <v>695</v>
      </c>
      <c r="F217" t="s">
        <v>35</v>
      </c>
      <c r="G217" t="s">
        <v>12</v>
      </c>
      <c r="H217" t="s">
        <v>13</v>
      </c>
    </row>
    <row r="218" spans="1:8" x14ac:dyDescent="0.3">
      <c r="A218" t="s">
        <v>696</v>
      </c>
      <c r="B218" t="s">
        <v>697</v>
      </c>
      <c r="C218">
        <v>44</v>
      </c>
      <c r="D218" t="s">
        <v>9</v>
      </c>
      <c r="E218" t="s">
        <v>698</v>
      </c>
      <c r="F218" t="s">
        <v>30</v>
      </c>
      <c r="G218" t="s">
        <v>12</v>
      </c>
      <c r="H218" t="s">
        <v>19</v>
      </c>
    </row>
    <row r="219" spans="1:8" x14ac:dyDescent="0.3">
      <c r="A219" t="s">
        <v>699</v>
      </c>
      <c r="B219" t="s">
        <v>700</v>
      </c>
      <c r="C219">
        <v>42</v>
      </c>
      <c r="D219" t="s">
        <v>9</v>
      </c>
      <c r="E219" t="s">
        <v>701</v>
      </c>
      <c r="F219" t="s">
        <v>113</v>
      </c>
      <c r="G219" t="s">
        <v>12</v>
      </c>
      <c r="H219" t="s">
        <v>31</v>
      </c>
    </row>
    <row r="220" spans="1:8" x14ac:dyDescent="0.3">
      <c r="A220" t="s">
        <v>702</v>
      </c>
      <c r="B220" t="s">
        <v>703</v>
      </c>
      <c r="C220">
        <v>46</v>
      </c>
      <c r="D220" t="s">
        <v>9</v>
      </c>
      <c r="E220" t="s">
        <v>704</v>
      </c>
      <c r="F220" t="s">
        <v>30</v>
      </c>
      <c r="G220" t="s">
        <v>12</v>
      </c>
      <c r="H220" t="s">
        <v>19</v>
      </c>
    </row>
    <row r="221" spans="1:8" x14ac:dyDescent="0.3">
      <c r="A221" t="s">
        <v>705</v>
      </c>
      <c r="B221" t="s">
        <v>706</v>
      </c>
      <c r="C221">
        <v>47</v>
      </c>
      <c r="D221" t="s">
        <v>16</v>
      </c>
      <c r="E221" t="s">
        <v>3778</v>
      </c>
      <c r="F221" t="s">
        <v>88</v>
      </c>
      <c r="G221" t="s">
        <v>12</v>
      </c>
      <c r="H221" t="s">
        <v>13</v>
      </c>
    </row>
    <row r="222" spans="1:8" x14ac:dyDescent="0.3">
      <c r="A222" t="s">
        <v>707</v>
      </c>
      <c r="B222" t="s">
        <v>708</v>
      </c>
      <c r="C222">
        <v>50</v>
      </c>
      <c r="D222" t="s">
        <v>16</v>
      </c>
      <c r="E222" t="s">
        <v>3777</v>
      </c>
      <c r="F222" t="s">
        <v>709</v>
      </c>
      <c r="G222" t="s">
        <v>3776</v>
      </c>
      <c r="H222" t="s">
        <v>26</v>
      </c>
    </row>
    <row r="223" spans="1:8" x14ac:dyDescent="0.3">
      <c r="A223" t="s">
        <v>710</v>
      </c>
      <c r="B223" t="s">
        <v>711</v>
      </c>
      <c r="C223">
        <v>38</v>
      </c>
      <c r="D223" t="s">
        <v>9</v>
      </c>
      <c r="E223" t="s">
        <v>712</v>
      </c>
      <c r="F223" t="s">
        <v>81</v>
      </c>
      <c r="G223" t="s">
        <v>12</v>
      </c>
      <c r="H223" t="s">
        <v>19</v>
      </c>
    </row>
    <row r="224" spans="1:8" x14ac:dyDescent="0.3">
      <c r="A224" t="s">
        <v>713</v>
      </c>
      <c r="B224" t="s">
        <v>714</v>
      </c>
      <c r="C224">
        <v>35</v>
      </c>
      <c r="D224" t="s">
        <v>9</v>
      </c>
      <c r="E224" t="s">
        <v>715</v>
      </c>
      <c r="F224" t="s">
        <v>230</v>
      </c>
      <c r="G224" t="s">
        <v>12</v>
      </c>
      <c r="H224" t="s">
        <v>19</v>
      </c>
    </row>
    <row r="225" spans="1:8" x14ac:dyDescent="0.3">
      <c r="A225" t="s">
        <v>716</v>
      </c>
      <c r="B225" t="s">
        <v>717</v>
      </c>
      <c r="C225">
        <v>50</v>
      </c>
      <c r="D225" t="s">
        <v>9</v>
      </c>
      <c r="E225" t="s">
        <v>3779</v>
      </c>
      <c r="F225" t="s">
        <v>264</v>
      </c>
      <c r="G225" t="s">
        <v>12</v>
      </c>
      <c r="H225" t="s">
        <v>19</v>
      </c>
    </row>
    <row r="226" spans="1:8" x14ac:dyDescent="0.3">
      <c r="A226" t="s">
        <v>718</v>
      </c>
      <c r="B226" t="s">
        <v>719</v>
      </c>
      <c r="C226">
        <v>29</v>
      </c>
      <c r="D226" t="s">
        <v>9</v>
      </c>
      <c r="E226" t="s">
        <v>720</v>
      </c>
      <c r="F226" t="s">
        <v>113</v>
      </c>
      <c r="G226" t="s">
        <v>12</v>
      </c>
      <c r="H226" t="s">
        <v>31</v>
      </c>
    </row>
    <row r="227" spans="1:8" x14ac:dyDescent="0.3">
      <c r="A227" t="s">
        <v>721</v>
      </c>
      <c r="B227" t="s">
        <v>722</v>
      </c>
      <c r="C227">
        <v>46</v>
      </c>
      <c r="D227" t="s">
        <v>16</v>
      </c>
      <c r="E227" t="s">
        <v>723</v>
      </c>
      <c r="F227" t="s">
        <v>117</v>
      </c>
      <c r="G227" t="s">
        <v>12</v>
      </c>
      <c r="H227" t="s">
        <v>19</v>
      </c>
    </row>
    <row r="228" spans="1:8" x14ac:dyDescent="0.3">
      <c r="A228" t="s">
        <v>724</v>
      </c>
      <c r="B228" t="s">
        <v>725</v>
      </c>
      <c r="C228">
        <v>54</v>
      </c>
      <c r="D228" t="s">
        <v>9</v>
      </c>
      <c r="E228" t="s">
        <v>213</v>
      </c>
      <c r="F228" t="s">
        <v>162</v>
      </c>
      <c r="G228" t="s">
        <v>12</v>
      </c>
      <c r="H228" t="s">
        <v>13</v>
      </c>
    </row>
    <row r="229" spans="1:8" x14ac:dyDescent="0.3">
      <c r="A229" t="s">
        <v>726</v>
      </c>
      <c r="B229" t="s">
        <v>727</v>
      </c>
      <c r="C229">
        <v>63</v>
      </c>
      <c r="D229" t="s">
        <v>16</v>
      </c>
      <c r="E229" t="s">
        <v>728</v>
      </c>
      <c r="F229" t="s">
        <v>62</v>
      </c>
      <c r="G229" t="s">
        <v>12</v>
      </c>
      <c r="H229" t="s">
        <v>13</v>
      </c>
    </row>
    <row r="230" spans="1:8" x14ac:dyDescent="0.3">
      <c r="A230" t="s">
        <v>729</v>
      </c>
      <c r="B230" t="s">
        <v>730</v>
      </c>
      <c r="C230">
        <v>52</v>
      </c>
      <c r="D230" t="s">
        <v>16</v>
      </c>
      <c r="E230" t="s">
        <v>390</v>
      </c>
      <c r="F230" t="s">
        <v>117</v>
      </c>
      <c r="G230" t="s">
        <v>12</v>
      </c>
      <c r="H230" t="s">
        <v>13</v>
      </c>
    </row>
    <row r="231" spans="1:8" x14ac:dyDescent="0.3">
      <c r="A231" t="s">
        <v>731</v>
      </c>
      <c r="B231" t="s">
        <v>732</v>
      </c>
      <c r="C231">
        <v>32</v>
      </c>
      <c r="D231" t="s">
        <v>16</v>
      </c>
      <c r="E231" t="s">
        <v>733</v>
      </c>
      <c r="F231" t="s">
        <v>139</v>
      </c>
      <c r="G231" t="s">
        <v>12</v>
      </c>
      <c r="H231" t="s">
        <v>26</v>
      </c>
    </row>
    <row r="232" spans="1:8" x14ac:dyDescent="0.3">
      <c r="A232" t="s">
        <v>734</v>
      </c>
      <c r="B232" t="s">
        <v>735</v>
      </c>
      <c r="C232">
        <v>29</v>
      </c>
      <c r="D232" t="s">
        <v>9</v>
      </c>
      <c r="E232" t="s">
        <v>736</v>
      </c>
      <c r="F232" t="s">
        <v>247</v>
      </c>
      <c r="G232" t="s">
        <v>12</v>
      </c>
      <c r="H232" t="s">
        <v>26</v>
      </c>
    </row>
    <row r="233" spans="1:8" x14ac:dyDescent="0.3">
      <c r="A233" t="s">
        <v>737</v>
      </c>
      <c r="B233" t="s">
        <v>738</v>
      </c>
      <c r="C233">
        <v>22</v>
      </c>
      <c r="D233" t="s">
        <v>16</v>
      </c>
      <c r="E233" t="s">
        <v>739</v>
      </c>
      <c r="F233" t="s">
        <v>312</v>
      </c>
      <c r="G233" t="s">
        <v>12</v>
      </c>
      <c r="H233" t="s">
        <v>26</v>
      </c>
    </row>
    <row r="234" spans="1:8" x14ac:dyDescent="0.3">
      <c r="A234" t="s">
        <v>740</v>
      </c>
      <c r="B234" t="s">
        <v>741</v>
      </c>
      <c r="C234">
        <v>27</v>
      </c>
      <c r="D234" t="s">
        <v>16</v>
      </c>
      <c r="E234" t="s">
        <v>742</v>
      </c>
      <c r="F234" t="s">
        <v>88</v>
      </c>
      <c r="G234" t="s">
        <v>12</v>
      </c>
      <c r="H234" t="s">
        <v>19</v>
      </c>
    </row>
    <row r="235" spans="1:8" x14ac:dyDescent="0.3">
      <c r="A235" t="s">
        <v>743</v>
      </c>
      <c r="B235" t="s">
        <v>744</v>
      </c>
      <c r="C235">
        <v>59</v>
      </c>
      <c r="D235" t="s">
        <v>9</v>
      </c>
      <c r="E235" t="s">
        <v>745</v>
      </c>
      <c r="F235" t="s">
        <v>43</v>
      </c>
      <c r="G235" t="s">
        <v>12</v>
      </c>
      <c r="H235" t="s">
        <v>31</v>
      </c>
    </row>
    <row r="236" spans="1:8" x14ac:dyDescent="0.3">
      <c r="A236" t="s">
        <v>746</v>
      </c>
      <c r="B236" t="s">
        <v>747</v>
      </c>
      <c r="C236">
        <v>43</v>
      </c>
      <c r="D236" t="s">
        <v>16</v>
      </c>
      <c r="E236" t="s">
        <v>748</v>
      </c>
      <c r="F236" t="s">
        <v>62</v>
      </c>
      <c r="G236" t="s">
        <v>12</v>
      </c>
      <c r="H236" t="s">
        <v>13</v>
      </c>
    </row>
    <row r="237" spans="1:8" x14ac:dyDescent="0.3">
      <c r="A237" t="s">
        <v>749</v>
      </c>
      <c r="B237" t="s">
        <v>750</v>
      </c>
      <c r="C237">
        <v>28</v>
      </c>
      <c r="D237" t="s">
        <v>16</v>
      </c>
      <c r="E237" t="s">
        <v>751</v>
      </c>
      <c r="F237" t="s">
        <v>92</v>
      </c>
      <c r="G237" t="s">
        <v>12</v>
      </c>
      <c r="H237" t="s">
        <v>26</v>
      </c>
    </row>
    <row r="238" spans="1:8" x14ac:dyDescent="0.3">
      <c r="A238" t="s">
        <v>752</v>
      </c>
      <c r="B238" t="s">
        <v>753</v>
      </c>
      <c r="C238">
        <v>42</v>
      </c>
      <c r="D238" t="s">
        <v>16</v>
      </c>
      <c r="E238" t="s">
        <v>754</v>
      </c>
      <c r="F238" t="s">
        <v>284</v>
      </c>
      <c r="G238" t="s">
        <v>12</v>
      </c>
      <c r="H238" t="s">
        <v>26</v>
      </c>
    </row>
    <row r="239" spans="1:8" x14ac:dyDescent="0.3">
      <c r="A239" t="s">
        <v>755</v>
      </c>
      <c r="B239" t="s">
        <v>756</v>
      </c>
      <c r="C239">
        <v>41</v>
      </c>
      <c r="D239" t="s">
        <v>16</v>
      </c>
      <c r="E239" t="s">
        <v>757</v>
      </c>
      <c r="F239" t="s">
        <v>66</v>
      </c>
      <c r="G239" t="s">
        <v>12</v>
      </c>
      <c r="H239" t="s">
        <v>13</v>
      </c>
    </row>
    <row r="240" spans="1:8" x14ac:dyDescent="0.3">
      <c r="A240" t="s">
        <v>758</v>
      </c>
      <c r="B240" t="s">
        <v>759</v>
      </c>
      <c r="C240">
        <v>40</v>
      </c>
      <c r="D240" t="s">
        <v>9</v>
      </c>
      <c r="E240" t="s">
        <v>760</v>
      </c>
      <c r="F240" t="s">
        <v>43</v>
      </c>
      <c r="G240" t="s">
        <v>12</v>
      </c>
      <c r="H240" t="s">
        <v>19</v>
      </c>
    </row>
    <row r="241" spans="1:8" x14ac:dyDescent="0.3">
      <c r="A241" t="s">
        <v>761</v>
      </c>
      <c r="B241" t="s">
        <v>762</v>
      </c>
      <c r="C241">
        <v>58</v>
      </c>
      <c r="D241" t="s">
        <v>16</v>
      </c>
      <c r="E241" t="s">
        <v>763</v>
      </c>
      <c r="F241" t="s">
        <v>181</v>
      </c>
      <c r="G241" t="s">
        <v>12</v>
      </c>
      <c r="H241" t="s">
        <v>19</v>
      </c>
    </row>
    <row r="242" spans="1:8" x14ac:dyDescent="0.3">
      <c r="A242" t="s">
        <v>764</v>
      </c>
      <c r="B242" t="s">
        <v>765</v>
      </c>
      <c r="C242">
        <v>59</v>
      </c>
      <c r="D242" t="s">
        <v>16</v>
      </c>
      <c r="E242" t="s">
        <v>766</v>
      </c>
      <c r="F242" t="s">
        <v>155</v>
      </c>
      <c r="G242" t="s">
        <v>12</v>
      </c>
      <c r="H242" t="s">
        <v>19</v>
      </c>
    </row>
    <row r="243" spans="1:8" x14ac:dyDescent="0.3">
      <c r="A243" t="s">
        <v>767</v>
      </c>
      <c r="B243" t="s">
        <v>768</v>
      </c>
      <c r="C243">
        <v>31</v>
      </c>
      <c r="D243" t="s">
        <v>9</v>
      </c>
      <c r="E243" t="s">
        <v>769</v>
      </c>
      <c r="F243" t="s">
        <v>284</v>
      </c>
      <c r="G243" t="s">
        <v>12</v>
      </c>
      <c r="H243" t="s">
        <v>19</v>
      </c>
    </row>
    <row r="244" spans="1:8" x14ac:dyDescent="0.3">
      <c r="A244" t="s">
        <v>770</v>
      </c>
      <c r="B244" t="s">
        <v>771</v>
      </c>
      <c r="C244">
        <v>58</v>
      </c>
      <c r="D244" t="s">
        <v>16</v>
      </c>
      <c r="E244" t="s">
        <v>772</v>
      </c>
      <c r="F244" t="s">
        <v>166</v>
      </c>
      <c r="G244" t="s">
        <v>12</v>
      </c>
      <c r="H244" t="s">
        <v>31</v>
      </c>
    </row>
    <row r="245" spans="1:8" x14ac:dyDescent="0.3">
      <c r="A245" t="s">
        <v>773</v>
      </c>
      <c r="B245" t="s">
        <v>774</v>
      </c>
      <c r="C245">
        <v>56</v>
      </c>
      <c r="D245" t="s">
        <v>16</v>
      </c>
      <c r="E245" t="s">
        <v>775</v>
      </c>
      <c r="F245" t="s">
        <v>354</v>
      </c>
      <c r="G245" t="s">
        <v>12</v>
      </c>
      <c r="H245" t="s">
        <v>13</v>
      </c>
    </row>
    <row r="246" spans="1:8" x14ac:dyDescent="0.3">
      <c r="A246" t="s">
        <v>776</v>
      </c>
      <c r="B246" t="s">
        <v>777</v>
      </c>
      <c r="C246">
        <v>19</v>
      </c>
      <c r="D246" t="s">
        <v>9</v>
      </c>
      <c r="E246" t="s">
        <v>778</v>
      </c>
      <c r="F246" t="s">
        <v>117</v>
      </c>
      <c r="G246" t="s">
        <v>12</v>
      </c>
      <c r="H246" t="s">
        <v>26</v>
      </c>
    </row>
    <row r="247" spans="1:8" x14ac:dyDescent="0.3">
      <c r="A247" t="s">
        <v>779</v>
      </c>
      <c r="B247" t="s">
        <v>780</v>
      </c>
      <c r="C247">
        <v>57</v>
      </c>
      <c r="D247" t="s">
        <v>16</v>
      </c>
      <c r="E247" t="s">
        <v>781</v>
      </c>
      <c r="F247" t="s">
        <v>155</v>
      </c>
      <c r="G247" t="s">
        <v>12</v>
      </c>
      <c r="H247" t="s">
        <v>19</v>
      </c>
    </row>
    <row r="248" spans="1:8" x14ac:dyDescent="0.3">
      <c r="A248" t="s">
        <v>782</v>
      </c>
      <c r="B248" t="s">
        <v>783</v>
      </c>
      <c r="C248">
        <v>58</v>
      </c>
      <c r="D248" t="s">
        <v>9</v>
      </c>
      <c r="E248" t="s">
        <v>784</v>
      </c>
      <c r="F248" t="s">
        <v>288</v>
      </c>
      <c r="G248" t="s">
        <v>12</v>
      </c>
      <c r="H248" t="s">
        <v>26</v>
      </c>
    </row>
    <row r="249" spans="1:8" x14ac:dyDescent="0.3">
      <c r="A249" t="s">
        <v>785</v>
      </c>
      <c r="B249" t="s">
        <v>786</v>
      </c>
      <c r="C249">
        <v>32</v>
      </c>
      <c r="D249" t="s">
        <v>9</v>
      </c>
      <c r="E249" t="s">
        <v>787</v>
      </c>
      <c r="F249" t="s">
        <v>47</v>
      </c>
      <c r="G249" t="s">
        <v>12</v>
      </c>
      <c r="H249" t="s">
        <v>19</v>
      </c>
    </row>
    <row r="250" spans="1:8" x14ac:dyDescent="0.3">
      <c r="A250" t="s">
        <v>788</v>
      </c>
      <c r="B250" t="s">
        <v>789</v>
      </c>
      <c r="C250">
        <v>19</v>
      </c>
      <c r="D250" t="s">
        <v>9</v>
      </c>
      <c r="E250" t="s">
        <v>790</v>
      </c>
      <c r="F250" t="s">
        <v>181</v>
      </c>
      <c r="G250" t="s">
        <v>12</v>
      </c>
      <c r="H250" t="s">
        <v>13</v>
      </c>
    </row>
    <row r="251" spans="1:8" x14ac:dyDescent="0.3">
      <c r="A251" t="s">
        <v>791</v>
      </c>
      <c r="B251" t="s">
        <v>792</v>
      </c>
      <c r="C251">
        <v>41</v>
      </c>
      <c r="D251" t="s">
        <v>16</v>
      </c>
      <c r="E251" t="s">
        <v>793</v>
      </c>
      <c r="F251" t="s">
        <v>58</v>
      </c>
      <c r="G251" t="s">
        <v>12</v>
      </c>
      <c r="H251" t="s">
        <v>13</v>
      </c>
    </row>
    <row r="252" spans="1:8" x14ac:dyDescent="0.3">
      <c r="A252" t="s">
        <v>794</v>
      </c>
      <c r="B252" t="s">
        <v>795</v>
      </c>
      <c r="C252">
        <v>48</v>
      </c>
      <c r="D252" t="s">
        <v>9</v>
      </c>
      <c r="E252" t="s">
        <v>796</v>
      </c>
      <c r="F252" t="s">
        <v>92</v>
      </c>
      <c r="G252" t="s">
        <v>12</v>
      </c>
      <c r="H252" t="s">
        <v>19</v>
      </c>
    </row>
    <row r="253" spans="1:8" x14ac:dyDescent="0.3">
      <c r="A253" t="s">
        <v>797</v>
      </c>
      <c r="B253" t="s">
        <v>798</v>
      </c>
      <c r="C253">
        <v>64</v>
      </c>
      <c r="D253" t="s">
        <v>9</v>
      </c>
      <c r="E253" t="s">
        <v>799</v>
      </c>
      <c r="F253" t="s">
        <v>22</v>
      </c>
      <c r="G253" t="s">
        <v>12</v>
      </c>
      <c r="H253" t="s">
        <v>31</v>
      </c>
    </row>
    <row r="254" spans="1:8" x14ac:dyDescent="0.3">
      <c r="A254" t="s">
        <v>800</v>
      </c>
      <c r="B254" t="s">
        <v>801</v>
      </c>
      <c r="C254">
        <v>26</v>
      </c>
      <c r="D254" t="s">
        <v>9</v>
      </c>
      <c r="E254" t="s">
        <v>802</v>
      </c>
      <c r="F254" t="s">
        <v>39</v>
      </c>
      <c r="G254" t="s">
        <v>12</v>
      </c>
      <c r="H254" t="s">
        <v>31</v>
      </c>
    </row>
    <row r="255" spans="1:8" x14ac:dyDescent="0.3">
      <c r="A255" t="s">
        <v>803</v>
      </c>
      <c r="B255" t="s">
        <v>3814</v>
      </c>
      <c r="C255">
        <v>32</v>
      </c>
      <c r="D255" t="s">
        <v>9</v>
      </c>
      <c r="E255" t="s">
        <v>804</v>
      </c>
      <c r="F255" t="s">
        <v>319</v>
      </c>
      <c r="G255" t="s">
        <v>12</v>
      </c>
      <c r="H255" t="s">
        <v>26</v>
      </c>
    </row>
    <row r="256" spans="1:8" x14ac:dyDescent="0.3">
      <c r="A256" t="s">
        <v>805</v>
      </c>
      <c r="B256" t="s">
        <v>806</v>
      </c>
      <c r="C256">
        <v>34</v>
      </c>
      <c r="D256" t="s">
        <v>9</v>
      </c>
      <c r="E256" t="s">
        <v>807</v>
      </c>
      <c r="F256" t="s">
        <v>162</v>
      </c>
      <c r="G256" t="s">
        <v>12</v>
      </c>
      <c r="H256" t="s">
        <v>31</v>
      </c>
    </row>
    <row r="257" spans="1:8" x14ac:dyDescent="0.3">
      <c r="A257" t="s">
        <v>808</v>
      </c>
      <c r="B257" t="s">
        <v>809</v>
      </c>
      <c r="C257">
        <v>21</v>
      </c>
      <c r="D257" t="s">
        <v>9</v>
      </c>
      <c r="E257" t="s">
        <v>810</v>
      </c>
      <c r="F257" t="s">
        <v>25</v>
      </c>
      <c r="G257" t="s">
        <v>12</v>
      </c>
      <c r="H257" t="s">
        <v>13</v>
      </c>
    </row>
    <row r="258" spans="1:8" x14ac:dyDescent="0.3">
      <c r="A258" t="s">
        <v>811</v>
      </c>
      <c r="B258" t="s">
        <v>812</v>
      </c>
      <c r="C258">
        <v>57</v>
      </c>
      <c r="D258" t="s">
        <v>9</v>
      </c>
      <c r="E258" t="s">
        <v>813</v>
      </c>
      <c r="F258" t="s">
        <v>288</v>
      </c>
      <c r="G258" t="s">
        <v>12</v>
      </c>
      <c r="H258" t="s">
        <v>19</v>
      </c>
    </row>
    <row r="259" spans="1:8" x14ac:dyDescent="0.3">
      <c r="A259" t="s">
        <v>814</v>
      </c>
      <c r="B259" t="s">
        <v>815</v>
      </c>
      <c r="C259">
        <v>42</v>
      </c>
      <c r="D259" t="s">
        <v>9</v>
      </c>
      <c r="E259" t="s">
        <v>816</v>
      </c>
      <c r="F259" t="s">
        <v>709</v>
      </c>
      <c r="G259" t="s">
        <v>12</v>
      </c>
      <c r="H259" t="s">
        <v>31</v>
      </c>
    </row>
    <row r="260" spans="1:8" x14ac:dyDescent="0.3">
      <c r="A260" t="s">
        <v>817</v>
      </c>
      <c r="B260" t="s">
        <v>818</v>
      </c>
      <c r="C260">
        <v>24</v>
      </c>
      <c r="D260" t="s">
        <v>16</v>
      </c>
      <c r="E260" t="s">
        <v>819</v>
      </c>
      <c r="F260" t="s">
        <v>354</v>
      </c>
      <c r="G260" t="s">
        <v>12</v>
      </c>
      <c r="H260" t="s">
        <v>19</v>
      </c>
    </row>
    <row r="261" spans="1:8" x14ac:dyDescent="0.3">
      <c r="A261" t="s">
        <v>820</v>
      </c>
      <c r="B261" t="s">
        <v>821</v>
      </c>
      <c r="C261">
        <v>32</v>
      </c>
      <c r="D261" t="s">
        <v>16</v>
      </c>
      <c r="E261" t="s">
        <v>822</v>
      </c>
      <c r="F261" t="s">
        <v>96</v>
      </c>
      <c r="G261" t="s">
        <v>12</v>
      </c>
      <c r="H261" t="s">
        <v>31</v>
      </c>
    </row>
    <row r="262" spans="1:8" x14ac:dyDescent="0.3">
      <c r="A262" t="s">
        <v>823</v>
      </c>
      <c r="B262" t="s">
        <v>824</v>
      </c>
      <c r="C262">
        <v>63</v>
      </c>
      <c r="D262" t="s">
        <v>16</v>
      </c>
      <c r="E262" t="s">
        <v>825</v>
      </c>
      <c r="F262" t="s">
        <v>133</v>
      </c>
      <c r="G262" t="s">
        <v>12</v>
      </c>
      <c r="H262" t="s">
        <v>19</v>
      </c>
    </row>
    <row r="263" spans="1:8" x14ac:dyDescent="0.3">
      <c r="A263" t="s">
        <v>826</v>
      </c>
      <c r="B263" t="s">
        <v>827</v>
      </c>
      <c r="C263">
        <v>27</v>
      </c>
      <c r="D263" t="s">
        <v>16</v>
      </c>
      <c r="E263" t="s">
        <v>828</v>
      </c>
      <c r="F263" t="s">
        <v>35</v>
      </c>
      <c r="G263" t="s">
        <v>12</v>
      </c>
      <c r="H263" t="s">
        <v>31</v>
      </c>
    </row>
    <row r="264" spans="1:8" x14ac:dyDescent="0.3">
      <c r="A264" t="s">
        <v>829</v>
      </c>
      <c r="B264" t="s">
        <v>830</v>
      </c>
      <c r="C264">
        <v>60</v>
      </c>
      <c r="D264" t="s">
        <v>16</v>
      </c>
      <c r="E264" t="s">
        <v>831</v>
      </c>
      <c r="F264" t="s">
        <v>66</v>
      </c>
      <c r="G264" t="s">
        <v>12</v>
      </c>
      <c r="H264" t="s">
        <v>31</v>
      </c>
    </row>
    <row r="265" spans="1:8" x14ac:dyDescent="0.3">
      <c r="A265" t="s">
        <v>832</v>
      </c>
      <c r="B265" t="s">
        <v>833</v>
      </c>
      <c r="C265">
        <v>50</v>
      </c>
      <c r="D265" t="s">
        <v>9</v>
      </c>
      <c r="E265" t="s">
        <v>834</v>
      </c>
      <c r="F265" t="s">
        <v>323</v>
      </c>
      <c r="G265" t="s">
        <v>12</v>
      </c>
      <c r="H265" t="s">
        <v>26</v>
      </c>
    </row>
    <row r="266" spans="1:8" x14ac:dyDescent="0.3">
      <c r="A266" t="s">
        <v>835</v>
      </c>
      <c r="B266" t="s">
        <v>836</v>
      </c>
      <c r="C266">
        <v>25</v>
      </c>
      <c r="D266" t="s">
        <v>9</v>
      </c>
      <c r="E266" t="s">
        <v>837</v>
      </c>
      <c r="F266" t="s">
        <v>838</v>
      </c>
      <c r="G266" t="s">
        <v>12</v>
      </c>
      <c r="H266" t="s">
        <v>13</v>
      </c>
    </row>
    <row r="267" spans="1:8" x14ac:dyDescent="0.3">
      <c r="A267" t="s">
        <v>839</v>
      </c>
      <c r="B267" t="s">
        <v>840</v>
      </c>
      <c r="C267">
        <v>38</v>
      </c>
      <c r="D267" t="s">
        <v>9</v>
      </c>
      <c r="E267" t="s">
        <v>841</v>
      </c>
      <c r="F267" t="s">
        <v>234</v>
      </c>
      <c r="G267" t="s">
        <v>12</v>
      </c>
      <c r="H267" t="s">
        <v>31</v>
      </c>
    </row>
    <row r="268" spans="1:8" x14ac:dyDescent="0.3">
      <c r="A268" t="s">
        <v>842</v>
      </c>
      <c r="B268" t="s">
        <v>843</v>
      </c>
      <c r="C268">
        <v>32</v>
      </c>
      <c r="D268" t="s">
        <v>16</v>
      </c>
      <c r="E268" t="s">
        <v>844</v>
      </c>
      <c r="F268" t="s">
        <v>582</v>
      </c>
      <c r="G268" t="s">
        <v>12</v>
      </c>
      <c r="H268" t="s">
        <v>26</v>
      </c>
    </row>
    <row r="269" spans="1:8" x14ac:dyDescent="0.3">
      <c r="A269" t="s">
        <v>845</v>
      </c>
      <c r="B269" t="s">
        <v>846</v>
      </c>
      <c r="C269">
        <v>18</v>
      </c>
      <c r="D269" t="s">
        <v>9</v>
      </c>
      <c r="E269" t="s">
        <v>775</v>
      </c>
      <c r="F269" t="s">
        <v>66</v>
      </c>
      <c r="G269" t="s">
        <v>12</v>
      </c>
      <c r="H269" t="s">
        <v>26</v>
      </c>
    </row>
    <row r="270" spans="1:8" x14ac:dyDescent="0.3">
      <c r="A270" t="s">
        <v>847</v>
      </c>
      <c r="B270" t="s">
        <v>848</v>
      </c>
      <c r="C270">
        <v>53</v>
      </c>
      <c r="D270" t="s">
        <v>16</v>
      </c>
      <c r="E270" t="s">
        <v>849</v>
      </c>
      <c r="F270" t="s">
        <v>198</v>
      </c>
      <c r="G270" t="s">
        <v>12</v>
      </c>
      <c r="H270" t="s">
        <v>26</v>
      </c>
    </row>
    <row r="271" spans="1:8" x14ac:dyDescent="0.3">
      <c r="A271" t="s">
        <v>850</v>
      </c>
      <c r="B271" t="s">
        <v>851</v>
      </c>
      <c r="C271">
        <v>45</v>
      </c>
      <c r="D271" t="s">
        <v>16</v>
      </c>
      <c r="E271" t="s">
        <v>852</v>
      </c>
      <c r="F271" t="s">
        <v>30</v>
      </c>
      <c r="G271" t="s">
        <v>12</v>
      </c>
      <c r="H271" t="s">
        <v>31</v>
      </c>
    </row>
    <row r="272" spans="1:8" x14ac:dyDescent="0.3">
      <c r="A272" t="s">
        <v>853</v>
      </c>
      <c r="B272" t="s">
        <v>854</v>
      </c>
      <c r="C272">
        <v>31</v>
      </c>
      <c r="D272" t="s">
        <v>16</v>
      </c>
      <c r="E272" t="s">
        <v>855</v>
      </c>
      <c r="F272" t="s">
        <v>323</v>
      </c>
      <c r="G272" t="s">
        <v>12</v>
      </c>
      <c r="H272" t="s">
        <v>13</v>
      </c>
    </row>
    <row r="273" spans="1:8" x14ac:dyDescent="0.3">
      <c r="A273" t="s">
        <v>856</v>
      </c>
      <c r="B273" t="s">
        <v>3815</v>
      </c>
      <c r="C273">
        <v>64</v>
      </c>
      <c r="D273" t="s">
        <v>9</v>
      </c>
      <c r="E273" t="s">
        <v>857</v>
      </c>
      <c r="F273" t="s">
        <v>70</v>
      </c>
      <c r="G273" t="s">
        <v>12</v>
      </c>
      <c r="H273" t="s">
        <v>19</v>
      </c>
    </row>
    <row r="274" spans="1:8" x14ac:dyDescent="0.3">
      <c r="A274" t="s">
        <v>858</v>
      </c>
      <c r="B274" t="s">
        <v>859</v>
      </c>
      <c r="C274">
        <v>48</v>
      </c>
      <c r="D274" t="s">
        <v>16</v>
      </c>
      <c r="E274" t="s">
        <v>860</v>
      </c>
      <c r="F274" t="s">
        <v>30</v>
      </c>
      <c r="G274" t="s">
        <v>12</v>
      </c>
      <c r="H274" t="s">
        <v>13</v>
      </c>
    </row>
    <row r="275" spans="1:8" x14ac:dyDescent="0.3">
      <c r="A275" t="s">
        <v>861</v>
      </c>
      <c r="B275" t="s">
        <v>862</v>
      </c>
      <c r="C275">
        <v>23</v>
      </c>
      <c r="D275" t="s">
        <v>9</v>
      </c>
      <c r="E275" t="s">
        <v>863</v>
      </c>
      <c r="F275" t="s">
        <v>309</v>
      </c>
      <c r="G275" t="s">
        <v>12</v>
      </c>
      <c r="H275" t="s">
        <v>26</v>
      </c>
    </row>
    <row r="276" spans="1:8" x14ac:dyDescent="0.3">
      <c r="A276" t="s">
        <v>864</v>
      </c>
      <c r="B276" t="s">
        <v>865</v>
      </c>
      <c r="C276">
        <v>38</v>
      </c>
      <c r="D276" t="s">
        <v>9</v>
      </c>
      <c r="E276" t="s">
        <v>866</v>
      </c>
      <c r="F276" t="s">
        <v>170</v>
      </c>
      <c r="G276" t="s">
        <v>12</v>
      </c>
      <c r="H276" t="s">
        <v>31</v>
      </c>
    </row>
    <row r="277" spans="1:8" x14ac:dyDescent="0.3">
      <c r="A277" t="s">
        <v>867</v>
      </c>
      <c r="B277" t="s">
        <v>868</v>
      </c>
      <c r="C277">
        <v>22</v>
      </c>
      <c r="D277" t="s">
        <v>9</v>
      </c>
      <c r="E277" t="s">
        <v>869</v>
      </c>
      <c r="F277" t="s">
        <v>582</v>
      </c>
      <c r="G277" t="s">
        <v>12</v>
      </c>
      <c r="H277" t="s">
        <v>13</v>
      </c>
    </row>
    <row r="278" spans="1:8" x14ac:dyDescent="0.3">
      <c r="A278" t="s">
        <v>870</v>
      </c>
      <c r="B278" t="s">
        <v>871</v>
      </c>
      <c r="C278">
        <v>38</v>
      </c>
      <c r="D278" t="s">
        <v>9</v>
      </c>
      <c r="E278" t="s">
        <v>872</v>
      </c>
      <c r="F278" t="s">
        <v>181</v>
      </c>
      <c r="G278" t="s">
        <v>12</v>
      </c>
      <c r="H278" t="s">
        <v>13</v>
      </c>
    </row>
    <row r="279" spans="1:8" x14ac:dyDescent="0.3">
      <c r="A279" t="s">
        <v>873</v>
      </c>
      <c r="B279" t="s">
        <v>874</v>
      </c>
      <c r="C279">
        <v>22</v>
      </c>
      <c r="D279" t="s">
        <v>16</v>
      </c>
      <c r="E279" t="s">
        <v>875</v>
      </c>
      <c r="F279" t="s">
        <v>271</v>
      </c>
      <c r="G279" t="s">
        <v>12</v>
      </c>
      <c r="H279" t="s">
        <v>19</v>
      </c>
    </row>
    <row r="280" spans="1:8" x14ac:dyDescent="0.3">
      <c r="A280" t="s">
        <v>876</v>
      </c>
      <c r="B280" t="s">
        <v>877</v>
      </c>
      <c r="C280">
        <v>42</v>
      </c>
      <c r="D280" t="s">
        <v>16</v>
      </c>
      <c r="E280" t="s">
        <v>878</v>
      </c>
      <c r="F280" t="s">
        <v>214</v>
      </c>
      <c r="G280" t="s">
        <v>12</v>
      </c>
      <c r="H280" t="s">
        <v>19</v>
      </c>
    </row>
    <row r="281" spans="1:8" x14ac:dyDescent="0.3">
      <c r="A281" t="s">
        <v>879</v>
      </c>
      <c r="B281" t="s">
        <v>880</v>
      </c>
      <c r="C281">
        <v>21</v>
      </c>
      <c r="D281" t="s">
        <v>16</v>
      </c>
      <c r="E281" t="s">
        <v>881</v>
      </c>
      <c r="F281" t="s">
        <v>25</v>
      </c>
      <c r="G281" t="s">
        <v>12</v>
      </c>
      <c r="H281" t="s">
        <v>26</v>
      </c>
    </row>
    <row r="282" spans="1:8" x14ac:dyDescent="0.3">
      <c r="A282" t="s">
        <v>882</v>
      </c>
      <c r="B282" t="s">
        <v>883</v>
      </c>
      <c r="C282">
        <v>48</v>
      </c>
      <c r="D282" t="s">
        <v>9</v>
      </c>
      <c r="E282" t="s">
        <v>884</v>
      </c>
      <c r="F282" t="s">
        <v>99</v>
      </c>
      <c r="G282" t="s">
        <v>12</v>
      </c>
      <c r="H282" t="s">
        <v>26</v>
      </c>
    </row>
    <row r="283" spans="1:8" x14ac:dyDescent="0.3">
      <c r="A283" t="s">
        <v>885</v>
      </c>
      <c r="B283" t="s">
        <v>886</v>
      </c>
      <c r="C283">
        <v>59</v>
      </c>
      <c r="D283" t="s">
        <v>9</v>
      </c>
      <c r="E283" t="s">
        <v>887</v>
      </c>
      <c r="F283" t="s">
        <v>166</v>
      </c>
      <c r="G283" t="s">
        <v>12</v>
      </c>
      <c r="H283" t="s">
        <v>19</v>
      </c>
    </row>
    <row r="284" spans="1:8" x14ac:dyDescent="0.3">
      <c r="A284" t="s">
        <v>888</v>
      </c>
      <c r="B284" t="s">
        <v>889</v>
      </c>
      <c r="C284">
        <v>46</v>
      </c>
      <c r="D284" t="s">
        <v>16</v>
      </c>
      <c r="E284" t="s">
        <v>890</v>
      </c>
      <c r="F284" t="s">
        <v>88</v>
      </c>
      <c r="G284" t="s">
        <v>12</v>
      </c>
      <c r="H284" t="s">
        <v>13</v>
      </c>
    </row>
    <row r="285" spans="1:8" x14ac:dyDescent="0.3">
      <c r="A285" t="s">
        <v>891</v>
      </c>
      <c r="B285" t="s">
        <v>892</v>
      </c>
      <c r="C285">
        <v>54</v>
      </c>
      <c r="D285" t="s">
        <v>16</v>
      </c>
      <c r="E285" t="s">
        <v>893</v>
      </c>
      <c r="F285" t="s">
        <v>838</v>
      </c>
      <c r="G285" t="s">
        <v>12</v>
      </c>
      <c r="H285" t="s">
        <v>31</v>
      </c>
    </row>
    <row r="286" spans="1:8" x14ac:dyDescent="0.3">
      <c r="A286" t="s">
        <v>894</v>
      </c>
      <c r="B286" t="s">
        <v>895</v>
      </c>
      <c r="C286">
        <v>54</v>
      </c>
      <c r="D286" t="s">
        <v>9</v>
      </c>
      <c r="E286" t="s">
        <v>896</v>
      </c>
      <c r="F286" t="s">
        <v>166</v>
      </c>
      <c r="G286" t="s">
        <v>12</v>
      </c>
      <c r="H286" t="s">
        <v>13</v>
      </c>
    </row>
    <row r="287" spans="1:8" x14ac:dyDescent="0.3">
      <c r="A287" t="s">
        <v>897</v>
      </c>
      <c r="B287" t="s">
        <v>898</v>
      </c>
      <c r="C287">
        <v>46</v>
      </c>
      <c r="D287" t="s">
        <v>16</v>
      </c>
      <c r="E287" t="s">
        <v>899</v>
      </c>
      <c r="F287" t="s">
        <v>709</v>
      </c>
      <c r="G287" t="s">
        <v>12</v>
      </c>
      <c r="H287" t="s">
        <v>31</v>
      </c>
    </row>
    <row r="288" spans="1:8" x14ac:dyDescent="0.3">
      <c r="A288" t="s">
        <v>900</v>
      </c>
      <c r="B288" t="s">
        <v>901</v>
      </c>
      <c r="C288">
        <v>22</v>
      </c>
      <c r="D288" t="s">
        <v>9</v>
      </c>
      <c r="E288" t="s">
        <v>902</v>
      </c>
      <c r="F288" t="s">
        <v>39</v>
      </c>
      <c r="G288" t="s">
        <v>12</v>
      </c>
      <c r="H288" t="s">
        <v>31</v>
      </c>
    </row>
    <row r="289" spans="1:8" x14ac:dyDescent="0.3">
      <c r="A289" t="s">
        <v>903</v>
      </c>
      <c r="B289" t="s">
        <v>904</v>
      </c>
      <c r="C289">
        <v>22</v>
      </c>
      <c r="D289" t="s">
        <v>16</v>
      </c>
      <c r="E289" t="s">
        <v>905</v>
      </c>
      <c r="F289" t="s">
        <v>170</v>
      </c>
      <c r="G289" t="s">
        <v>12</v>
      </c>
      <c r="H289" t="s">
        <v>13</v>
      </c>
    </row>
    <row r="290" spans="1:8" x14ac:dyDescent="0.3">
      <c r="A290" t="s">
        <v>906</v>
      </c>
      <c r="B290" t="s">
        <v>907</v>
      </c>
      <c r="C290">
        <v>58</v>
      </c>
      <c r="D290" t="s">
        <v>9</v>
      </c>
      <c r="E290" t="s">
        <v>908</v>
      </c>
      <c r="F290" t="s">
        <v>166</v>
      </c>
      <c r="G290" t="s">
        <v>12</v>
      </c>
      <c r="H290" t="s">
        <v>13</v>
      </c>
    </row>
    <row r="291" spans="1:8" x14ac:dyDescent="0.3">
      <c r="A291" t="s">
        <v>909</v>
      </c>
      <c r="B291" t="s">
        <v>910</v>
      </c>
      <c r="C291">
        <v>45</v>
      </c>
      <c r="D291" t="s">
        <v>9</v>
      </c>
      <c r="E291" t="s">
        <v>911</v>
      </c>
      <c r="F291" t="s">
        <v>25</v>
      </c>
      <c r="G291" t="s">
        <v>12</v>
      </c>
      <c r="H291" t="s">
        <v>26</v>
      </c>
    </row>
    <row r="292" spans="1:8" x14ac:dyDescent="0.3">
      <c r="A292" t="s">
        <v>912</v>
      </c>
      <c r="B292" t="s">
        <v>3816</v>
      </c>
      <c r="C292">
        <v>52</v>
      </c>
      <c r="D292" t="s">
        <v>16</v>
      </c>
      <c r="E292" t="s">
        <v>913</v>
      </c>
      <c r="F292" t="s">
        <v>284</v>
      </c>
      <c r="G292" t="s">
        <v>12</v>
      </c>
      <c r="H292" t="s">
        <v>31</v>
      </c>
    </row>
    <row r="293" spans="1:8" x14ac:dyDescent="0.3">
      <c r="A293" t="s">
        <v>914</v>
      </c>
      <c r="B293" t="s">
        <v>915</v>
      </c>
      <c r="C293">
        <v>40</v>
      </c>
      <c r="D293" t="s">
        <v>16</v>
      </c>
      <c r="E293" t="s">
        <v>916</v>
      </c>
      <c r="F293" t="s">
        <v>113</v>
      </c>
      <c r="G293" t="s">
        <v>12</v>
      </c>
      <c r="H293" t="s">
        <v>26</v>
      </c>
    </row>
    <row r="294" spans="1:8" x14ac:dyDescent="0.3">
      <c r="A294" t="s">
        <v>917</v>
      </c>
      <c r="B294" t="s">
        <v>918</v>
      </c>
      <c r="C294">
        <v>30</v>
      </c>
      <c r="D294" t="s">
        <v>9</v>
      </c>
      <c r="E294" t="s">
        <v>919</v>
      </c>
      <c r="F294" t="s">
        <v>198</v>
      </c>
      <c r="G294" t="s">
        <v>12</v>
      </c>
      <c r="H294" t="s">
        <v>31</v>
      </c>
    </row>
    <row r="295" spans="1:8" x14ac:dyDescent="0.3">
      <c r="A295" t="s">
        <v>920</v>
      </c>
      <c r="B295" t="s">
        <v>921</v>
      </c>
      <c r="C295">
        <v>56</v>
      </c>
      <c r="D295" t="s">
        <v>16</v>
      </c>
      <c r="E295" t="s">
        <v>922</v>
      </c>
      <c r="F295" t="s">
        <v>323</v>
      </c>
      <c r="G295" t="s">
        <v>12</v>
      </c>
      <c r="H295" t="s">
        <v>19</v>
      </c>
    </row>
    <row r="296" spans="1:8" x14ac:dyDescent="0.3">
      <c r="A296" t="s">
        <v>923</v>
      </c>
      <c r="B296" t="s">
        <v>924</v>
      </c>
      <c r="C296">
        <v>29</v>
      </c>
      <c r="D296" t="s">
        <v>9</v>
      </c>
      <c r="E296" t="s">
        <v>567</v>
      </c>
      <c r="F296" t="s">
        <v>66</v>
      </c>
      <c r="G296" t="s">
        <v>12</v>
      </c>
      <c r="H296" t="s">
        <v>19</v>
      </c>
    </row>
    <row r="297" spans="1:8" x14ac:dyDescent="0.3">
      <c r="A297" t="s">
        <v>925</v>
      </c>
      <c r="B297" t="s">
        <v>926</v>
      </c>
      <c r="C297">
        <v>19</v>
      </c>
      <c r="D297" t="s">
        <v>16</v>
      </c>
      <c r="E297" t="s">
        <v>927</v>
      </c>
      <c r="F297" t="s">
        <v>62</v>
      </c>
      <c r="G297" t="s">
        <v>12</v>
      </c>
      <c r="H297" t="s">
        <v>26</v>
      </c>
    </row>
    <row r="298" spans="1:8" x14ac:dyDescent="0.3">
      <c r="A298" t="s">
        <v>928</v>
      </c>
      <c r="B298" t="s">
        <v>929</v>
      </c>
      <c r="C298">
        <v>28</v>
      </c>
      <c r="D298" t="s">
        <v>16</v>
      </c>
      <c r="E298" t="s">
        <v>294</v>
      </c>
      <c r="F298" t="s">
        <v>43</v>
      </c>
      <c r="G298" t="s">
        <v>12</v>
      </c>
      <c r="H298" t="s">
        <v>26</v>
      </c>
    </row>
    <row r="299" spans="1:8" x14ac:dyDescent="0.3">
      <c r="A299" t="s">
        <v>930</v>
      </c>
      <c r="B299" t="s">
        <v>931</v>
      </c>
      <c r="C299">
        <v>47</v>
      </c>
      <c r="D299" t="s">
        <v>16</v>
      </c>
      <c r="E299" t="s">
        <v>932</v>
      </c>
      <c r="F299" t="s">
        <v>113</v>
      </c>
      <c r="G299" t="s">
        <v>12</v>
      </c>
      <c r="H299" t="s">
        <v>31</v>
      </c>
    </row>
    <row r="300" spans="1:8" x14ac:dyDescent="0.3">
      <c r="A300" t="s">
        <v>933</v>
      </c>
      <c r="B300" t="s">
        <v>934</v>
      </c>
      <c r="C300">
        <v>64</v>
      </c>
      <c r="D300" t="s">
        <v>9</v>
      </c>
      <c r="E300" t="s">
        <v>935</v>
      </c>
      <c r="F300" t="s">
        <v>429</v>
      </c>
      <c r="G300" t="s">
        <v>12</v>
      </c>
      <c r="H300" t="s">
        <v>19</v>
      </c>
    </row>
    <row r="301" spans="1:8" x14ac:dyDescent="0.3">
      <c r="A301" t="s">
        <v>936</v>
      </c>
      <c r="B301" t="s">
        <v>937</v>
      </c>
      <c r="C301">
        <v>48</v>
      </c>
      <c r="D301" t="s">
        <v>16</v>
      </c>
      <c r="E301" t="s">
        <v>938</v>
      </c>
      <c r="F301" t="s">
        <v>323</v>
      </c>
      <c r="G301" t="s">
        <v>12</v>
      </c>
      <c r="H301" t="s">
        <v>19</v>
      </c>
    </row>
    <row r="302" spans="1:8" x14ac:dyDescent="0.3">
      <c r="A302" t="s">
        <v>939</v>
      </c>
      <c r="B302" t="s">
        <v>940</v>
      </c>
      <c r="C302">
        <v>29</v>
      </c>
      <c r="D302" t="s">
        <v>9</v>
      </c>
      <c r="E302" t="s">
        <v>941</v>
      </c>
      <c r="F302" t="s">
        <v>35</v>
      </c>
      <c r="G302" t="s">
        <v>12</v>
      </c>
      <c r="H302" t="s">
        <v>31</v>
      </c>
    </row>
    <row r="303" spans="1:8" x14ac:dyDescent="0.3">
      <c r="A303" t="s">
        <v>942</v>
      </c>
      <c r="B303" t="s">
        <v>943</v>
      </c>
      <c r="C303">
        <v>50</v>
      </c>
      <c r="D303" t="s">
        <v>9</v>
      </c>
      <c r="E303" t="s">
        <v>944</v>
      </c>
      <c r="F303" t="s">
        <v>284</v>
      </c>
      <c r="G303" t="s">
        <v>12</v>
      </c>
      <c r="H303" t="s">
        <v>13</v>
      </c>
    </row>
    <row r="304" spans="1:8" x14ac:dyDescent="0.3">
      <c r="A304" t="s">
        <v>945</v>
      </c>
      <c r="B304" t="s">
        <v>946</v>
      </c>
      <c r="C304">
        <v>36</v>
      </c>
      <c r="D304" t="s">
        <v>9</v>
      </c>
      <c r="E304" t="s">
        <v>947</v>
      </c>
      <c r="F304" t="s">
        <v>133</v>
      </c>
      <c r="G304" t="s">
        <v>12</v>
      </c>
      <c r="H304" t="s">
        <v>13</v>
      </c>
    </row>
    <row r="305" spans="1:8" x14ac:dyDescent="0.3">
      <c r="A305" t="s">
        <v>948</v>
      </c>
      <c r="B305" t="s">
        <v>949</v>
      </c>
      <c r="C305">
        <v>23</v>
      </c>
      <c r="D305" t="s">
        <v>16</v>
      </c>
      <c r="E305" t="s">
        <v>950</v>
      </c>
      <c r="F305" t="s">
        <v>92</v>
      </c>
      <c r="G305" t="s">
        <v>12</v>
      </c>
      <c r="H305" t="s">
        <v>19</v>
      </c>
    </row>
    <row r="306" spans="1:8" x14ac:dyDescent="0.3">
      <c r="A306" t="s">
        <v>951</v>
      </c>
      <c r="B306" t="s">
        <v>3817</v>
      </c>
      <c r="C306">
        <v>41</v>
      </c>
      <c r="D306" t="s">
        <v>9</v>
      </c>
      <c r="E306" t="s">
        <v>952</v>
      </c>
      <c r="F306" t="s">
        <v>62</v>
      </c>
      <c r="G306" t="s">
        <v>12</v>
      </c>
      <c r="H306" t="s">
        <v>31</v>
      </c>
    </row>
    <row r="307" spans="1:8" x14ac:dyDescent="0.3">
      <c r="A307" t="s">
        <v>953</v>
      </c>
      <c r="B307" t="s">
        <v>954</v>
      </c>
      <c r="C307">
        <v>64</v>
      </c>
      <c r="D307" t="s">
        <v>9</v>
      </c>
      <c r="E307" t="s">
        <v>955</v>
      </c>
      <c r="F307" t="s">
        <v>74</v>
      </c>
      <c r="G307" t="s">
        <v>12</v>
      </c>
      <c r="H307" t="s">
        <v>19</v>
      </c>
    </row>
    <row r="308" spans="1:8" x14ac:dyDescent="0.3">
      <c r="A308" t="s">
        <v>956</v>
      </c>
      <c r="B308" t="s">
        <v>957</v>
      </c>
      <c r="C308">
        <v>44</v>
      </c>
      <c r="D308" t="s">
        <v>9</v>
      </c>
      <c r="E308" t="s">
        <v>958</v>
      </c>
      <c r="F308" t="s">
        <v>234</v>
      </c>
      <c r="G308" t="s">
        <v>12</v>
      </c>
      <c r="H308" t="s">
        <v>19</v>
      </c>
    </row>
    <row r="309" spans="1:8" x14ac:dyDescent="0.3">
      <c r="A309" t="s">
        <v>959</v>
      </c>
      <c r="B309" t="s">
        <v>960</v>
      </c>
      <c r="C309">
        <v>56</v>
      </c>
      <c r="D309" t="s">
        <v>16</v>
      </c>
      <c r="E309" t="s">
        <v>961</v>
      </c>
      <c r="F309" t="s">
        <v>22</v>
      </c>
      <c r="G309" t="s">
        <v>12</v>
      </c>
      <c r="H309" t="s">
        <v>26</v>
      </c>
    </row>
    <row r="310" spans="1:8" x14ac:dyDescent="0.3">
      <c r="A310" t="s">
        <v>962</v>
      </c>
      <c r="B310" t="s">
        <v>963</v>
      </c>
      <c r="C310">
        <v>60</v>
      </c>
      <c r="D310" t="s">
        <v>16</v>
      </c>
      <c r="E310" t="s">
        <v>964</v>
      </c>
      <c r="F310" t="s">
        <v>264</v>
      </c>
      <c r="G310" t="s">
        <v>12</v>
      </c>
      <c r="H310" t="s">
        <v>13</v>
      </c>
    </row>
    <row r="311" spans="1:8" x14ac:dyDescent="0.3">
      <c r="A311" t="s">
        <v>965</v>
      </c>
      <c r="B311" t="s">
        <v>966</v>
      </c>
      <c r="C311">
        <v>41</v>
      </c>
      <c r="D311" t="s">
        <v>16</v>
      </c>
      <c r="E311" t="s">
        <v>967</v>
      </c>
      <c r="F311" t="s">
        <v>30</v>
      </c>
      <c r="G311" t="s">
        <v>12</v>
      </c>
      <c r="H311" t="s">
        <v>26</v>
      </c>
    </row>
    <row r="312" spans="1:8" x14ac:dyDescent="0.3">
      <c r="A312" t="s">
        <v>968</v>
      </c>
      <c r="B312" t="s">
        <v>969</v>
      </c>
      <c r="C312">
        <v>20</v>
      </c>
      <c r="D312" t="s">
        <v>9</v>
      </c>
      <c r="E312" t="s">
        <v>970</v>
      </c>
      <c r="F312" t="s">
        <v>170</v>
      </c>
      <c r="G312" t="s">
        <v>12</v>
      </c>
      <c r="H312" t="s">
        <v>31</v>
      </c>
    </row>
    <row r="313" spans="1:8" x14ac:dyDescent="0.3">
      <c r="A313" t="s">
        <v>971</v>
      </c>
      <c r="B313" t="s">
        <v>972</v>
      </c>
      <c r="C313">
        <v>35</v>
      </c>
      <c r="D313" t="s">
        <v>9</v>
      </c>
      <c r="E313" t="s">
        <v>973</v>
      </c>
      <c r="F313" t="s">
        <v>35</v>
      </c>
      <c r="G313" t="s">
        <v>12</v>
      </c>
      <c r="H313" t="s">
        <v>19</v>
      </c>
    </row>
    <row r="314" spans="1:8" x14ac:dyDescent="0.3">
      <c r="A314" t="s">
        <v>974</v>
      </c>
      <c r="B314" t="s">
        <v>975</v>
      </c>
      <c r="C314">
        <v>47</v>
      </c>
      <c r="D314" t="s">
        <v>16</v>
      </c>
      <c r="E314" t="s">
        <v>976</v>
      </c>
      <c r="F314" t="s">
        <v>92</v>
      </c>
      <c r="G314" t="s">
        <v>12</v>
      </c>
      <c r="H314" t="s">
        <v>31</v>
      </c>
    </row>
    <row r="315" spans="1:8" x14ac:dyDescent="0.3">
      <c r="A315" t="s">
        <v>977</v>
      </c>
      <c r="B315" t="s">
        <v>978</v>
      </c>
      <c r="C315">
        <v>62</v>
      </c>
      <c r="D315" t="s">
        <v>9</v>
      </c>
      <c r="E315" t="s">
        <v>979</v>
      </c>
      <c r="F315" t="s">
        <v>139</v>
      </c>
      <c r="G315" t="s">
        <v>12</v>
      </c>
      <c r="H315" t="s">
        <v>19</v>
      </c>
    </row>
    <row r="316" spans="1:8" x14ac:dyDescent="0.3">
      <c r="A316" t="s">
        <v>980</v>
      </c>
      <c r="B316" t="s">
        <v>981</v>
      </c>
      <c r="C316">
        <v>53</v>
      </c>
      <c r="D316" t="s">
        <v>16</v>
      </c>
      <c r="E316" t="s">
        <v>982</v>
      </c>
      <c r="F316" t="s">
        <v>74</v>
      </c>
      <c r="G316" t="s">
        <v>12</v>
      </c>
      <c r="H316" t="s">
        <v>31</v>
      </c>
    </row>
    <row r="317" spans="1:8" x14ac:dyDescent="0.3">
      <c r="A317" t="s">
        <v>983</v>
      </c>
      <c r="B317" t="s">
        <v>984</v>
      </c>
      <c r="C317">
        <v>49</v>
      </c>
      <c r="D317" t="s">
        <v>9</v>
      </c>
      <c r="E317" t="s">
        <v>985</v>
      </c>
      <c r="F317" t="s">
        <v>709</v>
      </c>
      <c r="G317" t="s">
        <v>12</v>
      </c>
      <c r="H317" t="s">
        <v>31</v>
      </c>
    </row>
    <row r="318" spans="1:8" x14ac:dyDescent="0.3">
      <c r="A318" t="s">
        <v>986</v>
      </c>
      <c r="B318" t="s">
        <v>987</v>
      </c>
      <c r="C318">
        <v>34</v>
      </c>
      <c r="D318" t="s">
        <v>9</v>
      </c>
      <c r="E318" t="s">
        <v>988</v>
      </c>
      <c r="F318" t="s">
        <v>139</v>
      </c>
      <c r="G318" t="s">
        <v>12</v>
      </c>
      <c r="H318" t="s">
        <v>13</v>
      </c>
    </row>
    <row r="319" spans="1:8" x14ac:dyDescent="0.3">
      <c r="A319" t="s">
        <v>989</v>
      </c>
      <c r="B319" t="s">
        <v>990</v>
      </c>
      <c r="C319">
        <v>64</v>
      </c>
      <c r="D319" t="s">
        <v>16</v>
      </c>
      <c r="E319" t="s">
        <v>991</v>
      </c>
      <c r="F319" t="s">
        <v>47</v>
      </c>
      <c r="G319" t="s">
        <v>12</v>
      </c>
      <c r="H319" t="s">
        <v>13</v>
      </c>
    </row>
    <row r="320" spans="1:8" x14ac:dyDescent="0.3">
      <c r="A320" t="s">
        <v>992</v>
      </c>
      <c r="B320" t="s">
        <v>993</v>
      </c>
      <c r="C320">
        <v>25</v>
      </c>
      <c r="D320" t="s">
        <v>9</v>
      </c>
      <c r="E320" t="s">
        <v>994</v>
      </c>
      <c r="F320" t="s">
        <v>62</v>
      </c>
      <c r="G320" t="s">
        <v>12</v>
      </c>
      <c r="H320" t="s">
        <v>19</v>
      </c>
    </row>
    <row r="321" spans="1:8" x14ac:dyDescent="0.3">
      <c r="A321" t="s">
        <v>995</v>
      </c>
      <c r="B321" t="s">
        <v>996</v>
      </c>
      <c r="C321">
        <v>54</v>
      </c>
      <c r="D321" t="s">
        <v>9</v>
      </c>
      <c r="E321" t="s">
        <v>997</v>
      </c>
      <c r="F321" t="s">
        <v>309</v>
      </c>
      <c r="G321" t="s">
        <v>12</v>
      </c>
      <c r="H321" t="s">
        <v>19</v>
      </c>
    </row>
    <row r="322" spans="1:8" x14ac:dyDescent="0.3">
      <c r="A322" t="s">
        <v>998</v>
      </c>
      <c r="B322" t="s">
        <v>999</v>
      </c>
      <c r="C322">
        <v>34</v>
      </c>
      <c r="D322" t="s">
        <v>16</v>
      </c>
      <c r="E322" t="s">
        <v>1000</v>
      </c>
      <c r="F322" t="s">
        <v>264</v>
      </c>
      <c r="G322" t="s">
        <v>12</v>
      </c>
      <c r="H322" t="s">
        <v>26</v>
      </c>
    </row>
    <row r="323" spans="1:8" x14ac:dyDescent="0.3">
      <c r="A323" t="s">
        <v>1001</v>
      </c>
      <c r="B323" t="s">
        <v>1002</v>
      </c>
      <c r="C323">
        <v>21</v>
      </c>
      <c r="D323" t="s">
        <v>16</v>
      </c>
      <c r="E323" t="s">
        <v>1003</v>
      </c>
      <c r="F323" t="s">
        <v>234</v>
      </c>
      <c r="G323" t="s">
        <v>12</v>
      </c>
      <c r="H323" t="s">
        <v>26</v>
      </c>
    </row>
    <row r="324" spans="1:8" x14ac:dyDescent="0.3">
      <c r="A324" t="s">
        <v>1004</v>
      </c>
      <c r="B324" t="s">
        <v>1005</v>
      </c>
      <c r="C324">
        <v>54</v>
      </c>
      <c r="D324" t="s">
        <v>9</v>
      </c>
      <c r="E324" t="s">
        <v>1006</v>
      </c>
      <c r="F324" t="s">
        <v>838</v>
      </c>
      <c r="G324" t="s">
        <v>12</v>
      </c>
      <c r="H324" t="s">
        <v>26</v>
      </c>
    </row>
    <row r="325" spans="1:8" x14ac:dyDescent="0.3">
      <c r="A325" t="s">
        <v>1007</v>
      </c>
      <c r="B325" t="s">
        <v>1008</v>
      </c>
      <c r="C325">
        <v>64</v>
      </c>
      <c r="D325" t="s">
        <v>16</v>
      </c>
      <c r="E325" t="s">
        <v>1009</v>
      </c>
      <c r="F325" t="s">
        <v>11</v>
      </c>
      <c r="G325" t="s">
        <v>12</v>
      </c>
      <c r="H325" t="s">
        <v>19</v>
      </c>
    </row>
    <row r="326" spans="1:8" x14ac:dyDescent="0.3">
      <c r="A326" t="s">
        <v>1010</v>
      </c>
      <c r="B326" t="s">
        <v>3818</v>
      </c>
      <c r="C326">
        <v>58</v>
      </c>
      <c r="D326" t="s">
        <v>9</v>
      </c>
      <c r="E326" t="s">
        <v>1011</v>
      </c>
      <c r="F326" t="s">
        <v>96</v>
      </c>
      <c r="G326" t="s">
        <v>12</v>
      </c>
      <c r="H326" t="s">
        <v>26</v>
      </c>
    </row>
    <row r="327" spans="1:8" x14ac:dyDescent="0.3">
      <c r="A327" t="s">
        <v>1012</v>
      </c>
      <c r="B327" t="s">
        <v>1013</v>
      </c>
      <c r="C327">
        <v>60</v>
      </c>
      <c r="D327" t="s">
        <v>9</v>
      </c>
      <c r="E327" t="s">
        <v>1014</v>
      </c>
      <c r="F327" t="s">
        <v>319</v>
      </c>
      <c r="G327" t="s">
        <v>12</v>
      </c>
      <c r="H327" t="s">
        <v>26</v>
      </c>
    </row>
    <row r="328" spans="1:8" x14ac:dyDescent="0.3">
      <c r="A328" t="s">
        <v>1015</v>
      </c>
      <c r="B328" t="s">
        <v>1016</v>
      </c>
      <c r="C328">
        <v>58</v>
      </c>
      <c r="D328" t="s">
        <v>16</v>
      </c>
      <c r="E328" t="s">
        <v>1017</v>
      </c>
      <c r="F328" t="s">
        <v>214</v>
      </c>
      <c r="G328" t="s">
        <v>12</v>
      </c>
      <c r="H328" t="s">
        <v>13</v>
      </c>
    </row>
    <row r="329" spans="1:8" x14ac:dyDescent="0.3">
      <c r="A329" t="s">
        <v>1018</v>
      </c>
      <c r="B329" t="s">
        <v>1019</v>
      </c>
      <c r="C329">
        <v>62</v>
      </c>
      <c r="D329" t="s">
        <v>16</v>
      </c>
      <c r="E329" t="s">
        <v>1020</v>
      </c>
      <c r="F329" t="s">
        <v>58</v>
      </c>
      <c r="G329" t="s">
        <v>12</v>
      </c>
      <c r="H329" t="s">
        <v>26</v>
      </c>
    </row>
    <row r="330" spans="1:8" x14ac:dyDescent="0.3">
      <c r="A330" t="s">
        <v>1021</v>
      </c>
      <c r="B330" t="s">
        <v>1022</v>
      </c>
      <c r="C330">
        <v>46</v>
      </c>
      <c r="D330" t="s">
        <v>9</v>
      </c>
      <c r="E330" t="s">
        <v>1023</v>
      </c>
      <c r="F330" t="s">
        <v>198</v>
      </c>
      <c r="G330" t="s">
        <v>12</v>
      </c>
      <c r="H330" t="s">
        <v>19</v>
      </c>
    </row>
    <row r="331" spans="1:8" x14ac:dyDescent="0.3">
      <c r="A331" t="s">
        <v>1024</v>
      </c>
      <c r="B331" t="s">
        <v>1025</v>
      </c>
      <c r="C331">
        <v>62</v>
      </c>
      <c r="D331" t="s">
        <v>16</v>
      </c>
      <c r="E331" t="s">
        <v>1026</v>
      </c>
      <c r="F331" t="s">
        <v>198</v>
      </c>
      <c r="G331" t="s">
        <v>12</v>
      </c>
      <c r="H331" t="s">
        <v>26</v>
      </c>
    </row>
    <row r="332" spans="1:8" x14ac:dyDescent="0.3">
      <c r="A332" t="s">
        <v>1027</v>
      </c>
      <c r="B332" t="s">
        <v>1028</v>
      </c>
      <c r="C332">
        <v>54</v>
      </c>
      <c r="D332" t="s">
        <v>9</v>
      </c>
      <c r="E332" t="s">
        <v>1029</v>
      </c>
      <c r="F332" t="s">
        <v>191</v>
      </c>
      <c r="G332" t="s">
        <v>12</v>
      </c>
      <c r="H332" t="s">
        <v>19</v>
      </c>
    </row>
    <row r="333" spans="1:8" x14ac:dyDescent="0.3">
      <c r="A333" t="s">
        <v>1030</v>
      </c>
      <c r="B333" t="s">
        <v>1031</v>
      </c>
      <c r="C333">
        <v>38</v>
      </c>
      <c r="D333" t="s">
        <v>16</v>
      </c>
      <c r="E333" t="s">
        <v>1032</v>
      </c>
      <c r="F333" t="s">
        <v>66</v>
      </c>
      <c r="G333" t="s">
        <v>12</v>
      </c>
      <c r="H333" t="s">
        <v>26</v>
      </c>
    </row>
    <row r="334" spans="1:8" x14ac:dyDescent="0.3">
      <c r="A334" t="s">
        <v>1033</v>
      </c>
      <c r="B334" t="s">
        <v>1034</v>
      </c>
      <c r="C334">
        <v>34</v>
      </c>
      <c r="D334" t="s">
        <v>16</v>
      </c>
      <c r="E334" t="s">
        <v>1035</v>
      </c>
      <c r="F334" t="s">
        <v>99</v>
      </c>
      <c r="G334" t="s">
        <v>12</v>
      </c>
      <c r="H334" t="s">
        <v>26</v>
      </c>
    </row>
    <row r="335" spans="1:8" x14ac:dyDescent="0.3">
      <c r="A335" t="s">
        <v>1036</v>
      </c>
      <c r="B335" t="s">
        <v>1037</v>
      </c>
      <c r="C335">
        <v>64</v>
      </c>
      <c r="D335" t="s">
        <v>16</v>
      </c>
      <c r="E335" t="s">
        <v>1038</v>
      </c>
      <c r="F335" t="s">
        <v>81</v>
      </c>
      <c r="G335" t="s">
        <v>12</v>
      </c>
      <c r="H335" t="s">
        <v>13</v>
      </c>
    </row>
    <row r="336" spans="1:8" x14ac:dyDescent="0.3">
      <c r="A336" t="s">
        <v>1039</v>
      </c>
      <c r="B336" t="s">
        <v>1040</v>
      </c>
      <c r="C336">
        <v>50</v>
      </c>
      <c r="D336" t="s">
        <v>16</v>
      </c>
      <c r="E336" t="s">
        <v>1041</v>
      </c>
      <c r="F336" t="s">
        <v>166</v>
      </c>
      <c r="G336" t="s">
        <v>12</v>
      </c>
      <c r="H336" t="s">
        <v>31</v>
      </c>
    </row>
    <row r="337" spans="1:8" x14ac:dyDescent="0.3">
      <c r="A337" t="s">
        <v>1042</v>
      </c>
      <c r="B337" t="s">
        <v>1043</v>
      </c>
      <c r="C337">
        <v>37</v>
      </c>
      <c r="D337" t="s">
        <v>9</v>
      </c>
      <c r="E337" t="s">
        <v>1044</v>
      </c>
      <c r="F337" t="s">
        <v>11</v>
      </c>
      <c r="G337" t="s">
        <v>12</v>
      </c>
      <c r="H337" t="s">
        <v>19</v>
      </c>
    </row>
    <row r="338" spans="1:8" x14ac:dyDescent="0.3">
      <c r="A338" t="s">
        <v>1045</v>
      </c>
      <c r="B338" t="s">
        <v>1046</v>
      </c>
      <c r="C338">
        <v>58</v>
      </c>
      <c r="D338" t="s">
        <v>16</v>
      </c>
      <c r="E338" t="s">
        <v>1047</v>
      </c>
      <c r="F338" t="s">
        <v>35</v>
      </c>
      <c r="G338" t="s">
        <v>12</v>
      </c>
      <c r="H338" t="s">
        <v>31</v>
      </c>
    </row>
    <row r="339" spans="1:8" x14ac:dyDescent="0.3">
      <c r="A339" t="s">
        <v>1048</v>
      </c>
      <c r="B339" t="s">
        <v>1049</v>
      </c>
      <c r="C339">
        <v>40</v>
      </c>
      <c r="D339" t="s">
        <v>16</v>
      </c>
      <c r="E339" t="s">
        <v>1050</v>
      </c>
      <c r="F339" t="s">
        <v>11</v>
      </c>
      <c r="G339" t="s">
        <v>12</v>
      </c>
      <c r="H339" t="s">
        <v>26</v>
      </c>
    </row>
    <row r="340" spans="1:8" x14ac:dyDescent="0.3">
      <c r="A340" t="s">
        <v>1051</v>
      </c>
      <c r="B340" t="s">
        <v>1052</v>
      </c>
      <c r="C340">
        <v>46</v>
      </c>
      <c r="D340" t="s">
        <v>16</v>
      </c>
      <c r="E340" t="s">
        <v>1053</v>
      </c>
      <c r="F340" t="s">
        <v>166</v>
      </c>
      <c r="G340" t="s">
        <v>12</v>
      </c>
      <c r="H340" t="s">
        <v>31</v>
      </c>
    </row>
    <row r="341" spans="1:8" x14ac:dyDescent="0.3">
      <c r="A341" t="s">
        <v>1054</v>
      </c>
      <c r="B341" t="s">
        <v>1055</v>
      </c>
      <c r="C341">
        <v>52</v>
      </c>
      <c r="D341" t="s">
        <v>16</v>
      </c>
      <c r="E341" t="s">
        <v>1056</v>
      </c>
      <c r="F341" t="s">
        <v>133</v>
      </c>
      <c r="G341" t="s">
        <v>12</v>
      </c>
      <c r="H341" t="s">
        <v>19</v>
      </c>
    </row>
    <row r="342" spans="1:8" x14ac:dyDescent="0.3">
      <c r="A342" t="s">
        <v>1057</v>
      </c>
      <c r="B342" t="s">
        <v>1058</v>
      </c>
      <c r="C342">
        <v>27</v>
      </c>
      <c r="D342" t="s">
        <v>9</v>
      </c>
      <c r="E342" t="s">
        <v>1059</v>
      </c>
      <c r="F342" t="s">
        <v>271</v>
      </c>
      <c r="G342" t="s">
        <v>12</v>
      </c>
      <c r="H342" t="s">
        <v>26</v>
      </c>
    </row>
    <row r="343" spans="1:8" x14ac:dyDescent="0.3">
      <c r="A343" t="s">
        <v>1060</v>
      </c>
      <c r="B343" t="s">
        <v>1061</v>
      </c>
      <c r="C343">
        <v>56</v>
      </c>
      <c r="D343" t="s">
        <v>16</v>
      </c>
      <c r="E343" t="s">
        <v>1062</v>
      </c>
      <c r="F343" t="s">
        <v>191</v>
      </c>
      <c r="G343" t="s">
        <v>12</v>
      </c>
      <c r="H343" t="s">
        <v>26</v>
      </c>
    </row>
    <row r="344" spans="1:8" x14ac:dyDescent="0.3">
      <c r="A344" t="s">
        <v>1063</v>
      </c>
      <c r="B344" t="s">
        <v>1064</v>
      </c>
      <c r="C344">
        <v>30</v>
      </c>
      <c r="D344" t="s">
        <v>16</v>
      </c>
      <c r="E344" t="s">
        <v>1065</v>
      </c>
      <c r="F344" t="s">
        <v>166</v>
      </c>
      <c r="G344" t="s">
        <v>12</v>
      </c>
      <c r="H344" t="s">
        <v>26</v>
      </c>
    </row>
    <row r="345" spans="1:8" x14ac:dyDescent="0.3">
      <c r="A345" t="s">
        <v>1066</v>
      </c>
      <c r="B345" t="s">
        <v>1067</v>
      </c>
      <c r="C345">
        <v>38</v>
      </c>
      <c r="D345" t="s">
        <v>9</v>
      </c>
      <c r="E345" t="s">
        <v>1068</v>
      </c>
      <c r="F345" t="s">
        <v>284</v>
      </c>
      <c r="G345" t="s">
        <v>12</v>
      </c>
      <c r="H345" t="s">
        <v>26</v>
      </c>
    </row>
    <row r="346" spans="1:8" x14ac:dyDescent="0.3">
      <c r="A346" t="s">
        <v>1069</v>
      </c>
      <c r="B346" t="s">
        <v>1070</v>
      </c>
      <c r="C346">
        <v>39</v>
      </c>
      <c r="D346" t="s">
        <v>9</v>
      </c>
      <c r="E346" t="s">
        <v>1071</v>
      </c>
      <c r="F346" t="s">
        <v>230</v>
      </c>
      <c r="G346" t="s">
        <v>12</v>
      </c>
      <c r="H346" t="s">
        <v>13</v>
      </c>
    </row>
    <row r="347" spans="1:8" x14ac:dyDescent="0.3">
      <c r="A347" t="s">
        <v>1072</v>
      </c>
      <c r="B347" t="s">
        <v>1073</v>
      </c>
      <c r="C347">
        <v>33</v>
      </c>
      <c r="D347" t="s">
        <v>9</v>
      </c>
      <c r="E347" t="s">
        <v>1074</v>
      </c>
      <c r="F347" t="s">
        <v>96</v>
      </c>
      <c r="G347" t="s">
        <v>12</v>
      </c>
      <c r="H347" t="s">
        <v>26</v>
      </c>
    </row>
    <row r="348" spans="1:8" x14ac:dyDescent="0.3">
      <c r="A348" t="s">
        <v>1075</v>
      </c>
      <c r="B348" t="s">
        <v>1076</v>
      </c>
      <c r="C348">
        <v>58</v>
      </c>
      <c r="D348" t="s">
        <v>16</v>
      </c>
      <c r="E348" t="s">
        <v>1077</v>
      </c>
      <c r="F348" t="s">
        <v>234</v>
      </c>
      <c r="G348" t="s">
        <v>12</v>
      </c>
      <c r="H348" t="s">
        <v>19</v>
      </c>
    </row>
    <row r="349" spans="1:8" x14ac:dyDescent="0.3">
      <c r="A349" t="s">
        <v>1078</v>
      </c>
      <c r="B349" t="s">
        <v>3819</v>
      </c>
      <c r="C349">
        <v>39</v>
      </c>
      <c r="D349" t="s">
        <v>16</v>
      </c>
      <c r="E349" t="s">
        <v>1079</v>
      </c>
      <c r="F349" t="s">
        <v>166</v>
      </c>
      <c r="G349" t="s">
        <v>12</v>
      </c>
      <c r="H349" t="s">
        <v>13</v>
      </c>
    </row>
    <row r="350" spans="1:8" x14ac:dyDescent="0.3">
      <c r="A350" t="s">
        <v>1080</v>
      </c>
      <c r="B350" t="s">
        <v>1081</v>
      </c>
      <c r="C350">
        <v>55</v>
      </c>
      <c r="D350" t="s">
        <v>9</v>
      </c>
      <c r="E350" t="s">
        <v>1082</v>
      </c>
      <c r="F350" t="s">
        <v>51</v>
      </c>
      <c r="G350" t="s">
        <v>12</v>
      </c>
      <c r="H350" t="s">
        <v>31</v>
      </c>
    </row>
    <row r="351" spans="1:8" x14ac:dyDescent="0.3">
      <c r="A351" t="s">
        <v>1083</v>
      </c>
      <c r="B351" t="s">
        <v>1084</v>
      </c>
      <c r="C351">
        <v>31</v>
      </c>
      <c r="D351" t="s">
        <v>9</v>
      </c>
      <c r="E351" t="s">
        <v>1085</v>
      </c>
      <c r="F351" t="s">
        <v>162</v>
      </c>
      <c r="G351" t="s">
        <v>12</v>
      </c>
      <c r="H351" t="s">
        <v>26</v>
      </c>
    </row>
    <row r="352" spans="1:8" x14ac:dyDescent="0.3">
      <c r="A352" t="s">
        <v>1086</v>
      </c>
      <c r="B352" t="s">
        <v>1087</v>
      </c>
      <c r="C352">
        <v>26</v>
      </c>
      <c r="D352" t="s">
        <v>9</v>
      </c>
      <c r="E352" t="s">
        <v>1088</v>
      </c>
      <c r="F352" t="s">
        <v>264</v>
      </c>
      <c r="G352" t="s">
        <v>12</v>
      </c>
      <c r="H352" t="s">
        <v>31</v>
      </c>
    </row>
    <row r="353" spans="1:8" x14ac:dyDescent="0.3">
      <c r="A353" t="s">
        <v>1089</v>
      </c>
      <c r="B353" t="s">
        <v>1090</v>
      </c>
      <c r="C353">
        <v>25</v>
      </c>
      <c r="D353" t="s">
        <v>16</v>
      </c>
      <c r="E353" t="s">
        <v>1091</v>
      </c>
      <c r="F353" t="s">
        <v>70</v>
      </c>
      <c r="G353" t="s">
        <v>12</v>
      </c>
      <c r="H353" t="s">
        <v>26</v>
      </c>
    </row>
    <row r="354" spans="1:8" x14ac:dyDescent="0.3">
      <c r="A354" t="s">
        <v>1092</v>
      </c>
      <c r="B354" t="s">
        <v>1093</v>
      </c>
      <c r="C354">
        <v>52</v>
      </c>
      <c r="D354" t="s">
        <v>16</v>
      </c>
      <c r="E354" t="s">
        <v>1094</v>
      </c>
      <c r="F354" t="s">
        <v>319</v>
      </c>
      <c r="G354" t="s">
        <v>12</v>
      </c>
      <c r="H354" t="s">
        <v>31</v>
      </c>
    </row>
    <row r="355" spans="1:8" x14ac:dyDescent="0.3">
      <c r="A355" t="s">
        <v>1095</v>
      </c>
      <c r="B355" t="s">
        <v>3820</v>
      </c>
      <c r="C355">
        <v>56</v>
      </c>
      <c r="D355" t="s">
        <v>16</v>
      </c>
      <c r="E355" t="s">
        <v>1096</v>
      </c>
      <c r="F355" t="s">
        <v>35</v>
      </c>
      <c r="G355" t="s">
        <v>12</v>
      </c>
      <c r="H355" t="s">
        <v>19</v>
      </c>
    </row>
    <row r="356" spans="1:8" x14ac:dyDescent="0.3">
      <c r="A356" t="s">
        <v>1097</v>
      </c>
      <c r="B356" t="s">
        <v>1098</v>
      </c>
      <c r="C356">
        <v>38</v>
      </c>
      <c r="D356" t="s">
        <v>9</v>
      </c>
      <c r="E356" t="s">
        <v>1099</v>
      </c>
      <c r="F356" t="s">
        <v>166</v>
      </c>
      <c r="G356" t="s">
        <v>12</v>
      </c>
      <c r="H356" t="s">
        <v>31</v>
      </c>
    </row>
    <row r="357" spans="1:8" x14ac:dyDescent="0.3">
      <c r="A357" t="s">
        <v>1100</v>
      </c>
      <c r="B357" t="s">
        <v>1101</v>
      </c>
      <c r="C357">
        <v>20</v>
      </c>
      <c r="D357" t="s">
        <v>9</v>
      </c>
      <c r="E357" t="s">
        <v>1102</v>
      </c>
      <c r="F357" t="s">
        <v>74</v>
      </c>
      <c r="G357" t="s">
        <v>12</v>
      </c>
      <c r="H357" t="s">
        <v>13</v>
      </c>
    </row>
    <row r="358" spans="1:8" x14ac:dyDescent="0.3">
      <c r="A358" t="s">
        <v>1103</v>
      </c>
      <c r="B358" t="s">
        <v>1104</v>
      </c>
      <c r="C358">
        <v>54</v>
      </c>
      <c r="D358" t="s">
        <v>9</v>
      </c>
      <c r="E358" t="s">
        <v>1105</v>
      </c>
      <c r="F358" t="s">
        <v>284</v>
      </c>
      <c r="G358" t="s">
        <v>12</v>
      </c>
      <c r="H358" t="s">
        <v>26</v>
      </c>
    </row>
    <row r="359" spans="1:8" x14ac:dyDescent="0.3">
      <c r="A359" t="s">
        <v>1106</v>
      </c>
      <c r="B359" t="s">
        <v>1107</v>
      </c>
      <c r="C359">
        <v>41</v>
      </c>
      <c r="D359" t="s">
        <v>9</v>
      </c>
      <c r="E359" t="s">
        <v>1108</v>
      </c>
      <c r="F359" t="s">
        <v>234</v>
      </c>
      <c r="G359" t="s">
        <v>12</v>
      </c>
      <c r="H359" t="s">
        <v>13</v>
      </c>
    </row>
    <row r="360" spans="1:8" x14ac:dyDescent="0.3">
      <c r="A360" t="s">
        <v>1109</v>
      </c>
      <c r="B360" t="s">
        <v>1110</v>
      </c>
      <c r="C360">
        <v>60</v>
      </c>
      <c r="D360" t="s">
        <v>16</v>
      </c>
      <c r="E360" t="s">
        <v>1111</v>
      </c>
      <c r="F360" t="s">
        <v>309</v>
      </c>
      <c r="G360" t="s">
        <v>12</v>
      </c>
      <c r="H360" t="s">
        <v>13</v>
      </c>
    </row>
    <row r="361" spans="1:8" x14ac:dyDescent="0.3">
      <c r="A361" t="s">
        <v>1112</v>
      </c>
      <c r="B361" t="s">
        <v>1113</v>
      </c>
      <c r="C361">
        <v>32</v>
      </c>
      <c r="D361" t="s">
        <v>9</v>
      </c>
      <c r="E361" t="s">
        <v>1114</v>
      </c>
      <c r="F361" t="s">
        <v>62</v>
      </c>
      <c r="G361" t="s">
        <v>12</v>
      </c>
      <c r="H361" t="s">
        <v>31</v>
      </c>
    </row>
    <row r="362" spans="1:8" x14ac:dyDescent="0.3">
      <c r="A362" t="s">
        <v>1115</v>
      </c>
      <c r="B362" t="s">
        <v>1116</v>
      </c>
      <c r="C362">
        <v>34</v>
      </c>
      <c r="D362" t="s">
        <v>9</v>
      </c>
      <c r="E362" t="s">
        <v>1117</v>
      </c>
      <c r="F362" t="s">
        <v>288</v>
      </c>
      <c r="G362" t="s">
        <v>12</v>
      </c>
      <c r="H362" t="s">
        <v>19</v>
      </c>
    </row>
    <row r="363" spans="1:8" x14ac:dyDescent="0.3">
      <c r="A363" t="s">
        <v>1118</v>
      </c>
      <c r="B363" t="s">
        <v>1119</v>
      </c>
      <c r="C363">
        <v>64</v>
      </c>
      <c r="D363" t="s">
        <v>9</v>
      </c>
      <c r="E363" t="s">
        <v>1120</v>
      </c>
      <c r="F363" t="s">
        <v>251</v>
      </c>
      <c r="G363" t="s">
        <v>12</v>
      </c>
      <c r="H363" t="s">
        <v>19</v>
      </c>
    </row>
    <row r="364" spans="1:8" x14ac:dyDescent="0.3">
      <c r="A364" t="s">
        <v>1121</v>
      </c>
      <c r="B364" t="s">
        <v>3821</v>
      </c>
      <c r="C364">
        <v>60</v>
      </c>
      <c r="D364" t="s">
        <v>9</v>
      </c>
      <c r="E364" t="s">
        <v>1122</v>
      </c>
      <c r="F364" t="s">
        <v>162</v>
      </c>
      <c r="G364" t="s">
        <v>12</v>
      </c>
      <c r="H364" t="s">
        <v>13</v>
      </c>
    </row>
    <row r="365" spans="1:8" x14ac:dyDescent="0.3">
      <c r="A365" t="s">
        <v>1123</v>
      </c>
      <c r="B365" t="s">
        <v>1124</v>
      </c>
      <c r="C365">
        <v>23</v>
      </c>
      <c r="D365" t="s">
        <v>9</v>
      </c>
      <c r="E365" t="s">
        <v>1125</v>
      </c>
      <c r="F365" t="s">
        <v>25</v>
      </c>
      <c r="G365" t="s">
        <v>12</v>
      </c>
      <c r="H365" t="s">
        <v>26</v>
      </c>
    </row>
    <row r="366" spans="1:8" x14ac:dyDescent="0.3">
      <c r="A366" t="s">
        <v>1126</v>
      </c>
      <c r="B366" t="s">
        <v>1127</v>
      </c>
      <c r="C366">
        <v>58</v>
      </c>
      <c r="D366" t="s">
        <v>9</v>
      </c>
      <c r="E366" t="s">
        <v>1128</v>
      </c>
      <c r="F366" t="s">
        <v>133</v>
      </c>
      <c r="G366" t="s">
        <v>12</v>
      </c>
      <c r="H366" t="s">
        <v>26</v>
      </c>
    </row>
    <row r="367" spans="1:8" x14ac:dyDescent="0.3">
      <c r="A367" t="s">
        <v>1129</v>
      </c>
      <c r="B367" t="s">
        <v>1130</v>
      </c>
      <c r="C367">
        <v>63</v>
      </c>
      <c r="D367" t="s">
        <v>16</v>
      </c>
      <c r="E367" t="s">
        <v>1131</v>
      </c>
      <c r="F367" t="s">
        <v>162</v>
      </c>
      <c r="G367" t="s">
        <v>12</v>
      </c>
      <c r="H367" t="s">
        <v>19</v>
      </c>
    </row>
    <row r="368" spans="1:8" x14ac:dyDescent="0.3">
      <c r="A368" t="s">
        <v>1132</v>
      </c>
      <c r="B368" t="s">
        <v>1133</v>
      </c>
      <c r="C368">
        <v>40</v>
      </c>
      <c r="D368" t="s">
        <v>16</v>
      </c>
      <c r="E368" t="s">
        <v>1134</v>
      </c>
      <c r="F368" t="s">
        <v>22</v>
      </c>
      <c r="G368" t="s">
        <v>12</v>
      </c>
      <c r="H368" t="s">
        <v>19</v>
      </c>
    </row>
    <row r="369" spans="1:8" x14ac:dyDescent="0.3">
      <c r="A369" t="s">
        <v>1135</v>
      </c>
      <c r="B369" t="s">
        <v>1136</v>
      </c>
      <c r="C369">
        <v>51</v>
      </c>
      <c r="D369" t="s">
        <v>9</v>
      </c>
      <c r="E369" t="s">
        <v>1137</v>
      </c>
      <c r="F369" t="s">
        <v>25</v>
      </c>
      <c r="G369" t="s">
        <v>12</v>
      </c>
      <c r="H369" t="s">
        <v>26</v>
      </c>
    </row>
    <row r="370" spans="1:8" x14ac:dyDescent="0.3">
      <c r="A370" t="s">
        <v>1138</v>
      </c>
      <c r="B370" t="s">
        <v>1139</v>
      </c>
      <c r="C370">
        <v>34</v>
      </c>
      <c r="D370" t="s">
        <v>16</v>
      </c>
      <c r="E370" t="s">
        <v>1140</v>
      </c>
      <c r="F370" t="s">
        <v>58</v>
      </c>
      <c r="G370" t="s">
        <v>12</v>
      </c>
      <c r="H370" t="s">
        <v>19</v>
      </c>
    </row>
    <row r="371" spans="1:8" x14ac:dyDescent="0.3">
      <c r="A371" t="s">
        <v>1141</v>
      </c>
      <c r="B371" t="s">
        <v>1142</v>
      </c>
      <c r="C371">
        <v>20</v>
      </c>
      <c r="D371" t="s">
        <v>16</v>
      </c>
      <c r="E371" t="s">
        <v>1143</v>
      </c>
      <c r="F371" t="s">
        <v>170</v>
      </c>
      <c r="G371" t="s">
        <v>12</v>
      </c>
      <c r="H371" t="s">
        <v>19</v>
      </c>
    </row>
    <row r="372" spans="1:8" x14ac:dyDescent="0.3">
      <c r="A372" t="s">
        <v>1144</v>
      </c>
      <c r="B372" t="s">
        <v>1145</v>
      </c>
      <c r="C372">
        <v>45</v>
      </c>
      <c r="D372" t="s">
        <v>9</v>
      </c>
      <c r="E372" t="s">
        <v>1146</v>
      </c>
      <c r="F372" t="s">
        <v>251</v>
      </c>
      <c r="G372" t="s">
        <v>12</v>
      </c>
      <c r="H372" t="s">
        <v>31</v>
      </c>
    </row>
    <row r="373" spans="1:8" x14ac:dyDescent="0.3">
      <c r="A373" t="s">
        <v>1147</v>
      </c>
      <c r="B373" t="s">
        <v>1148</v>
      </c>
      <c r="C373">
        <v>21</v>
      </c>
      <c r="D373" t="s">
        <v>16</v>
      </c>
      <c r="E373" t="s">
        <v>1149</v>
      </c>
      <c r="F373" t="s">
        <v>47</v>
      </c>
      <c r="G373" t="s">
        <v>12</v>
      </c>
      <c r="H373" t="s">
        <v>19</v>
      </c>
    </row>
    <row r="374" spans="1:8" x14ac:dyDescent="0.3">
      <c r="A374" t="s">
        <v>1150</v>
      </c>
      <c r="B374" t="s">
        <v>1151</v>
      </c>
      <c r="C374">
        <v>28</v>
      </c>
      <c r="D374" t="s">
        <v>9</v>
      </c>
      <c r="E374" t="s">
        <v>1152</v>
      </c>
      <c r="F374" t="s">
        <v>25</v>
      </c>
      <c r="G374" t="s">
        <v>12</v>
      </c>
      <c r="H374" t="s">
        <v>26</v>
      </c>
    </row>
    <row r="375" spans="1:8" x14ac:dyDescent="0.3">
      <c r="A375" t="s">
        <v>1153</v>
      </c>
      <c r="B375" t="s">
        <v>1154</v>
      </c>
      <c r="C375">
        <v>37</v>
      </c>
      <c r="D375" t="s">
        <v>16</v>
      </c>
      <c r="E375" t="s">
        <v>1155</v>
      </c>
      <c r="F375" t="s">
        <v>429</v>
      </c>
      <c r="G375" t="s">
        <v>12</v>
      </c>
      <c r="H375" t="s">
        <v>13</v>
      </c>
    </row>
    <row r="376" spans="1:8" x14ac:dyDescent="0.3">
      <c r="A376" t="s">
        <v>1156</v>
      </c>
      <c r="B376" t="s">
        <v>1157</v>
      </c>
      <c r="C376">
        <v>60</v>
      </c>
      <c r="D376" t="s">
        <v>9</v>
      </c>
      <c r="E376" t="s">
        <v>1158</v>
      </c>
      <c r="F376" t="s">
        <v>99</v>
      </c>
      <c r="G376" t="s">
        <v>12</v>
      </c>
      <c r="H376" t="s">
        <v>19</v>
      </c>
    </row>
    <row r="377" spans="1:8" x14ac:dyDescent="0.3">
      <c r="A377" t="s">
        <v>1159</v>
      </c>
      <c r="B377" t="s">
        <v>1160</v>
      </c>
      <c r="C377">
        <v>26</v>
      </c>
      <c r="D377" t="s">
        <v>9</v>
      </c>
      <c r="E377" t="s">
        <v>1161</v>
      </c>
      <c r="F377" t="s">
        <v>198</v>
      </c>
      <c r="G377" t="s">
        <v>12</v>
      </c>
      <c r="H377" t="s">
        <v>19</v>
      </c>
    </row>
    <row r="378" spans="1:8" x14ac:dyDescent="0.3">
      <c r="A378" t="s">
        <v>1162</v>
      </c>
      <c r="B378" t="s">
        <v>1163</v>
      </c>
      <c r="C378">
        <v>30</v>
      </c>
      <c r="D378" t="s">
        <v>9</v>
      </c>
      <c r="E378" t="s">
        <v>1164</v>
      </c>
      <c r="F378" t="s">
        <v>166</v>
      </c>
      <c r="G378" t="s">
        <v>12</v>
      </c>
      <c r="H378" t="s">
        <v>26</v>
      </c>
    </row>
    <row r="379" spans="1:8" x14ac:dyDescent="0.3">
      <c r="A379" t="s">
        <v>1165</v>
      </c>
      <c r="B379" t="s">
        <v>1166</v>
      </c>
      <c r="C379">
        <v>39</v>
      </c>
      <c r="D379" t="s">
        <v>16</v>
      </c>
      <c r="E379" t="s">
        <v>1167</v>
      </c>
      <c r="F379" t="s">
        <v>429</v>
      </c>
      <c r="G379" t="s">
        <v>12</v>
      </c>
      <c r="H379" t="s">
        <v>13</v>
      </c>
    </row>
    <row r="380" spans="1:8" x14ac:dyDescent="0.3">
      <c r="A380" t="s">
        <v>1168</v>
      </c>
      <c r="B380" t="s">
        <v>1169</v>
      </c>
      <c r="C380">
        <v>44</v>
      </c>
      <c r="D380" t="s">
        <v>16</v>
      </c>
      <c r="E380" t="s">
        <v>1170</v>
      </c>
      <c r="F380" t="s">
        <v>92</v>
      </c>
      <c r="G380" t="s">
        <v>12</v>
      </c>
      <c r="H380" t="s">
        <v>26</v>
      </c>
    </row>
    <row r="381" spans="1:8" x14ac:dyDescent="0.3">
      <c r="A381" t="s">
        <v>1171</v>
      </c>
      <c r="B381" t="s">
        <v>1172</v>
      </c>
      <c r="C381">
        <v>34</v>
      </c>
      <c r="D381" t="s">
        <v>16</v>
      </c>
      <c r="E381" t="s">
        <v>1173</v>
      </c>
      <c r="F381" t="s">
        <v>264</v>
      </c>
      <c r="G381" t="s">
        <v>12</v>
      </c>
      <c r="H381" t="s">
        <v>13</v>
      </c>
    </row>
    <row r="382" spans="1:8" x14ac:dyDescent="0.3">
      <c r="A382" t="s">
        <v>1174</v>
      </c>
      <c r="B382" t="s">
        <v>1175</v>
      </c>
      <c r="C382">
        <v>23</v>
      </c>
      <c r="D382" t="s">
        <v>9</v>
      </c>
      <c r="E382" t="s">
        <v>1176</v>
      </c>
      <c r="F382" t="s">
        <v>214</v>
      </c>
      <c r="G382" t="s">
        <v>12</v>
      </c>
      <c r="H382" t="s">
        <v>13</v>
      </c>
    </row>
    <row r="383" spans="1:8" x14ac:dyDescent="0.3">
      <c r="A383" t="s">
        <v>1177</v>
      </c>
      <c r="B383" t="s">
        <v>1178</v>
      </c>
      <c r="C383">
        <v>50</v>
      </c>
      <c r="D383" t="s">
        <v>9</v>
      </c>
      <c r="E383" t="s">
        <v>1179</v>
      </c>
      <c r="F383" t="s">
        <v>22</v>
      </c>
      <c r="G383" t="s">
        <v>12</v>
      </c>
      <c r="H383" t="s">
        <v>31</v>
      </c>
    </row>
    <row r="384" spans="1:8" x14ac:dyDescent="0.3">
      <c r="A384" t="s">
        <v>1180</v>
      </c>
      <c r="B384" t="s">
        <v>1181</v>
      </c>
      <c r="C384">
        <v>20</v>
      </c>
      <c r="D384" t="s">
        <v>16</v>
      </c>
      <c r="E384" t="s">
        <v>1182</v>
      </c>
      <c r="F384" t="s">
        <v>30</v>
      </c>
      <c r="G384" t="s">
        <v>12</v>
      </c>
      <c r="H384" t="s">
        <v>13</v>
      </c>
    </row>
    <row r="385" spans="1:8" x14ac:dyDescent="0.3">
      <c r="A385" t="s">
        <v>1183</v>
      </c>
      <c r="B385" t="s">
        <v>1184</v>
      </c>
      <c r="C385">
        <v>27</v>
      </c>
      <c r="D385" t="s">
        <v>16</v>
      </c>
      <c r="E385" t="s">
        <v>1185</v>
      </c>
      <c r="F385" t="s">
        <v>312</v>
      </c>
      <c r="G385" t="s">
        <v>12</v>
      </c>
      <c r="H385" t="s">
        <v>31</v>
      </c>
    </row>
    <row r="386" spans="1:8" x14ac:dyDescent="0.3">
      <c r="A386" t="s">
        <v>1186</v>
      </c>
      <c r="B386" t="s">
        <v>1187</v>
      </c>
      <c r="C386">
        <v>52</v>
      </c>
      <c r="D386" t="s">
        <v>16</v>
      </c>
      <c r="E386" t="s">
        <v>1188</v>
      </c>
      <c r="F386" t="s">
        <v>264</v>
      </c>
      <c r="G386" t="s">
        <v>12</v>
      </c>
      <c r="H386" t="s">
        <v>26</v>
      </c>
    </row>
    <row r="387" spans="1:8" x14ac:dyDescent="0.3">
      <c r="A387" t="s">
        <v>1189</v>
      </c>
      <c r="B387" t="s">
        <v>1190</v>
      </c>
      <c r="C387">
        <v>60</v>
      </c>
      <c r="D387" t="s">
        <v>9</v>
      </c>
      <c r="E387" t="s">
        <v>1191</v>
      </c>
      <c r="F387" t="s">
        <v>312</v>
      </c>
      <c r="G387" t="s">
        <v>12</v>
      </c>
      <c r="H387" t="s">
        <v>13</v>
      </c>
    </row>
    <row r="388" spans="1:8" x14ac:dyDescent="0.3">
      <c r="A388" t="s">
        <v>1192</v>
      </c>
      <c r="B388" t="s">
        <v>1193</v>
      </c>
      <c r="C388">
        <v>18</v>
      </c>
      <c r="D388" t="s">
        <v>16</v>
      </c>
      <c r="E388" t="s">
        <v>1194</v>
      </c>
      <c r="F388" t="s">
        <v>139</v>
      </c>
      <c r="G388" t="s">
        <v>12</v>
      </c>
      <c r="H388" t="s">
        <v>26</v>
      </c>
    </row>
    <row r="389" spans="1:8" x14ac:dyDescent="0.3">
      <c r="A389" t="s">
        <v>1195</v>
      </c>
      <c r="B389" t="s">
        <v>1196</v>
      </c>
      <c r="C389">
        <v>28</v>
      </c>
      <c r="D389" t="s">
        <v>16</v>
      </c>
      <c r="E389" t="s">
        <v>1197</v>
      </c>
      <c r="F389" t="s">
        <v>88</v>
      </c>
      <c r="G389" t="s">
        <v>12</v>
      </c>
      <c r="H389" t="s">
        <v>31</v>
      </c>
    </row>
    <row r="390" spans="1:8" x14ac:dyDescent="0.3">
      <c r="A390" t="s">
        <v>1198</v>
      </c>
      <c r="B390" t="s">
        <v>1199</v>
      </c>
      <c r="C390">
        <v>53</v>
      </c>
      <c r="D390" t="s">
        <v>9</v>
      </c>
      <c r="E390" t="s">
        <v>1200</v>
      </c>
      <c r="F390" t="s">
        <v>113</v>
      </c>
      <c r="G390" t="s">
        <v>12</v>
      </c>
      <c r="H390" t="s">
        <v>19</v>
      </c>
    </row>
    <row r="391" spans="1:8" x14ac:dyDescent="0.3">
      <c r="A391" t="s">
        <v>1201</v>
      </c>
      <c r="B391" t="s">
        <v>1202</v>
      </c>
      <c r="C391">
        <v>50</v>
      </c>
      <c r="D391" t="s">
        <v>9</v>
      </c>
      <c r="E391" t="s">
        <v>1203</v>
      </c>
      <c r="F391" t="s">
        <v>70</v>
      </c>
      <c r="G391" t="s">
        <v>12</v>
      </c>
      <c r="H391" t="s">
        <v>19</v>
      </c>
    </row>
    <row r="392" spans="1:8" x14ac:dyDescent="0.3">
      <c r="A392" t="s">
        <v>1204</v>
      </c>
      <c r="B392" t="s">
        <v>1205</v>
      </c>
      <c r="C392">
        <v>56</v>
      </c>
      <c r="D392" t="s">
        <v>9</v>
      </c>
      <c r="E392" t="s">
        <v>1206</v>
      </c>
      <c r="F392" t="s">
        <v>288</v>
      </c>
      <c r="G392" t="s">
        <v>12</v>
      </c>
      <c r="H392" t="s">
        <v>31</v>
      </c>
    </row>
    <row r="393" spans="1:8" x14ac:dyDescent="0.3">
      <c r="A393" t="s">
        <v>1207</v>
      </c>
      <c r="B393" t="s">
        <v>1208</v>
      </c>
      <c r="C393">
        <v>40</v>
      </c>
      <c r="D393" t="s">
        <v>16</v>
      </c>
      <c r="E393" t="s">
        <v>1209</v>
      </c>
      <c r="F393" t="s">
        <v>35</v>
      </c>
      <c r="G393" t="s">
        <v>12</v>
      </c>
      <c r="H393" t="s">
        <v>26</v>
      </c>
    </row>
    <row r="394" spans="1:8" x14ac:dyDescent="0.3">
      <c r="A394" t="s">
        <v>1210</v>
      </c>
      <c r="B394" t="s">
        <v>1211</v>
      </c>
      <c r="C394">
        <v>46</v>
      </c>
      <c r="D394" t="s">
        <v>9</v>
      </c>
      <c r="E394" t="s">
        <v>1212</v>
      </c>
      <c r="F394" t="s">
        <v>113</v>
      </c>
      <c r="G394" t="s">
        <v>12</v>
      </c>
      <c r="H394" t="s">
        <v>13</v>
      </c>
    </row>
    <row r="395" spans="1:8" x14ac:dyDescent="0.3">
      <c r="A395" t="s">
        <v>1213</v>
      </c>
      <c r="B395" t="s">
        <v>1214</v>
      </c>
      <c r="C395">
        <v>46</v>
      </c>
      <c r="D395" t="s">
        <v>9</v>
      </c>
      <c r="E395" t="s">
        <v>1215</v>
      </c>
      <c r="F395" t="s">
        <v>117</v>
      </c>
      <c r="G395" t="s">
        <v>12</v>
      </c>
      <c r="H395" t="s">
        <v>26</v>
      </c>
    </row>
    <row r="396" spans="1:8" x14ac:dyDescent="0.3">
      <c r="A396" t="s">
        <v>1216</v>
      </c>
      <c r="B396" t="s">
        <v>1217</v>
      </c>
      <c r="C396">
        <v>43</v>
      </c>
      <c r="D396" t="s">
        <v>16</v>
      </c>
      <c r="E396" t="s">
        <v>1218</v>
      </c>
      <c r="F396" t="s">
        <v>166</v>
      </c>
      <c r="G396" t="s">
        <v>12</v>
      </c>
      <c r="H396" t="s">
        <v>26</v>
      </c>
    </row>
    <row r="397" spans="1:8" x14ac:dyDescent="0.3">
      <c r="A397" t="s">
        <v>1219</v>
      </c>
      <c r="B397" t="s">
        <v>1220</v>
      </c>
      <c r="C397">
        <v>50</v>
      </c>
      <c r="D397" t="s">
        <v>9</v>
      </c>
      <c r="E397" t="s">
        <v>1221</v>
      </c>
      <c r="F397" t="s">
        <v>62</v>
      </c>
      <c r="G397" t="s">
        <v>12</v>
      </c>
      <c r="H397" t="s">
        <v>13</v>
      </c>
    </row>
    <row r="398" spans="1:8" x14ac:dyDescent="0.3">
      <c r="A398" t="s">
        <v>1222</v>
      </c>
      <c r="B398" t="s">
        <v>1223</v>
      </c>
      <c r="C398">
        <v>25</v>
      </c>
      <c r="D398" t="s">
        <v>16</v>
      </c>
      <c r="E398" t="s">
        <v>1224</v>
      </c>
      <c r="F398" t="s">
        <v>58</v>
      </c>
      <c r="G398" t="s">
        <v>12</v>
      </c>
      <c r="H398" t="s">
        <v>31</v>
      </c>
    </row>
    <row r="399" spans="1:8" x14ac:dyDescent="0.3">
      <c r="A399" t="s">
        <v>1225</v>
      </c>
      <c r="B399" t="s">
        <v>3822</v>
      </c>
      <c r="C399">
        <v>62</v>
      </c>
      <c r="D399" t="s">
        <v>16</v>
      </c>
      <c r="E399" t="s">
        <v>123</v>
      </c>
      <c r="F399" t="s">
        <v>62</v>
      </c>
      <c r="G399" t="s">
        <v>12</v>
      </c>
      <c r="H399" t="s">
        <v>19</v>
      </c>
    </row>
    <row r="400" spans="1:8" x14ac:dyDescent="0.3">
      <c r="A400" t="s">
        <v>1226</v>
      </c>
      <c r="B400" t="s">
        <v>1227</v>
      </c>
      <c r="C400">
        <v>54</v>
      </c>
      <c r="D400" t="s">
        <v>9</v>
      </c>
      <c r="E400" t="s">
        <v>1228</v>
      </c>
      <c r="F400" t="s">
        <v>47</v>
      </c>
      <c r="G400" t="s">
        <v>12</v>
      </c>
      <c r="H400" t="s">
        <v>26</v>
      </c>
    </row>
    <row r="401" spans="1:8" x14ac:dyDescent="0.3">
      <c r="A401" t="s">
        <v>1229</v>
      </c>
      <c r="B401" t="s">
        <v>1230</v>
      </c>
      <c r="C401">
        <v>27</v>
      </c>
      <c r="D401" t="s">
        <v>9</v>
      </c>
      <c r="E401" t="s">
        <v>1231</v>
      </c>
      <c r="F401" t="s">
        <v>429</v>
      </c>
      <c r="G401" t="s">
        <v>12</v>
      </c>
      <c r="H401" t="s">
        <v>26</v>
      </c>
    </row>
    <row r="402" spans="1:8" x14ac:dyDescent="0.3">
      <c r="A402" t="s">
        <v>1232</v>
      </c>
      <c r="B402" t="s">
        <v>1233</v>
      </c>
      <c r="C402">
        <v>57</v>
      </c>
      <c r="D402" t="s">
        <v>16</v>
      </c>
      <c r="E402" t="s">
        <v>1234</v>
      </c>
      <c r="F402" t="s">
        <v>96</v>
      </c>
      <c r="G402" t="s">
        <v>12</v>
      </c>
      <c r="H402" t="s">
        <v>19</v>
      </c>
    </row>
    <row r="403" spans="1:8" x14ac:dyDescent="0.3">
      <c r="A403" t="s">
        <v>1235</v>
      </c>
      <c r="B403" t="s">
        <v>1236</v>
      </c>
      <c r="C403">
        <v>51</v>
      </c>
      <c r="D403" t="s">
        <v>16</v>
      </c>
      <c r="E403" t="s">
        <v>1237</v>
      </c>
      <c r="F403" t="s">
        <v>181</v>
      </c>
      <c r="G403" t="s">
        <v>12</v>
      </c>
      <c r="H403" t="s">
        <v>19</v>
      </c>
    </row>
    <row r="404" spans="1:8" x14ac:dyDescent="0.3">
      <c r="A404" t="s">
        <v>1238</v>
      </c>
      <c r="B404" t="s">
        <v>1239</v>
      </c>
      <c r="C404">
        <v>31</v>
      </c>
      <c r="D404" t="s">
        <v>9</v>
      </c>
      <c r="E404" t="s">
        <v>80</v>
      </c>
      <c r="F404" t="s">
        <v>309</v>
      </c>
      <c r="G404" t="s">
        <v>12</v>
      </c>
      <c r="H404" t="s">
        <v>26</v>
      </c>
    </row>
    <row r="405" spans="1:8" x14ac:dyDescent="0.3">
      <c r="A405" t="s">
        <v>1240</v>
      </c>
      <c r="B405" t="s">
        <v>1241</v>
      </c>
      <c r="C405">
        <v>34</v>
      </c>
      <c r="D405" t="s">
        <v>9</v>
      </c>
      <c r="E405" t="s">
        <v>1242</v>
      </c>
      <c r="F405" t="s">
        <v>323</v>
      </c>
      <c r="G405" t="s">
        <v>12</v>
      </c>
      <c r="H405" t="s">
        <v>26</v>
      </c>
    </row>
    <row r="406" spans="1:8" x14ac:dyDescent="0.3">
      <c r="A406" t="s">
        <v>1243</v>
      </c>
      <c r="B406" t="s">
        <v>1244</v>
      </c>
      <c r="C406">
        <v>22</v>
      </c>
      <c r="D406" t="s">
        <v>16</v>
      </c>
      <c r="E406" t="s">
        <v>1245</v>
      </c>
      <c r="F406" t="s">
        <v>288</v>
      </c>
      <c r="G406" t="s">
        <v>12</v>
      </c>
      <c r="H406" t="s">
        <v>31</v>
      </c>
    </row>
    <row r="407" spans="1:8" x14ac:dyDescent="0.3">
      <c r="A407" t="s">
        <v>1246</v>
      </c>
      <c r="B407" t="s">
        <v>1247</v>
      </c>
      <c r="C407">
        <v>18</v>
      </c>
      <c r="D407" t="s">
        <v>16</v>
      </c>
      <c r="E407" t="s">
        <v>1248</v>
      </c>
      <c r="F407" t="s">
        <v>323</v>
      </c>
      <c r="G407" t="s">
        <v>12</v>
      </c>
      <c r="H407" t="s">
        <v>13</v>
      </c>
    </row>
    <row r="408" spans="1:8" x14ac:dyDescent="0.3">
      <c r="A408" t="s">
        <v>1249</v>
      </c>
      <c r="B408" t="s">
        <v>1250</v>
      </c>
      <c r="C408">
        <v>23</v>
      </c>
      <c r="D408" t="s">
        <v>16</v>
      </c>
      <c r="E408" t="s">
        <v>1251</v>
      </c>
      <c r="F408" t="s">
        <v>319</v>
      </c>
      <c r="G408" t="s">
        <v>12</v>
      </c>
      <c r="H408" t="s">
        <v>13</v>
      </c>
    </row>
    <row r="409" spans="1:8" x14ac:dyDescent="0.3">
      <c r="A409" t="s">
        <v>1252</v>
      </c>
      <c r="B409" t="s">
        <v>1253</v>
      </c>
      <c r="C409">
        <v>33</v>
      </c>
      <c r="D409" t="s">
        <v>9</v>
      </c>
      <c r="E409" t="s">
        <v>1254</v>
      </c>
      <c r="F409" t="s">
        <v>139</v>
      </c>
      <c r="G409" t="s">
        <v>12</v>
      </c>
      <c r="H409" t="s">
        <v>13</v>
      </c>
    </row>
    <row r="410" spans="1:8" x14ac:dyDescent="0.3">
      <c r="A410" t="s">
        <v>1255</v>
      </c>
      <c r="B410" t="s">
        <v>1256</v>
      </c>
      <c r="C410">
        <v>36</v>
      </c>
      <c r="D410" t="s">
        <v>9</v>
      </c>
      <c r="E410" t="s">
        <v>1257</v>
      </c>
      <c r="F410" t="s">
        <v>88</v>
      </c>
      <c r="G410" t="s">
        <v>12</v>
      </c>
      <c r="H410" t="s">
        <v>13</v>
      </c>
    </row>
    <row r="411" spans="1:8" x14ac:dyDescent="0.3">
      <c r="A411" t="s">
        <v>1258</v>
      </c>
      <c r="B411" t="s">
        <v>1259</v>
      </c>
      <c r="C411">
        <v>55</v>
      </c>
      <c r="D411" t="s">
        <v>9</v>
      </c>
      <c r="E411" t="s">
        <v>1260</v>
      </c>
      <c r="F411" t="s">
        <v>838</v>
      </c>
      <c r="G411" t="s">
        <v>12</v>
      </c>
      <c r="H411" t="s">
        <v>13</v>
      </c>
    </row>
    <row r="412" spans="1:8" x14ac:dyDescent="0.3">
      <c r="A412" t="s">
        <v>1261</v>
      </c>
      <c r="B412" t="s">
        <v>1262</v>
      </c>
      <c r="C412">
        <v>48</v>
      </c>
      <c r="D412" t="s">
        <v>16</v>
      </c>
      <c r="E412" t="s">
        <v>1263</v>
      </c>
      <c r="F412" t="s">
        <v>88</v>
      </c>
      <c r="G412" t="s">
        <v>12</v>
      </c>
      <c r="H412" t="s">
        <v>26</v>
      </c>
    </row>
    <row r="413" spans="1:8" x14ac:dyDescent="0.3">
      <c r="A413" t="s">
        <v>1264</v>
      </c>
      <c r="B413" t="s">
        <v>1265</v>
      </c>
      <c r="C413">
        <v>63</v>
      </c>
      <c r="D413" t="s">
        <v>9</v>
      </c>
      <c r="E413" t="s">
        <v>1266</v>
      </c>
      <c r="F413" t="s">
        <v>25</v>
      </c>
      <c r="G413" t="s">
        <v>12</v>
      </c>
      <c r="H413" t="s">
        <v>31</v>
      </c>
    </row>
    <row r="414" spans="1:8" x14ac:dyDescent="0.3">
      <c r="A414" t="s">
        <v>1267</v>
      </c>
      <c r="B414" t="s">
        <v>1268</v>
      </c>
      <c r="C414">
        <v>23</v>
      </c>
      <c r="D414" t="s">
        <v>16</v>
      </c>
      <c r="E414" t="s">
        <v>201</v>
      </c>
      <c r="F414" t="s">
        <v>155</v>
      </c>
      <c r="G414" t="s">
        <v>12</v>
      </c>
      <c r="H414" t="s">
        <v>13</v>
      </c>
    </row>
    <row r="415" spans="1:8" x14ac:dyDescent="0.3">
      <c r="A415" t="s">
        <v>1269</v>
      </c>
      <c r="B415" t="s">
        <v>1270</v>
      </c>
      <c r="C415">
        <v>59</v>
      </c>
      <c r="D415" t="s">
        <v>16</v>
      </c>
      <c r="E415" t="s">
        <v>1271</v>
      </c>
      <c r="F415" t="s">
        <v>106</v>
      </c>
      <c r="G415" t="s">
        <v>12</v>
      </c>
      <c r="H415" t="s">
        <v>26</v>
      </c>
    </row>
    <row r="416" spans="1:8" x14ac:dyDescent="0.3">
      <c r="A416" t="s">
        <v>1272</v>
      </c>
      <c r="B416" t="s">
        <v>1273</v>
      </c>
      <c r="C416">
        <v>35</v>
      </c>
      <c r="D416" t="s">
        <v>16</v>
      </c>
      <c r="E416" t="s">
        <v>1274</v>
      </c>
      <c r="F416" t="s">
        <v>113</v>
      </c>
      <c r="G416" t="s">
        <v>12</v>
      </c>
      <c r="H416" t="s">
        <v>13</v>
      </c>
    </row>
    <row r="417" spans="1:8" x14ac:dyDescent="0.3">
      <c r="A417" t="s">
        <v>1275</v>
      </c>
      <c r="B417" t="s">
        <v>1276</v>
      </c>
      <c r="C417">
        <v>26</v>
      </c>
      <c r="D417" t="s">
        <v>16</v>
      </c>
      <c r="E417" t="s">
        <v>1277</v>
      </c>
      <c r="F417" t="s">
        <v>162</v>
      </c>
      <c r="G417" t="s">
        <v>12</v>
      </c>
      <c r="H417" t="s">
        <v>31</v>
      </c>
    </row>
    <row r="418" spans="1:8" x14ac:dyDescent="0.3">
      <c r="A418" t="s">
        <v>1278</v>
      </c>
      <c r="B418" t="s">
        <v>1279</v>
      </c>
      <c r="C418">
        <v>46</v>
      </c>
      <c r="D418" t="s">
        <v>9</v>
      </c>
      <c r="E418" t="s">
        <v>1280</v>
      </c>
      <c r="F418" t="s">
        <v>319</v>
      </c>
      <c r="G418" t="s">
        <v>12</v>
      </c>
      <c r="H418" t="s">
        <v>19</v>
      </c>
    </row>
    <row r="419" spans="1:8" x14ac:dyDescent="0.3">
      <c r="A419" t="s">
        <v>1281</v>
      </c>
      <c r="B419" t="s">
        <v>1282</v>
      </c>
      <c r="C419">
        <v>64</v>
      </c>
      <c r="D419" t="s">
        <v>16</v>
      </c>
      <c r="E419" t="s">
        <v>1283</v>
      </c>
      <c r="F419" t="s">
        <v>11</v>
      </c>
      <c r="G419" t="s">
        <v>12</v>
      </c>
      <c r="H419" t="s">
        <v>26</v>
      </c>
    </row>
    <row r="420" spans="1:8" x14ac:dyDescent="0.3">
      <c r="A420" t="s">
        <v>1284</v>
      </c>
      <c r="B420" t="s">
        <v>1285</v>
      </c>
      <c r="C420">
        <v>60</v>
      </c>
      <c r="D420" t="s">
        <v>16</v>
      </c>
      <c r="E420" t="s">
        <v>1286</v>
      </c>
      <c r="F420" t="s">
        <v>47</v>
      </c>
      <c r="G420" t="s">
        <v>12</v>
      </c>
      <c r="H420" t="s">
        <v>31</v>
      </c>
    </row>
    <row r="421" spans="1:8" x14ac:dyDescent="0.3">
      <c r="A421" t="s">
        <v>1287</v>
      </c>
      <c r="B421" t="s">
        <v>1288</v>
      </c>
      <c r="C421">
        <v>33</v>
      </c>
      <c r="D421" t="s">
        <v>9</v>
      </c>
      <c r="E421" t="s">
        <v>1289</v>
      </c>
      <c r="F421" t="s">
        <v>309</v>
      </c>
      <c r="G421" t="s">
        <v>12</v>
      </c>
      <c r="H421" t="s">
        <v>13</v>
      </c>
    </row>
    <row r="422" spans="1:8" x14ac:dyDescent="0.3">
      <c r="A422" t="s">
        <v>1290</v>
      </c>
      <c r="B422" t="s">
        <v>3823</v>
      </c>
      <c r="C422">
        <v>60</v>
      </c>
      <c r="D422" t="s">
        <v>9</v>
      </c>
      <c r="E422" t="s">
        <v>1291</v>
      </c>
      <c r="F422" t="s">
        <v>11</v>
      </c>
      <c r="G422" t="s">
        <v>12</v>
      </c>
      <c r="H422" t="s">
        <v>26</v>
      </c>
    </row>
    <row r="423" spans="1:8" x14ac:dyDescent="0.3">
      <c r="A423" t="s">
        <v>1292</v>
      </c>
      <c r="B423" t="s">
        <v>1293</v>
      </c>
      <c r="C423">
        <v>45</v>
      </c>
      <c r="D423" t="s">
        <v>16</v>
      </c>
      <c r="E423" t="s">
        <v>1294</v>
      </c>
      <c r="F423" t="s">
        <v>74</v>
      </c>
      <c r="G423" t="s">
        <v>12</v>
      </c>
      <c r="H423" t="s">
        <v>19</v>
      </c>
    </row>
    <row r="424" spans="1:8" x14ac:dyDescent="0.3">
      <c r="A424" t="s">
        <v>1295</v>
      </c>
      <c r="B424" t="s">
        <v>3824</v>
      </c>
      <c r="C424">
        <v>42</v>
      </c>
      <c r="D424" t="s">
        <v>16</v>
      </c>
      <c r="E424" t="s">
        <v>1296</v>
      </c>
      <c r="F424" t="s">
        <v>62</v>
      </c>
      <c r="G424" t="s">
        <v>12</v>
      </c>
      <c r="H424" t="s">
        <v>19</v>
      </c>
    </row>
    <row r="425" spans="1:8" x14ac:dyDescent="0.3">
      <c r="A425" t="s">
        <v>1297</v>
      </c>
      <c r="B425" t="s">
        <v>1298</v>
      </c>
      <c r="C425">
        <v>35</v>
      </c>
      <c r="D425" t="s">
        <v>9</v>
      </c>
      <c r="E425" t="s">
        <v>1299</v>
      </c>
      <c r="F425" t="s">
        <v>62</v>
      </c>
      <c r="G425" t="s">
        <v>12</v>
      </c>
      <c r="H425" t="s">
        <v>31</v>
      </c>
    </row>
    <row r="426" spans="1:8" x14ac:dyDescent="0.3">
      <c r="A426" t="s">
        <v>1300</v>
      </c>
      <c r="B426" t="s">
        <v>1301</v>
      </c>
      <c r="C426">
        <v>53</v>
      </c>
      <c r="D426" t="s">
        <v>9</v>
      </c>
      <c r="E426" t="s">
        <v>1302</v>
      </c>
      <c r="F426" t="s">
        <v>11</v>
      </c>
      <c r="G426" t="s">
        <v>12</v>
      </c>
      <c r="H426" t="s">
        <v>26</v>
      </c>
    </row>
    <row r="427" spans="1:8" x14ac:dyDescent="0.3">
      <c r="A427" t="s">
        <v>1303</v>
      </c>
      <c r="B427" t="s">
        <v>1304</v>
      </c>
      <c r="C427">
        <v>40</v>
      </c>
      <c r="D427" t="s">
        <v>9</v>
      </c>
      <c r="E427" t="s">
        <v>1305</v>
      </c>
      <c r="F427" t="s">
        <v>117</v>
      </c>
      <c r="G427" t="s">
        <v>12</v>
      </c>
      <c r="H427" t="s">
        <v>26</v>
      </c>
    </row>
    <row r="428" spans="1:8" x14ac:dyDescent="0.3">
      <c r="A428" t="s">
        <v>1306</v>
      </c>
      <c r="B428" t="s">
        <v>1307</v>
      </c>
      <c r="C428">
        <v>28</v>
      </c>
      <c r="D428" t="s">
        <v>9</v>
      </c>
      <c r="E428" t="s">
        <v>1308</v>
      </c>
      <c r="F428" t="s">
        <v>11</v>
      </c>
      <c r="G428" t="s">
        <v>12</v>
      </c>
      <c r="H428" t="s">
        <v>19</v>
      </c>
    </row>
    <row r="429" spans="1:8" x14ac:dyDescent="0.3">
      <c r="A429" t="s">
        <v>1309</v>
      </c>
      <c r="B429" t="s">
        <v>1310</v>
      </c>
      <c r="C429">
        <v>18</v>
      </c>
      <c r="D429" t="s">
        <v>16</v>
      </c>
      <c r="E429" t="s">
        <v>1311</v>
      </c>
      <c r="F429" t="s">
        <v>429</v>
      </c>
      <c r="G429" t="s">
        <v>12</v>
      </c>
      <c r="H429" t="s">
        <v>13</v>
      </c>
    </row>
    <row r="430" spans="1:8" x14ac:dyDescent="0.3">
      <c r="A430" t="s">
        <v>1312</v>
      </c>
      <c r="B430" t="s">
        <v>1313</v>
      </c>
      <c r="C430">
        <v>27</v>
      </c>
      <c r="D430" t="s">
        <v>16</v>
      </c>
      <c r="E430" t="s">
        <v>1314</v>
      </c>
      <c r="F430" t="s">
        <v>323</v>
      </c>
      <c r="G430" t="s">
        <v>12</v>
      </c>
      <c r="H430" t="s">
        <v>26</v>
      </c>
    </row>
    <row r="431" spans="1:8" x14ac:dyDescent="0.3">
      <c r="A431" t="s">
        <v>1315</v>
      </c>
      <c r="B431" t="s">
        <v>1316</v>
      </c>
      <c r="C431">
        <v>43</v>
      </c>
      <c r="D431" t="s">
        <v>9</v>
      </c>
      <c r="E431" t="s">
        <v>1317</v>
      </c>
      <c r="F431" t="s">
        <v>106</v>
      </c>
      <c r="G431" t="s">
        <v>12</v>
      </c>
      <c r="H431" t="s">
        <v>19</v>
      </c>
    </row>
    <row r="432" spans="1:8" x14ac:dyDescent="0.3">
      <c r="A432" t="s">
        <v>1318</v>
      </c>
      <c r="B432" t="s">
        <v>1319</v>
      </c>
      <c r="C432">
        <v>36</v>
      </c>
      <c r="D432" t="s">
        <v>16</v>
      </c>
      <c r="E432" t="s">
        <v>1320</v>
      </c>
      <c r="F432" t="s">
        <v>88</v>
      </c>
      <c r="G432" t="s">
        <v>12</v>
      </c>
      <c r="H432" t="s">
        <v>13</v>
      </c>
    </row>
    <row r="433" spans="1:8" x14ac:dyDescent="0.3">
      <c r="A433" t="s">
        <v>1321</v>
      </c>
      <c r="B433" t="s">
        <v>1322</v>
      </c>
      <c r="C433">
        <v>27</v>
      </c>
      <c r="D433" t="s">
        <v>9</v>
      </c>
      <c r="E433" t="s">
        <v>1323</v>
      </c>
      <c r="F433" t="s">
        <v>30</v>
      </c>
      <c r="G433" t="s">
        <v>12</v>
      </c>
      <c r="H433" t="s">
        <v>19</v>
      </c>
    </row>
    <row r="434" spans="1:8" x14ac:dyDescent="0.3">
      <c r="A434" t="s">
        <v>1324</v>
      </c>
      <c r="B434" t="s">
        <v>1325</v>
      </c>
      <c r="C434">
        <v>37</v>
      </c>
      <c r="D434" t="s">
        <v>9</v>
      </c>
      <c r="E434" t="s">
        <v>1326</v>
      </c>
      <c r="F434" t="s">
        <v>88</v>
      </c>
      <c r="G434" t="s">
        <v>12</v>
      </c>
      <c r="H434" t="s">
        <v>26</v>
      </c>
    </row>
    <row r="435" spans="1:8" x14ac:dyDescent="0.3">
      <c r="A435" t="s">
        <v>1327</v>
      </c>
      <c r="B435" t="s">
        <v>1328</v>
      </c>
      <c r="C435">
        <v>51</v>
      </c>
      <c r="D435" t="s">
        <v>16</v>
      </c>
      <c r="E435" t="s">
        <v>1329</v>
      </c>
      <c r="F435" t="s">
        <v>58</v>
      </c>
      <c r="G435" t="s">
        <v>12</v>
      </c>
      <c r="H435" t="s">
        <v>31</v>
      </c>
    </row>
    <row r="436" spans="1:8" x14ac:dyDescent="0.3">
      <c r="A436" t="s">
        <v>1330</v>
      </c>
      <c r="B436" t="s">
        <v>1331</v>
      </c>
      <c r="C436">
        <v>48</v>
      </c>
      <c r="D436" t="s">
        <v>16</v>
      </c>
      <c r="E436" t="s">
        <v>1332</v>
      </c>
      <c r="F436" t="s">
        <v>251</v>
      </c>
      <c r="G436" t="s">
        <v>12</v>
      </c>
      <c r="H436" t="s">
        <v>13</v>
      </c>
    </row>
    <row r="437" spans="1:8" x14ac:dyDescent="0.3">
      <c r="A437" t="s">
        <v>1333</v>
      </c>
      <c r="B437" t="s">
        <v>1334</v>
      </c>
      <c r="C437">
        <v>37</v>
      </c>
      <c r="D437" t="s">
        <v>16</v>
      </c>
      <c r="E437" t="s">
        <v>1335</v>
      </c>
      <c r="F437" t="s">
        <v>106</v>
      </c>
      <c r="G437" t="s">
        <v>12</v>
      </c>
      <c r="H437" t="s">
        <v>31</v>
      </c>
    </row>
    <row r="438" spans="1:8" x14ac:dyDescent="0.3">
      <c r="A438" t="s">
        <v>1336</v>
      </c>
      <c r="B438" t="s">
        <v>1337</v>
      </c>
      <c r="C438">
        <v>61</v>
      </c>
      <c r="D438" t="s">
        <v>9</v>
      </c>
      <c r="E438" t="s">
        <v>1338</v>
      </c>
      <c r="F438" t="s">
        <v>39</v>
      </c>
      <c r="G438" t="s">
        <v>12</v>
      </c>
      <c r="H438" t="s">
        <v>13</v>
      </c>
    </row>
    <row r="439" spans="1:8" x14ac:dyDescent="0.3">
      <c r="A439" t="s">
        <v>1339</v>
      </c>
      <c r="B439" t="s">
        <v>1340</v>
      </c>
      <c r="C439">
        <v>47</v>
      </c>
      <c r="D439" t="s">
        <v>16</v>
      </c>
      <c r="E439" t="s">
        <v>591</v>
      </c>
      <c r="F439" t="s">
        <v>47</v>
      </c>
      <c r="G439" t="s">
        <v>12</v>
      </c>
      <c r="H439" t="s">
        <v>19</v>
      </c>
    </row>
    <row r="440" spans="1:8" x14ac:dyDescent="0.3">
      <c r="A440" t="s">
        <v>1341</v>
      </c>
      <c r="B440" t="s">
        <v>1342</v>
      </c>
      <c r="C440">
        <v>59</v>
      </c>
      <c r="D440" t="s">
        <v>16</v>
      </c>
      <c r="E440" t="s">
        <v>1343</v>
      </c>
      <c r="F440" t="s">
        <v>234</v>
      </c>
      <c r="G440" t="s">
        <v>12</v>
      </c>
      <c r="H440" t="s">
        <v>19</v>
      </c>
    </row>
    <row r="441" spans="1:8" x14ac:dyDescent="0.3">
      <c r="A441" t="s">
        <v>1344</v>
      </c>
      <c r="B441" t="s">
        <v>1345</v>
      </c>
      <c r="C441">
        <v>53</v>
      </c>
      <c r="D441" t="s">
        <v>9</v>
      </c>
      <c r="E441" t="s">
        <v>922</v>
      </c>
      <c r="F441" t="s">
        <v>155</v>
      </c>
      <c r="G441" t="s">
        <v>12</v>
      </c>
      <c r="H441" t="s">
        <v>31</v>
      </c>
    </row>
    <row r="442" spans="1:8" x14ac:dyDescent="0.3">
      <c r="A442" t="s">
        <v>1346</v>
      </c>
      <c r="B442" t="s">
        <v>1347</v>
      </c>
      <c r="C442">
        <v>60</v>
      </c>
      <c r="D442" t="s">
        <v>9</v>
      </c>
      <c r="E442" t="s">
        <v>1348</v>
      </c>
      <c r="F442" t="s">
        <v>18</v>
      </c>
      <c r="G442" t="s">
        <v>12</v>
      </c>
      <c r="H442" t="s">
        <v>31</v>
      </c>
    </row>
    <row r="443" spans="1:8" x14ac:dyDescent="0.3">
      <c r="A443" t="s">
        <v>1349</v>
      </c>
      <c r="B443" t="s">
        <v>1350</v>
      </c>
      <c r="C443">
        <v>31</v>
      </c>
      <c r="D443" t="s">
        <v>9</v>
      </c>
      <c r="E443" t="s">
        <v>1351</v>
      </c>
      <c r="F443" t="s">
        <v>319</v>
      </c>
      <c r="G443" t="s">
        <v>12</v>
      </c>
      <c r="H443" t="s">
        <v>31</v>
      </c>
    </row>
    <row r="444" spans="1:8" x14ac:dyDescent="0.3">
      <c r="A444" t="s">
        <v>1352</v>
      </c>
      <c r="B444" t="s">
        <v>1353</v>
      </c>
      <c r="C444">
        <v>42</v>
      </c>
      <c r="D444" t="s">
        <v>16</v>
      </c>
      <c r="E444" t="s">
        <v>1354</v>
      </c>
      <c r="F444" t="s">
        <v>35</v>
      </c>
      <c r="G444" t="s">
        <v>12</v>
      </c>
      <c r="H444" t="s">
        <v>26</v>
      </c>
    </row>
    <row r="445" spans="1:8" x14ac:dyDescent="0.3">
      <c r="A445" t="s">
        <v>1355</v>
      </c>
      <c r="B445" t="s">
        <v>1356</v>
      </c>
      <c r="C445">
        <v>51</v>
      </c>
      <c r="D445" t="s">
        <v>9</v>
      </c>
      <c r="E445" t="s">
        <v>1357</v>
      </c>
      <c r="F445" t="s">
        <v>354</v>
      </c>
      <c r="G445" t="s">
        <v>12</v>
      </c>
      <c r="H445" t="s">
        <v>31</v>
      </c>
    </row>
    <row r="446" spans="1:8" x14ac:dyDescent="0.3">
      <c r="A446" t="s">
        <v>1358</v>
      </c>
      <c r="B446" t="s">
        <v>1359</v>
      </c>
      <c r="C446">
        <v>19</v>
      </c>
      <c r="D446" t="s">
        <v>9</v>
      </c>
      <c r="E446" t="s">
        <v>1360</v>
      </c>
      <c r="F446" t="s">
        <v>838</v>
      </c>
      <c r="G446" t="s">
        <v>12</v>
      </c>
      <c r="H446" t="s">
        <v>13</v>
      </c>
    </row>
    <row r="447" spans="1:8" x14ac:dyDescent="0.3">
      <c r="A447" t="s">
        <v>1361</v>
      </c>
      <c r="B447" t="s">
        <v>1362</v>
      </c>
      <c r="C447">
        <v>41</v>
      </c>
      <c r="D447" t="s">
        <v>16</v>
      </c>
      <c r="E447" t="s">
        <v>1363</v>
      </c>
      <c r="F447" t="s">
        <v>284</v>
      </c>
      <c r="G447" t="s">
        <v>12</v>
      </c>
      <c r="H447" t="s">
        <v>19</v>
      </c>
    </row>
    <row r="448" spans="1:8" x14ac:dyDescent="0.3">
      <c r="A448" t="s">
        <v>1364</v>
      </c>
      <c r="B448" t="s">
        <v>1365</v>
      </c>
      <c r="C448">
        <v>35</v>
      </c>
      <c r="D448" t="s">
        <v>9</v>
      </c>
      <c r="E448" t="s">
        <v>1366</v>
      </c>
      <c r="F448" t="s">
        <v>96</v>
      </c>
      <c r="G448" t="s">
        <v>12</v>
      </c>
      <c r="H448" t="s">
        <v>31</v>
      </c>
    </row>
    <row r="449" spans="1:8" x14ac:dyDescent="0.3">
      <c r="A449" t="s">
        <v>1367</v>
      </c>
      <c r="B449" t="s">
        <v>1368</v>
      </c>
      <c r="C449">
        <v>45</v>
      </c>
      <c r="D449" t="s">
        <v>9</v>
      </c>
      <c r="E449" t="s">
        <v>1369</v>
      </c>
      <c r="F449" t="s">
        <v>11</v>
      </c>
      <c r="G449" t="s">
        <v>12</v>
      </c>
      <c r="H449" t="s">
        <v>13</v>
      </c>
    </row>
    <row r="450" spans="1:8" x14ac:dyDescent="0.3">
      <c r="A450" t="s">
        <v>1370</v>
      </c>
      <c r="B450" t="s">
        <v>1371</v>
      </c>
      <c r="C450">
        <v>64</v>
      </c>
      <c r="D450" t="s">
        <v>16</v>
      </c>
      <c r="E450" t="s">
        <v>1372</v>
      </c>
      <c r="F450" t="s">
        <v>838</v>
      </c>
      <c r="G450" t="s">
        <v>12</v>
      </c>
      <c r="H450" t="s">
        <v>26</v>
      </c>
    </row>
    <row r="451" spans="1:8" x14ac:dyDescent="0.3">
      <c r="A451" t="s">
        <v>1373</v>
      </c>
      <c r="B451" t="s">
        <v>1374</v>
      </c>
      <c r="C451">
        <v>29</v>
      </c>
      <c r="D451" t="s">
        <v>9</v>
      </c>
      <c r="E451" t="s">
        <v>1375</v>
      </c>
      <c r="F451" t="s">
        <v>25</v>
      </c>
      <c r="G451" t="s">
        <v>12</v>
      </c>
      <c r="H451" t="s">
        <v>26</v>
      </c>
    </row>
    <row r="452" spans="1:8" x14ac:dyDescent="0.3">
      <c r="A452" t="s">
        <v>1376</v>
      </c>
      <c r="B452" t="s">
        <v>1377</v>
      </c>
      <c r="C452">
        <v>59</v>
      </c>
      <c r="D452" t="s">
        <v>9</v>
      </c>
      <c r="E452" t="s">
        <v>1378</v>
      </c>
      <c r="F452" t="s">
        <v>70</v>
      </c>
      <c r="G452" t="s">
        <v>12</v>
      </c>
      <c r="H452" t="s">
        <v>26</v>
      </c>
    </row>
    <row r="453" spans="1:8" x14ac:dyDescent="0.3">
      <c r="A453" t="s">
        <v>1379</v>
      </c>
      <c r="B453" t="s">
        <v>1380</v>
      </c>
      <c r="C453">
        <v>46</v>
      </c>
      <c r="D453" t="s">
        <v>9</v>
      </c>
      <c r="E453" t="s">
        <v>559</v>
      </c>
      <c r="F453" t="s">
        <v>230</v>
      </c>
      <c r="G453" t="s">
        <v>12</v>
      </c>
      <c r="H453" t="s">
        <v>13</v>
      </c>
    </row>
    <row r="454" spans="1:8" x14ac:dyDescent="0.3">
      <c r="A454" t="s">
        <v>1381</v>
      </c>
      <c r="B454" t="s">
        <v>1382</v>
      </c>
      <c r="C454">
        <v>60</v>
      </c>
      <c r="D454" t="s">
        <v>16</v>
      </c>
      <c r="E454" t="s">
        <v>1383</v>
      </c>
      <c r="F454" t="s">
        <v>309</v>
      </c>
      <c r="G454" t="s">
        <v>12</v>
      </c>
      <c r="H454" t="s">
        <v>26</v>
      </c>
    </row>
    <row r="455" spans="1:8" x14ac:dyDescent="0.3">
      <c r="A455" t="s">
        <v>1384</v>
      </c>
      <c r="B455" t="s">
        <v>1385</v>
      </c>
      <c r="C455">
        <v>62</v>
      </c>
      <c r="D455" t="s">
        <v>16</v>
      </c>
      <c r="E455" t="s">
        <v>1386</v>
      </c>
      <c r="F455" t="s">
        <v>99</v>
      </c>
      <c r="G455" t="s">
        <v>12</v>
      </c>
      <c r="H455" t="s">
        <v>19</v>
      </c>
    </row>
    <row r="456" spans="1:8" x14ac:dyDescent="0.3">
      <c r="A456" t="s">
        <v>1387</v>
      </c>
      <c r="B456" t="s">
        <v>1388</v>
      </c>
      <c r="C456">
        <v>60</v>
      </c>
      <c r="D456" t="s">
        <v>9</v>
      </c>
      <c r="E456" t="s">
        <v>129</v>
      </c>
      <c r="F456" t="s">
        <v>96</v>
      </c>
      <c r="G456" t="s">
        <v>12</v>
      </c>
      <c r="H456" t="s">
        <v>13</v>
      </c>
    </row>
    <row r="457" spans="1:8" x14ac:dyDescent="0.3">
      <c r="A457" t="s">
        <v>1389</v>
      </c>
      <c r="B457" t="s">
        <v>1390</v>
      </c>
      <c r="C457">
        <v>54</v>
      </c>
      <c r="D457" t="s">
        <v>9</v>
      </c>
      <c r="E457" t="s">
        <v>1391</v>
      </c>
      <c r="F457" t="s">
        <v>191</v>
      </c>
      <c r="G457" t="s">
        <v>12</v>
      </c>
      <c r="H457" t="s">
        <v>13</v>
      </c>
    </row>
    <row r="458" spans="1:8" x14ac:dyDescent="0.3">
      <c r="A458" t="s">
        <v>1392</v>
      </c>
      <c r="B458" t="s">
        <v>1393</v>
      </c>
      <c r="C458">
        <v>59</v>
      </c>
      <c r="D458" t="s">
        <v>16</v>
      </c>
      <c r="E458" t="s">
        <v>1394</v>
      </c>
      <c r="F458" t="s">
        <v>288</v>
      </c>
      <c r="G458" t="s">
        <v>12</v>
      </c>
      <c r="H458" t="s">
        <v>13</v>
      </c>
    </row>
    <row r="459" spans="1:8" x14ac:dyDescent="0.3">
      <c r="A459" t="s">
        <v>1395</v>
      </c>
      <c r="B459" t="s">
        <v>1396</v>
      </c>
      <c r="C459">
        <v>59</v>
      </c>
      <c r="D459" t="s">
        <v>9</v>
      </c>
      <c r="E459" t="s">
        <v>1397</v>
      </c>
      <c r="F459" t="s">
        <v>582</v>
      </c>
      <c r="G459" t="s">
        <v>12</v>
      </c>
      <c r="H459" t="s">
        <v>19</v>
      </c>
    </row>
    <row r="460" spans="1:8" x14ac:dyDescent="0.3">
      <c r="A460" t="s">
        <v>1398</v>
      </c>
      <c r="B460" t="s">
        <v>1399</v>
      </c>
      <c r="C460">
        <v>62</v>
      </c>
      <c r="D460" t="s">
        <v>16</v>
      </c>
      <c r="E460" t="s">
        <v>1400</v>
      </c>
      <c r="F460" t="s">
        <v>51</v>
      </c>
      <c r="G460" t="s">
        <v>12</v>
      </c>
      <c r="H460" t="s">
        <v>31</v>
      </c>
    </row>
    <row r="461" spans="1:8" x14ac:dyDescent="0.3">
      <c r="A461" t="s">
        <v>1401</v>
      </c>
      <c r="B461" t="s">
        <v>673</v>
      </c>
      <c r="C461">
        <v>29</v>
      </c>
      <c r="D461" t="s">
        <v>16</v>
      </c>
      <c r="E461" t="s">
        <v>1402</v>
      </c>
      <c r="F461" t="s">
        <v>312</v>
      </c>
      <c r="G461" t="s">
        <v>12</v>
      </c>
      <c r="H461" t="s">
        <v>13</v>
      </c>
    </row>
    <row r="462" spans="1:8" x14ac:dyDescent="0.3">
      <c r="A462" t="s">
        <v>1403</v>
      </c>
      <c r="B462" t="s">
        <v>1404</v>
      </c>
      <c r="C462">
        <v>35</v>
      </c>
      <c r="D462" t="s">
        <v>9</v>
      </c>
      <c r="E462" t="s">
        <v>1405</v>
      </c>
      <c r="F462" t="s">
        <v>264</v>
      </c>
      <c r="G462" t="s">
        <v>12</v>
      </c>
      <c r="H462" t="s">
        <v>13</v>
      </c>
    </row>
    <row r="463" spans="1:8" x14ac:dyDescent="0.3">
      <c r="A463" t="s">
        <v>1406</v>
      </c>
      <c r="B463" t="s">
        <v>1407</v>
      </c>
      <c r="C463">
        <v>60</v>
      </c>
      <c r="D463" t="s">
        <v>16</v>
      </c>
      <c r="E463" t="s">
        <v>1408</v>
      </c>
      <c r="F463" t="s">
        <v>62</v>
      </c>
      <c r="G463" t="s">
        <v>12</v>
      </c>
      <c r="H463" t="s">
        <v>31</v>
      </c>
    </row>
    <row r="464" spans="1:8" x14ac:dyDescent="0.3">
      <c r="A464" t="s">
        <v>1409</v>
      </c>
      <c r="B464" t="s">
        <v>1410</v>
      </c>
      <c r="C464">
        <v>34</v>
      </c>
      <c r="D464" t="s">
        <v>16</v>
      </c>
      <c r="E464" t="s">
        <v>1411</v>
      </c>
      <c r="F464" t="s">
        <v>43</v>
      </c>
      <c r="G464" t="s">
        <v>12</v>
      </c>
      <c r="H464" t="s">
        <v>31</v>
      </c>
    </row>
    <row r="465" spans="1:8" x14ac:dyDescent="0.3">
      <c r="A465" t="s">
        <v>1412</v>
      </c>
      <c r="B465" t="s">
        <v>1413</v>
      </c>
      <c r="C465">
        <v>36</v>
      </c>
      <c r="D465" t="s">
        <v>16</v>
      </c>
      <c r="E465" t="s">
        <v>1414</v>
      </c>
      <c r="F465" t="s">
        <v>166</v>
      </c>
      <c r="G465" t="s">
        <v>12</v>
      </c>
      <c r="H465" t="s">
        <v>26</v>
      </c>
    </row>
    <row r="466" spans="1:8" x14ac:dyDescent="0.3">
      <c r="A466" t="s">
        <v>3780</v>
      </c>
      <c r="B466" t="s">
        <v>1416</v>
      </c>
      <c r="C466">
        <v>45</v>
      </c>
      <c r="D466" t="s">
        <v>16</v>
      </c>
      <c r="E466" t="s">
        <v>1417</v>
      </c>
      <c r="F466" t="s">
        <v>74</v>
      </c>
      <c r="G466" t="s">
        <v>12</v>
      </c>
      <c r="H466" t="s">
        <v>19</v>
      </c>
    </row>
    <row r="467" spans="1:8" x14ac:dyDescent="0.3">
      <c r="A467" t="s">
        <v>1418</v>
      </c>
      <c r="B467" t="s">
        <v>1419</v>
      </c>
      <c r="C467">
        <v>28</v>
      </c>
      <c r="D467" t="s">
        <v>16</v>
      </c>
      <c r="E467" t="s">
        <v>1420</v>
      </c>
      <c r="F467" t="s">
        <v>11</v>
      </c>
      <c r="G467" t="s">
        <v>12</v>
      </c>
      <c r="H467" t="s">
        <v>31</v>
      </c>
    </row>
    <row r="468" spans="1:8" x14ac:dyDescent="0.3">
      <c r="A468" t="s">
        <v>1421</v>
      </c>
      <c r="B468" t="s">
        <v>1422</v>
      </c>
      <c r="C468">
        <v>18</v>
      </c>
      <c r="D468" t="s">
        <v>9</v>
      </c>
      <c r="E468" t="s">
        <v>1423</v>
      </c>
      <c r="F468" t="s">
        <v>198</v>
      </c>
      <c r="G468" t="s">
        <v>12</v>
      </c>
      <c r="H468" t="s">
        <v>31</v>
      </c>
    </row>
    <row r="469" spans="1:8" x14ac:dyDescent="0.3">
      <c r="A469" t="s">
        <v>1424</v>
      </c>
      <c r="B469" t="s">
        <v>1425</v>
      </c>
      <c r="C469">
        <v>63</v>
      </c>
      <c r="D469" t="s">
        <v>16</v>
      </c>
      <c r="E469" t="s">
        <v>1426</v>
      </c>
      <c r="F469" t="s">
        <v>170</v>
      </c>
      <c r="G469" t="s">
        <v>12</v>
      </c>
      <c r="H469" t="s">
        <v>13</v>
      </c>
    </row>
    <row r="470" spans="1:8" x14ac:dyDescent="0.3">
      <c r="A470" t="s">
        <v>1427</v>
      </c>
      <c r="B470" t="s">
        <v>1428</v>
      </c>
      <c r="C470">
        <v>45</v>
      </c>
      <c r="D470" t="s">
        <v>9</v>
      </c>
      <c r="E470" t="s">
        <v>1429</v>
      </c>
      <c r="F470" t="s">
        <v>170</v>
      </c>
      <c r="G470" t="s">
        <v>12</v>
      </c>
      <c r="H470" t="s">
        <v>26</v>
      </c>
    </row>
    <row r="471" spans="1:8" x14ac:dyDescent="0.3">
      <c r="A471" t="s">
        <v>1430</v>
      </c>
      <c r="B471" t="s">
        <v>1431</v>
      </c>
      <c r="C471">
        <v>19</v>
      </c>
      <c r="D471" t="s">
        <v>9</v>
      </c>
      <c r="E471" t="s">
        <v>1432</v>
      </c>
      <c r="F471" t="s">
        <v>117</v>
      </c>
      <c r="G471" t="s">
        <v>12</v>
      </c>
      <c r="H471" t="s">
        <v>13</v>
      </c>
    </row>
    <row r="472" spans="1:8" x14ac:dyDescent="0.3">
      <c r="A472" t="s">
        <v>1433</v>
      </c>
      <c r="B472" t="s">
        <v>1434</v>
      </c>
      <c r="C472">
        <v>21</v>
      </c>
      <c r="D472" t="s">
        <v>16</v>
      </c>
      <c r="E472" t="s">
        <v>1435</v>
      </c>
      <c r="F472" t="s">
        <v>47</v>
      </c>
      <c r="G472" t="s">
        <v>12</v>
      </c>
      <c r="H472" t="s">
        <v>13</v>
      </c>
    </row>
    <row r="473" spans="1:8" x14ac:dyDescent="0.3">
      <c r="A473" t="s">
        <v>1436</v>
      </c>
      <c r="B473" t="s">
        <v>1437</v>
      </c>
      <c r="C473">
        <v>42</v>
      </c>
      <c r="D473" t="s">
        <v>9</v>
      </c>
      <c r="E473" t="s">
        <v>1438</v>
      </c>
      <c r="F473" t="s">
        <v>66</v>
      </c>
      <c r="G473" t="s">
        <v>12</v>
      </c>
      <c r="H473" t="s">
        <v>19</v>
      </c>
    </row>
    <row r="474" spans="1:8" x14ac:dyDescent="0.3">
      <c r="A474" t="s">
        <v>1439</v>
      </c>
      <c r="B474" t="s">
        <v>1440</v>
      </c>
      <c r="C474">
        <v>42</v>
      </c>
      <c r="D474" t="s">
        <v>9</v>
      </c>
      <c r="E474" t="s">
        <v>1441</v>
      </c>
      <c r="F474" t="s">
        <v>709</v>
      </c>
      <c r="G474" t="s">
        <v>12</v>
      </c>
      <c r="H474" t="s">
        <v>31</v>
      </c>
    </row>
    <row r="475" spans="1:8" x14ac:dyDescent="0.3">
      <c r="A475" t="s">
        <v>1442</v>
      </c>
      <c r="B475" t="s">
        <v>1443</v>
      </c>
      <c r="C475">
        <v>53</v>
      </c>
      <c r="D475" t="s">
        <v>9</v>
      </c>
      <c r="E475" t="s">
        <v>1444</v>
      </c>
      <c r="F475" t="s">
        <v>319</v>
      </c>
      <c r="G475" t="s">
        <v>12</v>
      </c>
      <c r="H475" t="s">
        <v>26</v>
      </c>
    </row>
    <row r="476" spans="1:8" x14ac:dyDescent="0.3">
      <c r="A476" t="s">
        <v>1445</v>
      </c>
      <c r="B476" t="s">
        <v>1446</v>
      </c>
      <c r="C476">
        <v>32</v>
      </c>
      <c r="D476" t="s">
        <v>16</v>
      </c>
      <c r="E476" t="s">
        <v>1447</v>
      </c>
      <c r="F476" t="s">
        <v>39</v>
      </c>
      <c r="G476" t="s">
        <v>12</v>
      </c>
      <c r="H476" t="s">
        <v>19</v>
      </c>
    </row>
    <row r="477" spans="1:8" x14ac:dyDescent="0.3">
      <c r="A477" t="s">
        <v>1448</v>
      </c>
      <c r="B477" t="s">
        <v>1449</v>
      </c>
      <c r="C477">
        <v>18</v>
      </c>
      <c r="D477" t="s">
        <v>16</v>
      </c>
      <c r="E477" t="s">
        <v>390</v>
      </c>
      <c r="F477" t="s">
        <v>170</v>
      </c>
      <c r="G477" t="s">
        <v>12</v>
      </c>
      <c r="H477" t="s">
        <v>19</v>
      </c>
    </row>
    <row r="478" spans="1:8" x14ac:dyDescent="0.3">
      <c r="A478" t="s">
        <v>1450</v>
      </c>
      <c r="B478" t="s">
        <v>1451</v>
      </c>
      <c r="C478">
        <v>33</v>
      </c>
      <c r="D478" t="s">
        <v>16</v>
      </c>
      <c r="E478" t="s">
        <v>1452</v>
      </c>
      <c r="F478" t="s">
        <v>96</v>
      </c>
      <c r="G478" t="s">
        <v>12</v>
      </c>
      <c r="H478" t="s">
        <v>13</v>
      </c>
    </row>
    <row r="479" spans="1:8" x14ac:dyDescent="0.3">
      <c r="A479" t="s">
        <v>1453</v>
      </c>
      <c r="B479" t="s">
        <v>1454</v>
      </c>
      <c r="C479">
        <v>41</v>
      </c>
      <c r="D479" t="s">
        <v>16</v>
      </c>
      <c r="E479" t="s">
        <v>1455</v>
      </c>
      <c r="F479" t="s">
        <v>62</v>
      </c>
      <c r="G479" t="s">
        <v>12</v>
      </c>
      <c r="H479" t="s">
        <v>19</v>
      </c>
    </row>
    <row r="480" spans="1:8" x14ac:dyDescent="0.3">
      <c r="A480" t="s">
        <v>1456</v>
      </c>
      <c r="B480" t="s">
        <v>3825</v>
      </c>
      <c r="C480">
        <v>59</v>
      </c>
      <c r="D480" t="s">
        <v>9</v>
      </c>
      <c r="E480" t="s">
        <v>1457</v>
      </c>
      <c r="F480" t="s">
        <v>39</v>
      </c>
      <c r="G480" t="s">
        <v>12</v>
      </c>
      <c r="H480" t="s">
        <v>13</v>
      </c>
    </row>
    <row r="481" spans="1:8" x14ac:dyDescent="0.3">
      <c r="A481" t="s">
        <v>1458</v>
      </c>
      <c r="B481" t="s">
        <v>1459</v>
      </c>
      <c r="C481">
        <v>40</v>
      </c>
      <c r="D481" t="s">
        <v>9</v>
      </c>
      <c r="E481" t="s">
        <v>1460</v>
      </c>
      <c r="F481" t="s">
        <v>43</v>
      </c>
      <c r="G481" t="s">
        <v>12</v>
      </c>
      <c r="H481" t="s">
        <v>26</v>
      </c>
    </row>
    <row r="482" spans="1:8" x14ac:dyDescent="0.3">
      <c r="A482" t="s">
        <v>1461</v>
      </c>
      <c r="B482" t="s">
        <v>1462</v>
      </c>
      <c r="C482">
        <v>33</v>
      </c>
      <c r="D482" t="s">
        <v>9</v>
      </c>
      <c r="E482" t="s">
        <v>1463</v>
      </c>
      <c r="F482" t="s">
        <v>247</v>
      </c>
      <c r="G482" t="s">
        <v>12</v>
      </c>
      <c r="H482" t="s">
        <v>26</v>
      </c>
    </row>
    <row r="483" spans="1:8" x14ac:dyDescent="0.3">
      <c r="A483" t="s">
        <v>1464</v>
      </c>
      <c r="B483" t="s">
        <v>1465</v>
      </c>
      <c r="C483">
        <v>21</v>
      </c>
      <c r="D483" t="s">
        <v>9</v>
      </c>
      <c r="E483" t="s">
        <v>1466</v>
      </c>
      <c r="F483" t="s">
        <v>81</v>
      </c>
      <c r="G483" t="s">
        <v>12</v>
      </c>
      <c r="H483" t="s">
        <v>13</v>
      </c>
    </row>
    <row r="484" spans="1:8" x14ac:dyDescent="0.3">
      <c r="A484" t="s">
        <v>1467</v>
      </c>
      <c r="B484" t="s">
        <v>1468</v>
      </c>
      <c r="C484">
        <v>26</v>
      </c>
      <c r="D484" t="s">
        <v>9</v>
      </c>
      <c r="E484" t="s">
        <v>1469</v>
      </c>
      <c r="F484" t="s">
        <v>582</v>
      </c>
      <c r="G484" t="s">
        <v>12</v>
      </c>
      <c r="H484" t="s">
        <v>19</v>
      </c>
    </row>
    <row r="485" spans="1:8" x14ac:dyDescent="0.3">
      <c r="A485" t="s">
        <v>1470</v>
      </c>
      <c r="B485" t="s">
        <v>1259</v>
      </c>
      <c r="C485">
        <v>48</v>
      </c>
      <c r="D485" t="s">
        <v>9</v>
      </c>
      <c r="E485" t="s">
        <v>1471</v>
      </c>
      <c r="F485" t="s">
        <v>181</v>
      </c>
      <c r="G485" t="s">
        <v>12</v>
      </c>
      <c r="H485" t="s">
        <v>13</v>
      </c>
    </row>
    <row r="486" spans="1:8" x14ac:dyDescent="0.3">
      <c r="A486" t="s">
        <v>1472</v>
      </c>
      <c r="B486" t="s">
        <v>1473</v>
      </c>
      <c r="C486">
        <v>32</v>
      </c>
      <c r="D486" t="s">
        <v>9</v>
      </c>
      <c r="E486" t="s">
        <v>1474</v>
      </c>
      <c r="F486" t="s">
        <v>709</v>
      </c>
      <c r="G486" t="s">
        <v>12</v>
      </c>
      <c r="H486" t="s">
        <v>26</v>
      </c>
    </row>
    <row r="487" spans="1:8" x14ac:dyDescent="0.3">
      <c r="A487" t="s">
        <v>1475</v>
      </c>
      <c r="B487" t="s">
        <v>1476</v>
      </c>
      <c r="C487">
        <v>46</v>
      </c>
      <c r="D487" t="s">
        <v>16</v>
      </c>
      <c r="E487" t="s">
        <v>1477</v>
      </c>
      <c r="F487" t="s">
        <v>284</v>
      </c>
      <c r="G487" t="s">
        <v>12</v>
      </c>
      <c r="H487" t="s">
        <v>26</v>
      </c>
    </row>
    <row r="488" spans="1:8" x14ac:dyDescent="0.3">
      <c r="A488" t="s">
        <v>1478</v>
      </c>
      <c r="B488" t="s">
        <v>1479</v>
      </c>
      <c r="C488">
        <v>22</v>
      </c>
      <c r="D488" t="s">
        <v>16</v>
      </c>
      <c r="E488" t="s">
        <v>1480</v>
      </c>
      <c r="F488" t="s">
        <v>170</v>
      </c>
      <c r="G488" t="s">
        <v>12</v>
      </c>
      <c r="H488" t="s">
        <v>26</v>
      </c>
    </row>
    <row r="489" spans="1:8" x14ac:dyDescent="0.3">
      <c r="A489" t="s">
        <v>1481</v>
      </c>
      <c r="B489" t="s">
        <v>1482</v>
      </c>
      <c r="C489">
        <v>36</v>
      </c>
      <c r="D489" t="s">
        <v>16</v>
      </c>
      <c r="E489" t="s">
        <v>1483</v>
      </c>
      <c r="F489" t="s">
        <v>117</v>
      </c>
      <c r="G489" t="s">
        <v>12</v>
      </c>
      <c r="H489" t="s">
        <v>19</v>
      </c>
    </row>
    <row r="490" spans="1:8" x14ac:dyDescent="0.3">
      <c r="A490" t="s">
        <v>1484</v>
      </c>
      <c r="B490" t="s">
        <v>1485</v>
      </c>
      <c r="C490">
        <v>23</v>
      </c>
      <c r="D490" t="s">
        <v>16</v>
      </c>
      <c r="E490" t="s">
        <v>1486</v>
      </c>
      <c r="F490" t="s">
        <v>30</v>
      </c>
      <c r="G490" t="s">
        <v>12</v>
      </c>
      <c r="H490" t="s">
        <v>19</v>
      </c>
    </row>
    <row r="491" spans="1:8" x14ac:dyDescent="0.3">
      <c r="A491" t="s">
        <v>1487</v>
      </c>
      <c r="B491" t="s">
        <v>1488</v>
      </c>
      <c r="C491">
        <v>42</v>
      </c>
      <c r="D491" t="s">
        <v>16</v>
      </c>
      <c r="E491" t="s">
        <v>1489</v>
      </c>
      <c r="F491" t="s">
        <v>251</v>
      </c>
      <c r="G491" t="s">
        <v>12</v>
      </c>
      <c r="H491" t="s">
        <v>31</v>
      </c>
    </row>
    <row r="492" spans="1:8" x14ac:dyDescent="0.3">
      <c r="A492" t="s">
        <v>1490</v>
      </c>
      <c r="B492" t="s">
        <v>1491</v>
      </c>
      <c r="C492">
        <v>23</v>
      </c>
      <c r="D492" t="s">
        <v>9</v>
      </c>
      <c r="E492" t="s">
        <v>1492</v>
      </c>
      <c r="F492" t="s">
        <v>139</v>
      </c>
      <c r="G492" t="s">
        <v>12</v>
      </c>
      <c r="H492" t="s">
        <v>19</v>
      </c>
    </row>
    <row r="493" spans="1:8" x14ac:dyDescent="0.3">
      <c r="A493" t="s">
        <v>1493</v>
      </c>
      <c r="B493" t="s">
        <v>1494</v>
      </c>
      <c r="C493">
        <v>52</v>
      </c>
      <c r="D493" t="s">
        <v>16</v>
      </c>
      <c r="E493" t="s">
        <v>1495</v>
      </c>
      <c r="F493" t="s">
        <v>39</v>
      </c>
      <c r="G493" t="s">
        <v>12</v>
      </c>
      <c r="H493" t="s">
        <v>13</v>
      </c>
    </row>
    <row r="494" spans="1:8" x14ac:dyDescent="0.3">
      <c r="A494" t="s">
        <v>1496</v>
      </c>
      <c r="B494" t="s">
        <v>1497</v>
      </c>
      <c r="C494">
        <v>59</v>
      </c>
      <c r="D494" t="s">
        <v>16</v>
      </c>
      <c r="E494" t="s">
        <v>1498</v>
      </c>
      <c r="F494" t="s">
        <v>247</v>
      </c>
      <c r="G494" t="s">
        <v>12</v>
      </c>
      <c r="H494" t="s">
        <v>19</v>
      </c>
    </row>
    <row r="495" spans="1:8" x14ac:dyDescent="0.3">
      <c r="A495" t="s">
        <v>1499</v>
      </c>
      <c r="B495" t="s">
        <v>1500</v>
      </c>
      <c r="C495">
        <v>28</v>
      </c>
      <c r="D495" t="s">
        <v>9</v>
      </c>
      <c r="E495" t="s">
        <v>84</v>
      </c>
      <c r="F495" t="s">
        <v>22</v>
      </c>
      <c r="G495" t="s">
        <v>12</v>
      </c>
      <c r="H495" t="s">
        <v>31</v>
      </c>
    </row>
    <row r="496" spans="1:8" x14ac:dyDescent="0.3">
      <c r="A496" t="s">
        <v>1501</v>
      </c>
      <c r="B496" t="s">
        <v>1502</v>
      </c>
      <c r="C496">
        <v>21</v>
      </c>
      <c r="D496" t="s">
        <v>9</v>
      </c>
      <c r="E496" t="s">
        <v>1503</v>
      </c>
      <c r="F496" t="s">
        <v>354</v>
      </c>
      <c r="G496" t="s">
        <v>12</v>
      </c>
      <c r="H496" t="s">
        <v>13</v>
      </c>
    </row>
    <row r="497" spans="1:8" x14ac:dyDescent="0.3">
      <c r="A497" t="s">
        <v>1504</v>
      </c>
      <c r="B497" t="s">
        <v>1505</v>
      </c>
      <c r="C497">
        <v>23</v>
      </c>
      <c r="D497" t="s">
        <v>16</v>
      </c>
      <c r="E497" t="s">
        <v>1506</v>
      </c>
      <c r="F497" t="s">
        <v>92</v>
      </c>
      <c r="G497" t="s">
        <v>12</v>
      </c>
      <c r="H497" t="s">
        <v>26</v>
      </c>
    </row>
    <row r="498" spans="1:8" x14ac:dyDescent="0.3">
      <c r="A498" t="s">
        <v>1507</v>
      </c>
      <c r="B498" t="s">
        <v>1508</v>
      </c>
      <c r="C498">
        <v>56</v>
      </c>
      <c r="D498" t="s">
        <v>9</v>
      </c>
      <c r="E498" t="s">
        <v>1509</v>
      </c>
      <c r="F498" t="s">
        <v>25</v>
      </c>
      <c r="G498" t="s">
        <v>12</v>
      </c>
      <c r="H498" t="s">
        <v>26</v>
      </c>
    </row>
    <row r="499" spans="1:8" x14ac:dyDescent="0.3">
      <c r="A499" t="s">
        <v>1510</v>
      </c>
      <c r="B499" t="s">
        <v>1511</v>
      </c>
      <c r="C499">
        <v>47</v>
      </c>
      <c r="D499" t="s">
        <v>16</v>
      </c>
      <c r="E499" t="s">
        <v>1512</v>
      </c>
      <c r="F499" t="s">
        <v>58</v>
      </c>
      <c r="G499" t="s">
        <v>12</v>
      </c>
      <c r="H499" t="s">
        <v>13</v>
      </c>
    </row>
    <row r="500" spans="1:8" x14ac:dyDescent="0.3">
      <c r="A500" t="s">
        <v>1513</v>
      </c>
      <c r="B500" t="s">
        <v>1514</v>
      </c>
      <c r="C500">
        <v>35</v>
      </c>
      <c r="D500" t="s">
        <v>9</v>
      </c>
      <c r="E500" t="s">
        <v>1515</v>
      </c>
      <c r="F500" t="s">
        <v>230</v>
      </c>
      <c r="G500" t="s">
        <v>12</v>
      </c>
      <c r="H500" t="s">
        <v>31</v>
      </c>
    </row>
    <row r="501" spans="1:8" x14ac:dyDescent="0.3">
      <c r="A501" t="s">
        <v>1516</v>
      </c>
      <c r="B501" t="s">
        <v>1517</v>
      </c>
      <c r="C501">
        <v>27</v>
      </c>
      <c r="D501" t="s">
        <v>16</v>
      </c>
      <c r="E501" t="s">
        <v>1518</v>
      </c>
      <c r="F501" t="s">
        <v>35</v>
      </c>
      <c r="G501" t="s">
        <v>12</v>
      </c>
      <c r="H501" t="s">
        <v>19</v>
      </c>
    </row>
  </sheetData>
  <conditionalFormatting sqref="C2:C501">
    <cfRule type="cellIs" dxfId="0" priority="1" operator="greaterThan">
      <formula>30</formula>
    </cfRule>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1"/>
  <sheetViews>
    <sheetView workbookViewId="0">
      <selection activeCell="I8" sqref="I8"/>
    </sheetView>
  </sheetViews>
  <sheetFormatPr defaultRowHeight="14.4" x14ac:dyDescent="0.3"/>
  <cols>
    <col min="1" max="1" width="13.5546875" customWidth="1"/>
    <col min="2" max="2" width="36.44140625" customWidth="1"/>
    <col min="3" max="3" width="16.88671875" customWidth="1"/>
    <col min="4" max="4" width="22" customWidth="1"/>
    <col min="5" max="5" width="25.33203125" customWidth="1"/>
    <col min="6" max="6" width="19" customWidth="1"/>
    <col min="7" max="7" width="25.33203125" customWidth="1"/>
  </cols>
  <sheetData>
    <row r="1" spans="1:11" x14ac:dyDescent="0.3">
      <c r="A1" s="5" t="s">
        <v>1519</v>
      </c>
      <c r="B1" s="6" t="s">
        <v>3929</v>
      </c>
      <c r="C1" s="5" t="s">
        <v>1520</v>
      </c>
      <c r="D1" s="5" t="s">
        <v>1521</v>
      </c>
      <c r="E1" s="5" t="s">
        <v>1522</v>
      </c>
      <c r="F1" s="6" t="s">
        <v>3977</v>
      </c>
      <c r="G1" s="6" t="s">
        <v>3978</v>
      </c>
    </row>
    <row r="2" spans="1:11" x14ac:dyDescent="0.3">
      <c r="A2" t="s">
        <v>1523</v>
      </c>
      <c r="B2" t="s">
        <v>3829</v>
      </c>
      <c r="C2" t="s">
        <v>3781</v>
      </c>
      <c r="D2" t="s">
        <v>1524</v>
      </c>
      <c r="E2" s="3">
        <v>112.42</v>
      </c>
      <c r="F2" s="3" t="str">
        <f>IF(Table2[[#This Row],[Stock Value]]&gt;200,"High","Low")</f>
        <v>High</v>
      </c>
      <c r="G2" s="4">
        <v>416</v>
      </c>
    </row>
    <row r="3" spans="1:11" x14ac:dyDescent="0.3">
      <c r="A3" t="s">
        <v>1525</v>
      </c>
      <c r="B3" t="s">
        <v>3830</v>
      </c>
      <c r="C3" t="s">
        <v>3782</v>
      </c>
      <c r="D3" t="s">
        <v>1526</v>
      </c>
      <c r="E3" s="3">
        <v>342.56</v>
      </c>
      <c r="F3" s="3" t="str">
        <f>IF(Table2[[#This Row],[Stock Value]]&gt;200,"High","Low")</f>
        <v>Low</v>
      </c>
      <c r="G3" s="4">
        <v>181</v>
      </c>
      <c r="I3" t="s">
        <v>3979</v>
      </c>
    </row>
    <row r="4" spans="1:11" x14ac:dyDescent="0.3">
      <c r="A4" t="s">
        <v>1527</v>
      </c>
      <c r="B4" t="s">
        <v>3831</v>
      </c>
      <c r="C4" t="s">
        <v>3783</v>
      </c>
      <c r="D4" t="s">
        <v>1528</v>
      </c>
      <c r="E4" s="3">
        <v>254.62086956521742</v>
      </c>
      <c r="F4" s="3" t="str">
        <f>IF(Table2[[#This Row],[Stock Value]]&gt;200,"High","Low")</f>
        <v>High</v>
      </c>
      <c r="G4" s="4">
        <v>352</v>
      </c>
      <c r="I4" t="s">
        <v>3980</v>
      </c>
    </row>
    <row r="5" spans="1:11" x14ac:dyDescent="0.3">
      <c r="A5" t="s">
        <v>1529</v>
      </c>
      <c r="B5" t="s">
        <v>3832</v>
      </c>
      <c r="C5" t="s">
        <v>3783</v>
      </c>
      <c r="D5" t="s">
        <v>1530</v>
      </c>
      <c r="E5" s="3">
        <v>364.67</v>
      </c>
      <c r="F5" s="3" t="str">
        <f>IF(Table2[[#This Row],[Stock Value]]&gt;200,"High","Low")</f>
        <v>High</v>
      </c>
      <c r="G5" s="4">
        <v>452</v>
      </c>
      <c r="I5" t="s">
        <v>3981</v>
      </c>
    </row>
    <row r="6" spans="1:11" x14ac:dyDescent="0.3">
      <c r="A6" t="s">
        <v>1531</v>
      </c>
      <c r="B6" t="s">
        <v>3833</v>
      </c>
      <c r="C6" t="s">
        <v>3784</v>
      </c>
      <c r="D6" t="s">
        <v>1532</v>
      </c>
      <c r="E6" s="3">
        <v>306.45999999999998</v>
      </c>
      <c r="F6" s="3" t="str">
        <f>IF(Table2[[#This Row],[Stock Value]]&gt;200,"High","Low")</f>
        <v>High</v>
      </c>
      <c r="G6" s="4">
        <v>487</v>
      </c>
      <c r="I6" t="s">
        <v>3983</v>
      </c>
      <c r="K6" t="s">
        <v>3984</v>
      </c>
    </row>
    <row r="7" spans="1:11" x14ac:dyDescent="0.3">
      <c r="A7" t="s">
        <v>1533</v>
      </c>
      <c r="B7" t="s">
        <v>3834</v>
      </c>
      <c r="C7" t="s">
        <v>3785</v>
      </c>
      <c r="D7" t="s">
        <v>1534</v>
      </c>
      <c r="E7" s="3">
        <v>261</v>
      </c>
      <c r="F7" s="3" t="str">
        <f>IF(Table2[[#This Row],[Stock Value]]&gt;200,"High","Low")</f>
        <v>Low</v>
      </c>
      <c r="G7" s="4">
        <v>59</v>
      </c>
      <c r="I7" t="s">
        <v>3985</v>
      </c>
      <c r="K7" t="s">
        <v>3986</v>
      </c>
    </row>
    <row r="8" spans="1:11" x14ac:dyDescent="0.3">
      <c r="A8" t="s">
        <v>1535</v>
      </c>
      <c r="B8" t="s">
        <v>3835</v>
      </c>
      <c r="C8" t="s">
        <v>3786</v>
      </c>
      <c r="D8" t="s">
        <v>1536</v>
      </c>
      <c r="E8" s="3">
        <v>312.8</v>
      </c>
      <c r="F8" s="3" t="str">
        <f>IF(Table2[[#This Row],[Stock Value]]&gt;200,"High","Low")</f>
        <v>High</v>
      </c>
      <c r="G8" s="4">
        <v>350</v>
      </c>
      <c r="I8">
        <f>SUMIF(C2:C101,C13,E2:E101)</f>
        <v>3708.0699999999997</v>
      </c>
    </row>
    <row r="9" spans="1:11" x14ac:dyDescent="0.3">
      <c r="A9" t="s">
        <v>1537</v>
      </c>
      <c r="B9" t="s">
        <v>3836</v>
      </c>
      <c r="C9" t="s">
        <v>3787</v>
      </c>
      <c r="D9" t="s">
        <v>1538</v>
      </c>
      <c r="E9" s="3">
        <v>218.86</v>
      </c>
      <c r="F9" s="3" t="str">
        <f>IF(Table2[[#This Row],[Stock Value]]&gt;200,"High","Low")</f>
        <v>Low</v>
      </c>
      <c r="G9" s="4">
        <v>170</v>
      </c>
    </row>
    <row r="10" spans="1:11" x14ac:dyDescent="0.3">
      <c r="A10" t="s">
        <v>1539</v>
      </c>
      <c r="B10" t="s">
        <v>3837</v>
      </c>
      <c r="C10" t="s">
        <v>3788</v>
      </c>
      <c r="D10" t="s">
        <v>1540</v>
      </c>
      <c r="E10" s="3">
        <v>439.07</v>
      </c>
      <c r="F10" s="3" t="str">
        <f>IF(Table2[[#This Row],[Stock Value]]&gt;200,"High","Low")</f>
        <v>Low</v>
      </c>
      <c r="G10" s="4">
        <v>142</v>
      </c>
    </row>
    <row r="11" spans="1:11" x14ac:dyDescent="0.3">
      <c r="A11" t="s">
        <v>1541</v>
      </c>
      <c r="B11" t="s">
        <v>3838</v>
      </c>
      <c r="C11" t="s">
        <v>3789</v>
      </c>
      <c r="D11" t="s">
        <v>1542</v>
      </c>
      <c r="E11" s="3">
        <v>495.72</v>
      </c>
      <c r="F11" s="3" t="str">
        <f>IF(Table2[[#This Row],[Stock Value]]&gt;200,"High","Low")</f>
        <v>High</v>
      </c>
      <c r="G11" s="4">
        <v>323</v>
      </c>
    </row>
    <row r="12" spans="1:11" x14ac:dyDescent="0.3">
      <c r="A12" t="s">
        <v>1543</v>
      </c>
      <c r="B12" t="s">
        <v>3839</v>
      </c>
      <c r="C12" t="s">
        <v>3790</v>
      </c>
      <c r="D12" t="s">
        <v>1544</v>
      </c>
      <c r="E12" s="3">
        <v>298.86</v>
      </c>
      <c r="F12" s="3" t="str">
        <f>IF(Table2[[#This Row],[Stock Value]]&gt;200,"High","Low")</f>
        <v>High</v>
      </c>
      <c r="G12" s="4">
        <v>308</v>
      </c>
    </row>
    <row r="13" spans="1:11" x14ac:dyDescent="0.3">
      <c r="A13" t="s">
        <v>1545</v>
      </c>
      <c r="B13" t="s">
        <v>3840</v>
      </c>
      <c r="C13" t="s">
        <v>3785</v>
      </c>
      <c r="D13" t="s">
        <v>1546</v>
      </c>
      <c r="E13" s="3">
        <v>449.4</v>
      </c>
      <c r="F13" s="3" t="str">
        <f>IF(Table2[[#This Row],[Stock Value]]&gt;200,"High","Low")</f>
        <v>High</v>
      </c>
      <c r="G13" s="4">
        <v>270.80232558139534</v>
      </c>
    </row>
    <row r="14" spans="1:11" x14ac:dyDescent="0.3">
      <c r="A14" t="s">
        <v>1547</v>
      </c>
      <c r="B14" t="s">
        <v>3841</v>
      </c>
      <c r="C14" t="s">
        <v>3791</v>
      </c>
      <c r="D14" t="s">
        <v>1548</v>
      </c>
      <c r="E14" s="3">
        <v>115.82</v>
      </c>
      <c r="F14" s="3" t="str">
        <f>IF(Table2[[#This Row],[Stock Value]]&gt;200,"High","Low")</f>
        <v>High</v>
      </c>
      <c r="G14" s="4">
        <v>460</v>
      </c>
    </row>
    <row r="15" spans="1:11" x14ac:dyDescent="0.3">
      <c r="A15" t="s">
        <v>1549</v>
      </c>
      <c r="B15" t="s">
        <v>3842</v>
      </c>
      <c r="C15" t="s">
        <v>3785</v>
      </c>
      <c r="D15" t="s">
        <v>1550</v>
      </c>
      <c r="E15" s="3">
        <v>242.23</v>
      </c>
      <c r="F15" s="3" t="str">
        <f>IF(Table2[[#This Row],[Stock Value]]&gt;200,"High","Low")</f>
        <v>High</v>
      </c>
      <c r="G15" s="4">
        <v>453</v>
      </c>
    </row>
    <row r="16" spans="1:11" x14ac:dyDescent="0.3">
      <c r="A16" t="s">
        <v>1551</v>
      </c>
      <c r="B16" t="s">
        <v>3843</v>
      </c>
      <c r="C16" t="s">
        <v>3792</v>
      </c>
      <c r="D16" t="s">
        <v>1552</v>
      </c>
      <c r="E16" s="3">
        <v>48.01</v>
      </c>
      <c r="F16" s="3" t="str">
        <f>IF(Table2[[#This Row],[Stock Value]]&gt;200,"High","Low")</f>
        <v>High</v>
      </c>
      <c r="G16" s="4">
        <v>439</v>
      </c>
    </row>
    <row r="17" spans="1:7" x14ac:dyDescent="0.3">
      <c r="A17" t="s">
        <v>1553</v>
      </c>
      <c r="B17" t="s">
        <v>3844</v>
      </c>
      <c r="C17" t="s">
        <v>3793</v>
      </c>
      <c r="D17" t="s">
        <v>1554</v>
      </c>
      <c r="E17" s="3">
        <v>465.34</v>
      </c>
      <c r="F17" s="3" t="str">
        <f>IF(Table2[[#This Row],[Stock Value]]&gt;200,"High","Low")</f>
        <v>High</v>
      </c>
      <c r="G17" s="4">
        <v>301</v>
      </c>
    </row>
    <row r="18" spans="1:7" x14ac:dyDescent="0.3">
      <c r="A18" t="s">
        <v>1555</v>
      </c>
      <c r="B18" t="s">
        <v>3845</v>
      </c>
      <c r="C18" t="s">
        <v>3794</v>
      </c>
      <c r="D18" t="s">
        <v>1556</v>
      </c>
      <c r="E18" s="3">
        <v>337.42</v>
      </c>
      <c r="F18" s="3" t="str">
        <f>IF(Table2[[#This Row],[Stock Value]]&gt;200,"High","Low")</f>
        <v>High</v>
      </c>
      <c r="G18" s="4">
        <v>256</v>
      </c>
    </row>
    <row r="19" spans="1:7" x14ac:dyDescent="0.3">
      <c r="A19" t="s">
        <v>1557</v>
      </c>
      <c r="B19" t="s">
        <v>3846</v>
      </c>
      <c r="C19" t="s">
        <v>3785</v>
      </c>
      <c r="D19" t="s">
        <v>1558</v>
      </c>
      <c r="E19" s="3">
        <v>144.53</v>
      </c>
      <c r="F19" s="3" t="str">
        <f>IF(Table2[[#This Row],[Stock Value]]&gt;200,"High","Low")</f>
        <v>High</v>
      </c>
      <c r="G19" s="4">
        <v>367</v>
      </c>
    </row>
    <row r="20" spans="1:7" x14ac:dyDescent="0.3">
      <c r="A20" t="s">
        <v>1559</v>
      </c>
      <c r="B20" t="s">
        <v>3847</v>
      </c>
      <c r="C20" t="s">
        <v>3784</v>
      </c>
      <c r="D20" t="s">
        <v>1560</v>
      </c>
      <c r="E20" s="3">
        <v>245.7783116883117</v>
      </c>
      <c r="F20" s="3" t="str">
        <f>IF(Table2[[#This Row],[Stock Value]]&gt;200,"High","Low")</f>
        <v>High</v>
      </c>
      <c r="G20" s="4">
        <v>343</v>
      </c>
    </row>
    <row r="21" spans="1:7" x14ac:dyDescent="0.3">
      <c r="A21" t="s">
        <v>1561</v>
      </c>
      <c r="B21" t="s">
        <v>3848</v>
      </c>
      <c r="C21" t="s">
        <v>3795</v>
      </c>
      <c r="D21" t="s">
        <v>1562</v>
      </c>
      <c r="E21" s="3">
        <v>21.34</v>
      </c>
      <c r="F21" s="3" t="str">
        <f>IF(Table2[[#This Row],[Stock Value]]&gt;200,"High","Low")</f>
        <v>Low</v>
      </c>
      <c r="G21" s="4">
        <v>65</v>
      </c>
    </row>
    <row r="22" spans="1:7" x14ac:dyDescent="0.3">
      <c r="A22" t="s">
        <v>1563</v>
      </c>
      <c r="B22" t="s">
        <v>3849</v>
      </c>
      <c r="C22" t="s">
        <v>3785</v>
      </c>
      <c r="D22" t="s">
        <v>1564</v>
      </c>
      <c r="E22" s="3">
        <v>131.51</v>
      </c>
      <c r="F22" s="3" t="str">
        <f>IF(Table2[[#This Row],[Stock Value]]&gt;200,"High","Low")</f>
        <v>High</v>
      </c>
      <c r="G22" s="4">
        <v>264.16666666666669</v>
      </c>
    </row>
    <row r="23" spans="1:7" x14ac:dyDescent="0.3">
      <c r="A23" t="s">
        <v>1565</v>
      </c>
      <c r="B23" t="s">
        <v>3850</v>
      </c>
      <c r="C23" t="s">
        <v>3796</v>
      </c>
      <c r="D23" t="s">
        <v>1566</v>
      </c>
      <c r="E23" s="3">
        <v>123.46</v>
      </c>
      <c r="F23" s="3" t="str">
        <f>IF(Table2[[#This Row],[Stock Value]]&gt;200,"High","Low")</f>
        <v>Low</v>
      </c>
      <c r="G23" s="4">
        <v>76</v>
      </c>
    </row>
    <row r="24" spans="1:7" x14ac:dyDescent="0.3">
      <c r="A24" t="s">
        <v>1567</v>
      </c>
      <c r="B24" t="s">
        <v>3851</v>
      </c>
      <c r="C24" t="s">
        <v>3795</v>
      </c>
      <c r="D24" t="s">
        <v>1568</v>
      </c>
      <c r="E24" s="3">
        <v>484.62</v>
      </c>
      <c r="F24" s="3" t="str">
        <f>IF(Table2[[#This Row],[Stock Value]]&gt;200,"High","Low")</f>
        <v>High</v>
      </c>
      <c r="G24" s="4">
        <v>432</v>
      </c>
    </row>
    <row r="25" spans="1:7" x14ac:dyDescent="0.3">
      <c r="A25" t="s">
        <v>1569</v>
      </c>
      <c r="B25" t="s">
        <v>3852</v>
      </c>
      <c r="C25" t="s">
        <v>3782</v>
      </c>
      <c r="D25" t="s">
        <v>1570</v>
      </c>
      <c r="E25" s="3">
        <v>248.82191780821913</v>
      </c>
      <c r="F25" s="3" t="str">
        <f>IF(Table2[[#This Row],[Stock Value]]&gt;200,"High","Low")</f>
        <v>High</v>
      </c>
      <c r="G25" s="4">
        <v>360</v>
      </c>
    </row>
    <row r="26" spans="1:7" x14ac:dyDescent="0.3">
      <c r="A26" t="s">
        <v>1571</v>
      </c>
      <c r="B26" t="s">
        <v>3853</v>
      </c>
      <c r="C26" t="s">
        <v>3797</v>
      </c>
      <c r="D26" t="s">
        <v>1572</v>
      </c>
      <c r="E26" s="3">
        <v>166.06</v>
      </c>
      <c r="F26" s="3" t="str">
        <f>IF(Table2[[#This Row],[Stock Value]]&gt;200,"High","Low")</f>
        <v>High</v>
      </c>
      <c r="G26" s="4">
        <v>340</v>
      </c>
    </row>
    <row r="27" spans="1:7" x14ac:dyDescent="0.3">
      <c r="A27" t="s">
        <v>1573</v>
      </c>
      <c r="B27" t="s">
        <v>3854</v>
      </c>
      <c r="C27" t="s">
        <v>3785</v>
      </c>
      <c r="D27" t="s">
        <v>1574</v>
      </c>
      <c r="E27" s="3">
        <v>174.02</v>
      </c>
      <c r="F27" s="3" t="str">
        <f>IF(Table2[[#This Row],[Stock Value]]&gt;200,"High","Low")</f>
        <v>High</v>
      </c>
      <c r="G27" s="4">
        <v>268</v>
      </c>
    </row>
    <row r="28" spans="1:7" x14ac:dyDescent="0.3">
      <c r="A28" t="s">
        <v>1575</v>
      </c>
      <c r="B28" t="s">
        <v>3855</v>
      </c>
      <c r="C28" t="s">
        <v>3788</v>
      </c>
      <c r="D28" t="s">
        <v>1576</v>
      </c>
      <c r="E28" s="3">
        <v>322.41000000000003</v>
      </c>
      <c r="F28" s="3" t="str">
        <f>IF(Table2[[#This Row],[Stock Value]]&gt;200,"High","Low")</f>
        <v>High</v>
      </c>
      <c r="G28" s="4">
        <v>213</v>
      </c>
    </row>
    <row r="29" spans="1:7" x14ac:dyDescent="0.3">
      <c r="A29" t="s">
        <v>1577</v>
      </c>
      <c r="B29" t="s">
        <v>3856</v>
      </c>
      <c r="C29" t="s">
        <v>3792</v>
      </c>
      <c r="D29" t="s">
        <v>1578</v>
      </c>
      <c r="E29" s="3">
        <v>250.02157142857135</v>
      </c>
      <c r="F29" s="3" t="str">
        <f>IF(Table2[[#This Row],[Stock Value]]&gt;200,"High","Low")</f>
        <v>High</v>
      </c>
      <c r="G29" s="4">
        <v>378</v>
      </c>
    </row>
    <row r="30" spans="1:7" x14ac:dyDescent="0.3">
      <c r="A30" t="s">
        <v>1579</v>
      </c>
      <c r="B30" t="s">
        <v>3857</v>
      </c>
      <c r="C30" t="s">
        <v>3785</v>
      </c>
      <c r="D30" t="s">
        <v>1580</v>
      </c>
      <c r="E30" s="3">
        <v>38.76</v>
      </c>
      <c r="F30" s="3" t="str">
        <f>IF(Table2[[#This Row],[Stock Value]]&gt;200,"High","Low")</f>
        <v>Low</v>
      </c>
      <c r="G30" s="4">
        <v>137</v>
      </c>
    </row>
    <row r="31" spans="1:7" x14ac:dyDescent="0.3">
      <c r="A31" t="s">
        <v>1581</v>
      </c>
      <c r="B31" t="s">
        <v>3858</v>
      </c>
      <c r="C31" t="s">
        <v>3792</v>
      </c>
      <c r="D31" t="s">
        <v>1582</v>
      </c>
      <c r="E31" s="3">
        <v>218.48</v>
      </c>
      <c r="F31" s="3" t="str">
        <f>IF(Table2[[#This Row],[Stock Value]]&gt;200,"High","Low")</f>
        <v>High</v>
      </c>
      <c r="G31" s="4">
        <v>276</v>
      </c>
    </row>
    <row r="32" spans="1:7" x14ac:dyDescent="0.3">
      <c r="A32" t="s">
        <v>1583</v>
      </c>
      <c r="B32" t="s">
        <v>3859</v>
      </c>
      <c r="C32" t="s">
        <v>3790</v>
      </c>
      <c r="D32" t="s">
        <v>1584</v>
      </c>
      <c r="E32" s="3">
        <v>19.52</v>
      </c>
      <c r="F32" s="3" t="str">
        <f>IF(Table2[[#This Row],[Stock Value]]&gt;200,"High","Low")</f>
        <v>Low</v>
      </c>
      <c r="G32" s="4">
        <v>57</v>
      </c>
    </row>
    <row r="33" spans="1:7" x14ac:dyDescent="0.3">
      <c r="A33" t="s">
        <v>1585</v>
      </c>
      <c r="B33" t="s">
        <v>3860</v>
      </c>
      <c r="C33" t="s">
        <v>3798</v>
      </c>
      <c r="D33" t="s">
        <v>1586</v>
      </c>
      <c r="E33" s="3">
        <v>204.39</v>
      </c>
      <c r="F33" s="3" t="str">
        <f>IF(Table2[[#This Row],[Stock Value]]&gt;200,"High","Low")</f>
        <v>High</v>
      </c>
      <c r="G33" s="4">
        <v>281</v>
      </c>
    </row>
    <row r="34" spans="1:7" x14ac:dyDescent="0.3">
      <c r="A34" t="s">
        <v>1587</v>
      </c>
      <c r="B34" t="s">
        <v>3861</v>
      </c>
      <c r="C34" t="s">
        <v>3786</v>
      </c>
      <c r="D34" t="s">
        <v>1588</v>
      </c>
      <c r="E34" s="3">
        <v>283.83</v>
      </c>
      <c r="F34" s="3" t="str">
        <f>IF(Table2[[#This Row],[Stock Value]]&gt;200,"High","Low")</f>
        <v>High</v>
      </c>
      <c r="G34" s="4">
        <v>244</v>
      </c>
    </row>
    <row r="35" spans="1:7" x14ac:dyDescent="0.3">
      <c r="A35" t="s">
        <v>1589</v>
      </c>
      <c r="B35" t="s">
        <v>3862</v>
      </c>
      <c r="C35" t="s">
        <v>3792</v>
      </c>
      <c r="D35" t="s">
        <v>1590</v>
      </c>
      <c r="E35" s="3">
        <v>179.77</v>
      </c>
      <c r="F35" s="3" t="str">
        <f>IF(Table2[[#This Row],[Stock Value]]&gt;200,"High","Low")</f>
        <v>High</v>
      </c>
      <c r="G35" s="4">
        <v>305</v>
      </c>
    </row>
    <row r="36" spans="1:7" x14ac:dyDescent="0.3">
      <c r="A36" t="s">
        <v>1591</v>
      </c>
      <c r="B36" t="s">
        <v>3863</v>
      </c>
      <c r="C36" t="s">
        <v>3781</v>
      </c>
      <c r="D36" t="s">
        <v>1592</v>
      </c>
      <c r="E36" s="3">
        <v>419.28</v>
      </c>
      <c r="F36" s="3" t="str">
        <f>IF(Table2[[#This Row],[Stock Value]]&gt;200,"High","Low")</f>
        <v>Low</v>
      </c>
      <c r="G36" s="4">
        <v>86</v>
      </c>
    </row>
    <row r="37" spans="1:7" x14ac:dyDescent="0.3">
      <c r="A37" t="s">
        <v>1593</v>
      </c>
      <c r="B37" t="s">
        <v>3864</v>
      </c>
      <c r="C37" t="s">
        <v>3787</v>
      </c>
      <c r="D37" t="s">
        <v>1594</v>
      </c>
      <c r="E37" s="3">
        <v>382.22</v>
      </c>
      <c r="F37" s="3" t="str">
        <f>IF(Table2[[#This Row],[Stock Value]]&gt;200,"High","Low")</f>
        <v>High</v>
      </c>
      <c r="G37" s="4">
        <v>329</v>
      </c>
    </row>
    <row r="38" spans="1:7" x14ac:dyDescent="0.3">
      <c r="A38" t="s">
        <v>1595</v>
      </c>
      <c r="B38" t="s">
        <v>3865</v>
      </c>
      <c r="C38" t="s">
        <v>3782</v>
      </c>
      <c r="D38" t="s">
        <v>1596</v>
      </c>
      <c r="E38" s="3">
        <v>223.43</v>
      </c>
      <c r="F38" s="3" t="str">
        <f>IF(Table2[[#This Row],[Stock Value]]&gt;200,"High","Low")</f>
        <v>Low</v>
      </c>
      <c r="G38" s="4">
        <v>154</v>
      </c>
    </row>
    <row r="39" spans="1:7" x14ac:dyDescent="0.3">
      <c r="A39" t="s">
        <v>1597</v>
      </c>
      <c r="B39" t="s">
        <v>3866</v>
      </c>
      <c r="C39" t="s">
        <v>3799</v>
      </c>
      <c r="D39" t="s">
        <v>1598</v>
      </c>
      <c r="E39" s="3">
        <v>353.47</v>
      </c>
      <c r="F39" s="3" t="str">
        <f>IF(Table2[[#This Row],[Stock Value]]&gt;200,"High","Low")</f>
        <v>High</v>
      </c>
      <c r="G39" s="4">
        <v>214</v>
      </c>
    </row>
    <row r="40" spans="1:7" x14ac:dyDescent="0.3">
      <c r="A40" t="s">
        <v>1599</v>
      </c>
      <c r="B40" t="s">
        <v>3867</v>
      </c>
      <c r="C40" t="s">
        <v>3797</v>
      </c>
      <c r="D40" t="s">
        <v>1600</v>
      </c>
      <c r="E40" s="3">
        <v>135.61000000000001</v>
      </c>
      <c r="F40" s="3" t="str">
        <f>IF(Table2[[#This Row],[Stock Value]]&gt;200,"High","Low")</f>
        <v>High</v>
      </c>
      <c r="G40" s="4">
        <v>394</v>
      </c>
    </row>
    <row r="41" spans="1:7" x14ac:dyDescent="0.3">
      <c r="A41" t="s">
        <v>1601</v>
      </c>
      <c r="B41" t="s">
        <v>3868</v>
      </c>
      <c r="C41" t="s">
        <v>3800</v>
      </c>
      <c r="D41" t="s">
        <v>1602</v>
      </c>
      <c r="E41" s="3">
        <v>326.06</v>
      </c>
      <c r="F41" s="3" t="str">
        <f>IF(Table2[[#This Row],[Stock Value]]&gt;200,"High","Low")</f>
        <v>High</v>
      </c>
      <c r="G41" s="4">
        <v>301</v>
      </c>
    </row>
    <row r="42" spans="1:7" x14ac:dyDescent="0.3">
      <c r="A42" t="s">
        <v>1603</v>
      </c>
      <c r="B42" t="s">
        <v>3869</v>
      </c>
      <c r="C42" t="s">
        <v>3788</v>
      </c>
      <c r="D42" t="s">
        <v>1604</v>
      </c>
      <c r="E42" s="3">
        <v>38.520000000000003</v>
      </c>
      <c r="F42" s="3" t="str">
        <f>IF(Table2[[#This Row],[Stock Value]]&gt;200,"High","Low")</f>
        <v>High</v>
      </c>
      <c r="G42" s="4">
        <v>378</v>
      </c>
    </row>
    <row r="43" spans="1:7" x14ac:dyDescent="0.3">
      <c r="A43" t="s">
        <v>1605</v>
      </c>
      <c r="B43" t="s">
        <v>3870</v>
      </c>
      <c r="C43" t="s">
        <v>3789</v>
      </c>
      <c r="D43" t="s">
        <v>1606</v>
      </c>
      <c r="E43" s="3">
        <v>313.26</v>
      </c>
      <c r="F43" s="3" t="str">
        <f>IF(Table2[[#This Row],[Stock Value]]&gt;200,"High","Low")</f>
        <v>High</v>
      </c>
      <c r="G43" s="4">
        <v>369</v>
      </c>
    </row>
    <row r="44" spans="1:7" x14ac:dyDescent="0.3">
      <c r="A44" t="s">
        <v>1607</v>
      </c>
      <c r="B44" t="s">
        <v>3871</v>
      </c>
      <c r="C44" t="s">
        <v>3785</v>
      </c>
      <c r="D44" t="s">
        <v>1608</v>
      </c>
      <c r="E44" s="3">
        <v>450.71</v>
      </c>
      <c r="F44" s="3" t="str">
        <f>IF(Table2[[#This Row],[Stock Value]]&gt;200,"High","Low")</f>
        <v>High</v>
      </c>
      <c r="G44" s="4">
        <v>389</v>
      </c>
    </row>
    <row r="45" spans="1:7" x14ac:dyDescent="0.3">
      <c r="A45" t="s">
        <v>1609</v>
      </c>
      <c r="B45" t="s">
        <v>3872</v>
      </c>
      <c r="C45" t="s">
        <v>3781</v>
      </c>
      <c r="D45" t="s">
        <v>1610</v>
      </c>
      <c r="E45" s="3">
        <v>253.33</v>
      </c>
      <c r="F45" s="3" t="str">
        <f>IF(Table2[[#This Row],[Stock Value]]&gt;200,"High","Low")</f>
        <v>High</v>
      </c>
      <c r="G45" s="4">
        <v>266</v>
      </c>
    </row>
    <row r="46" spans="1:7" x14ac:dyDescent="0.3">
      <c r="A46" t="s">
        <v>1611</v>
      </c>
      <c r="B46" t="s">
        <v>3873</v>
      </c>
      <c r="C46" t="s">
        <v>3789</v>
      </c>
      <c r="D46" t="s">
        <v>1612</v>
      </c>
      <c r="E46" s="3">
        <v>167.12</v>
      </c>
      <c r="F46" s="3" t="str">
        <f>IF(Table2[[#This Row],[Stock Value]]&gt;200,"High","Low")</f>
        <v>High</v>
      </c>
      <c r="G46" s="4">
        <v>316</v>
      </c>
    </row>
    <row r="47" spans="1:7" x14ac:dyDescent="0.3">
      <c r="A47" t="s">
        <v>1613</v>
      </c>
      <c r="B47" t="s">
        <v>3874</v>
      </c>
      <c r="C47" t="s">
        <v>3798</v>
      </c>
      <c r="D47" t="s">
        <v>1614</v>
      </c>
      <c r="E47" s="3">
        <v>318.91000000000003</v>
      </c>
      <c r="F47" s="3" t="str">
        <f>IF(Table2[[#This Row],[Stock Value]]&gt;200,"High","Low")</f>
        <v>Low</v>
      </c>
      <c r="G47" s="4">
        <v>114</v>
      </c>
    </row>
    <row r="48" spans="1:7" x14ac:dyDescent="0.3">
      <c r="A48" t="s">
        <v>1615</v>
      </c>
      <c r="B48" t="s">
        <v>3875</v>
      </c>
      <c r="C48" t="s">
        <v>3783</v>
      </c>
      <c r="D48" t="s">
        <v>1616</v>
      </c>
      <c r="E48" s="3">
        <v>167.34</v>
      </c>
      <c r="F48" s="3" t="str">
        <f>IF(Table2[[#This Row],[Stock Value]]&gt;200,"High","Low")</f>
        <v>High</v>
      </c>
      <c r="G48" s="4">
        <v>296</v>
      </c>
    </row>
    <row r="49" spans="1:7" x14ac:dyDescent="0.3">
      <c r="A49" t="s">
        <v>1617</v>
      </c>
      <c r="B49" t="s">
        <v>3876</v>
      </c>
      <c r="C49" t="s">
        <v>3801</v>
      </c>
      <c r="D49" t="s">
        <v>1618</v>
      </c>
      <c r="E49" s="3">
        <v>255.04901960784306</v>
      </c>
      <c r="F49" s="3" t="str">
        <f>IF(Table2[[#This Row],[Stock Value]]&gt;200,"High","Low")</f>
        <v>High</v>
      </c>
      <c r="G49" s="4">
        <v>431</v>
      </c>
    </row>
    <row r="50" spans="1:7" x14ac:dyDescent="0.3">
      <c r="A50" t="s">
        <v>1619</v>
      </c>
      <c r="B50" t="s">
        <v>3877</v>
      </c>
      <c r="C50" t="s">
        <v>3785</v>
      </c>
      <c r="D50" t="s">
        <v>1620</v>
      </c>
      <c r="E50" s="3">
        <v>177.98</v>
      </c>
      <c r="F50" s="3" t="str">
        <f>IF(Table2[[#This Row],[Stock Value]]&gt;200,"High","Low")</f>
        <v>Low</v>
      </c>
      <c r="G50" s="4">
        <v>103</v>
      </c>
    </row>
    <row r="51" spans="1:7" x14ac:dyDescent="0.3">
      <c r="A51" t="s">
        <v>1621</v>
      </c>
      <c r="B51" t="s">
        <v>3878</v>
      </c>
      <c r="C51" t="s">
        <v>3802</v>
      </c>
      <c r="D51" t="s">
        <v>1622</v>
      </c>
      <c r="E51" s="3">
        <v>43.29</v>
      </c>
      <c r="F51" s="3" t="str">
        <f>IF(Table2[[#This Row],[Stock Value]]&gt;200,"High","Low")</f>
        <v>High</v>
      </c>
      <c r="G51" s="4">
        <v>267</v>
      </c>
    </row>
    <row r="52" spans="1:7" x14ac:dyDescent="0.3">
      <c r="A52" t="s">
        <v>1623</v>
      </c>
      <c r="B52" t="s">
        <v>3879</v>
      </c>
      <c r="C52" t="s">
        <v>3789</v>
      </c>
      <c r="D52" t="s">
        <v>1624</v>
      </c>
      <c r="E52" s="3">
        <v>190.29</v>
      </c>
      <c r="F52" s="3" t="str">
        <f>IF(Table2[[#This Row],[Stock Value]]&gt;200,"High","Low")</f>
        <v>High</v>
      </c>
      <c r="G52" s="4">
        <v>260</v>
      </c>
    </row>
    <row r="53" spans="1:7" x14ac:dyDescent="0.3">
      <c r="A53" t="s">
        <v>1625</v>
      </c>
      <c r="B53" t="s">
        <v>3880</v>
      </c>
      <c r="C53" t="s">
        <v>3785</v>
      </c>
      <c r="D53" t="s">
        <v>1626</v>
      </c>
      <c r="E53" s="3">
        <v>88.49</v>
      </c>
      <c r="F53" s="3" t="str">
        <f>IF(Table2[[#This Row],[Stock Value]]&gt;200,"High","Low")</f>
        <v>High</v>
      </c>
      <c r="G53" s="4">
        <v>246</v>
      </c>
    </row>
    <row r="54" spans="1:7" x14ac:dyDescent="0.3">
      <c r="A54" t="s">
        <v>1627</v>
      </c>
      <c r="B54" t="s">
        <v>3881</v>
      </c>
      <c r="C54" t="s">
        <v>3798</v>
      </c>
      <c r="D54" t="s">
        <v>1628</v>
      </c>
      <c r="E54" s="3">
        <v>212.26</v>
      </c>
      <c r="F54" s="3" t="str">
        <f>IF(Table2[[#This Row],[Stock Value]]&gt;200,"High","Low")</f>
        <v>Low</v>
      </c>
      <c r="G54" s="4">
        <v>82</v>
      </c>
    </row>
    <row r="55" spans="1:7" x14ac:dyDescent="0.3">
      <c r="A55" t="s">
        <v>1629</v>
      </c>
      <c r="B55" t="s">
        <v>3882</v>
      </c>
      <c r="C55" t="s">
        <v>3784</v>
      </c>
      <c r="D55" t="s">
        <v>1630</v>
      </c>
      <c r="E55" s="3">
        <v>386.56</v>
      </c>
      <c r="F55" s="3" t="str">
        <f>IF(Table2[[#This Row],[Stock Value]]&gt;200,"High","Low")</f>
        <v>Low</v>
      </c>
      <c r="G55" s="4">
        <v>125</v>
      </c>
    </row>
    <row r="56" spans="1:7" x14ac:dyDescent="0.3">
      <c r="A56" t="s">
        <v>1631</v>
      </c>
      <c r="B56" t="s">
        <v>3883</v>
      </c>
      <c r="C56" t="s">
        <v>3785</v>
      </c>
      <c r="D56" t="s">
        <v>1632</v>
      </c>
      <c r="E56" s="3">
        <v>434.84</v>
      </c>
      <c r="F56" s="3" t="str">
        <f>IF(Table2[[#This Row],[Stock Value]]&gt;200,"High","Low")</f>
        <v>Low</v>
      </c>
      <c r="G56" s="4">
        <v>185</v>
      </c>
    </row>
    <row r="57" spans="1:7" x14ac:dyDescent="0.3">
      <c r="A57" t="s">
        <v>1633</v>
      </c>
      <c r="B57" t="s">
        <v>3884</v>
      </c>
      <c r="C57" t="s">
        <v>3792</v>
      </c>
      <c r="D57" t="s">
        <v>1634</v>
      </c>
      <c r="E57" s="3">
        <v>81.75</v>
      </c>
      <c r="F57" s="3" t="str">
        <f>IF(Table2[[#This Row],[Stock Value]]&gt;200,"High","Low")</f>
        <v>High</v>
      </c>
      <c r="G57" s="4">
        <v>271.20454545454544</v>
      </c>
    </row>
    <row r="58" spans="1:7" x14ac:dyDescent="0.3">
      <c r="A58" t="s">
        <v>1635</v>
      </c>
      <c r="B58" t="s">
        <v>3885</v>
      </c>
      <c r="C58" t="s">
        <v>3792</v>
      </c>
      <c r="D58" t="s">
        <v>1636</v>
      </c>
      <c r="E58" s="3">
        <v>461.47</v>
      </c>
      <c r="F58" s="3" t="str">
        <f>IF(Table2[[#This Row],[Stock Value]]&gt;200,"High","Low")</f>
        <v>Low</v>
      </c>
      <c r="G58" s="4">
        <v>190</v>
      </c>
    </row>
    <row r="59" spans="1:7" x14ac:dyDescent="0.3">
      <c r="A59" t="s">
        <v>1637</v>
      </c>
      <c r="B59" t="s">
        <v>3886</v>
      </c>
      <c r="C59" t="s">
        <v>3789</v>
      </c>
      <c r="D59" t="s">
        <v>1638</v>
      </c>
      <c r="E59" s="3">
        <v>30.62</v>
      </c>
      <c r="F59" s="3" t="str">
        <f>IF(Table2[[#This Row],[Stock Value]]&gt;200,"High","Low")</f>
        <v>Low</v>
      </c>
      <c r="G59" s="4">
        <v>138</v>
      </c>
    </row>
    <row r="60" spans="1:7" x14ac:dyDescent="0.3">
      <c r="A60" t="s">
        <v>1639</v>
      </c>
      <c r="B60" t="s">
        <v>3887</v>
      </c>
      <c r="C60" t="s">
        <v>3785</v>
      </c>
      <c r="D60" t="s">
        <v>1640</v>
      </c>
      <c r="E60" s="3">
        <v>113.83</v>
      </c>
      <c r="F60" s="3" t="str">
        <f>IF(Table2[[#This Row],[Stock Value]]&gt;200,"High","Low")</f>
        <v>High</v>
      </c>
      <c r="G60" s="4">
        <v>485</v>
      </c>
    </row>
    <row r="61" spans="1:7" x14ac:dyDescent="0.3">
      <c r="A61" t="s">
        <v>1641</v>
      </c>
      <c r="B61" t="s">
        <v>3888</v>
      </c>
      <c r="C61" t="s">
        <v>3791</v>
      </c>
      <c r="D61" t="s">
        <v>1642</v>
      </c>
      <c r="E61" s="3">
        <v>17.309999999999999</v>
      </c>
      <c r="F61" s="3" t="str">
        <f>IF(Table2[[#This Row],[Stock Value]]&gt;200,"High","Low")</f>
        <v>High</v>
      </c>
      <c r="G61" s="4">
        <v>399</v>
      </c>
    </row>
    <row r="62" spans="1:7" x14ac:dyDescent="0.3">
      <c r="A62" t="s">
        <v>1643</v>
      </c>
      <c r="B62" t="s">
        <v>3889</v>
      </c>
      <c r="C62" t="s">
        <v>3802</v>
      </c>
      <c r="D62" t="s">
        <v>1644</v>
      </c>
      <c r="E62" s="3">
        <v>482.75</v>
      </c>
      <c r="F62" s="3" t="str">
        <f>IF(Table2[[#This Row],[Stock Value]]&gt;200,"High","Low")</f>
        <v>High</v>
      </c>
      <c r="G62" s="4">
        <v>444</v>
      </c>
    </row>
    <row r="63" spans="1:7" x14ac:dyDescent="0.3">
      <c r="A63" t="s">
        <v>1645</v>
      </c>
      <c r="B63" t="s">
        <v>3890</v>
      </c>
      <c r="C63" t="s">
        <v>3795</v>
      </c>
      <c r="D63" t="s">
        <v>1646</v>
      </c>
      <c r="E63" s="3">
        <v>103.45</v>
      </c>
      <c r="F63" s="3" t="str">
        <f>IF(Table2[[#This Row],[Stock Value]]&gt;200,"High","Low")</f>
        <v>High</v>
      </c>
      <c r="G63" s="4">
        <v>465</v>
      </c>
    </row>
    <row r="64" spans="1:7" x14ac:dyDescent="0.3">
      <c r="A64" t="s">
        <v>1647</v>
      </c>
      <c r="B64" t="s">
        <v>3891</v>
      </c>
      <c r="C64" t="s">
        <v>3781</v>
      </c>
      <c r="D64" t="s">
        <v>1648</v>
      </c>
      <c r="E64" s="3">
        <v>86.42</v>
      </c>
      <c r="F64" s="3" t="str">
        <f>IF(Table2[[#This Row],[Stock Value]]&gt;200,"High","Low")</f>
        <v>High</v>
      </c>
      <c r="G64" s="4">
        <v>222</v>
      </c>
    </row>
    <row r="65" spans="1:7" x14ac:dyDescent="0.3">
      <c r="A65" t="s">
        <v>1649</v>
      </c>
      <c r="B65" t="s">
        <v>3892</v>
      </c>
      <c r="C65" t="s">
        <v>3786</v>
      </c>
      <c r="D65" t="s">
        <v>1650</v>
      </c>
      <c r="E65" s="3">
        <v>266.86</v>
      </c>
      <c r="F65" s="3" t="str">
        <f>IF(Table2[[#This Row],[Stock Value]]&gt;200,"High","Low")</f>
        <v>High</v>
      </c>
      <c r="G65" s="4">
        <v>458</v>
      </c>
    </row>
    <row r="66" spans="1:7" x14ac:dyDescent="0.3">
      <c r="A66" t="s">
        <v>1651</v>
      </c>
      <c r="B66" t="s">
        <v>3893</v>
      </c>
      <c r="C66" t="s">
        <v>3801</v>
      </c>
      <c r="D66" t="s">
        <v>1652</v>
      </c>
      <c r="E66" s="3">
        <v>299.11</v>
      </c>
      <c r="F66" s="3" t="str">
        <f>IF(Table2[[#This Row],[Stock Value]]&gt;200,"High","Low")</f>
        <v>Low</v>
      </c>
      <c r="G66" s="4">
        <v>118</v>
      </c>
    </row>
    <row r="67" spans="1:7" x14ac:dyDescent="0.3">
      <c r="A67" t="s">
        <v>1653</v>
      </c>
      <c r="B67" t="s">
        <v>3894</v>
      </c>
      <c r="C67" t="s">
        <v>3789</v>
      </c>
      <c r="D67" t="s">
        <v>1654</v>
      </c>
      <c r="E67" s="3">
        <v>240.63</v>
      </c>
      <c r="F67" s="3" t="str">
        <f>IF(Table2[[#This Row],[Stock Value]]&gt;200,"High","Low")</f>
        <v>High</v>
      </c>
      <c r="G67" s="4">
        <v>423</v>
      </c>
    </row>
    <row r="68" spans="1:7" x14ac:dyDescent="0.3">
      <c r="A68" t="s">
        <v>1655</v>
      </c>
      <c r="B68" t="s">
        <v>3895</v>
      </c>
      <c r="C68" t="s">
        <v>3791</v>
      </c>
      <c r="D68" t="s">
        <v>1656</v>
      </c>
      <c r="E68" s="3">
        <v>340.39</v>
      </c>
      <c r="F68" s="3" t="str">
        <f>IF(Table2[[#This Row],[Stock Value]]&gt;200,"High","Low")</f>
        <v>Low</v>
      </c>
      <c r="G68" s="4">
        <v>177</v>
      </c>
    </row>
    <row r="69" spans="1:7" x14ac:dyDescent="0.3">
      <c r="A69" t="s">
        <v>1657</v>
      </c>
      <c r="B69" t="s">
        <v>3896</v>
      </c>
      <c r="C69" t="s">
        <v>3785</v>
      </c>
      <c r="D69" t="s">
        <v>1658</v>
      </c>
      <c r="E69" s="3">
        <v>349.17</v>
      </c>
      <c r="F69" s="3" t="str">
        <f>IF(Table2[[#This Row],[Stock Value]]&gt;200,"High","Low")</f>
        <v>High</v>
      </c>
      <c r="G69" s="4">
        <v>476</v>
      </c>
    </row>
    <row r="70" spans="1:7" x14ac:dyDescent="0.3">
      <c r="A70" t="s">
        <v>1659</v>
      </c>
      <c r="B70" t="s">
        <v>3897</v>
      </c>
      <c r="C70" t="s">
        <v>3803</v>
      </c>
      <c r="D70" t="s">
        <v>1660</v>
      </c>
      <c r="E70" s="3">
        <v>243.7</v>
      </c>
      <c r="F70" s="3" t="str">
        <f>IF(Table2[[#This Row],[Stock Value]]&gt;200,"High","Low")</f>
        <v>Low</v>
      </c>
      <c r="G70" s="4">
        <v>130</v>
      </c>
    </row>
    <row r="71" spans="1:7" x14ac:dyDescent="0.3">
      <c r="A71" t="s">
        <v>1661</v>
      </c>
      <c r="B71" t="s">
        <v>3898</v>
      </c>
      <c r="C71" t="s">
        <v>3784</v>
      </c>
      <c r="D71" t="s">
        <v>1662</v>
      </c>
      <c r="E71" s="3">
        <v>218.22</v>
      </c>
      <c r="F71" s="3" t="str">
        <f>IF(Table2[[#This Row],[Stock Value]]&gt;200,"High","Low")</f>
        <v>High</v>
      </c>
      <c r="G71" s="4">
        <v>224</v>
      </c>
    </row>
    <row r="72" spans="1:7" x14ac:dyDescent="0.3">
      <c r="A72" t="s">
        <v>1663</v>
      </c>
      <c r="B72" t="s">
        <v>3899</v>
      </c>
      <c r="C72" t="s">
        <v>3796</v>
      </c>
      <c r="D72" t="s">
        <v>1664</v>
      </c>
      <c r="E72" s="3">
        <v>138.05000000000001</v>
      </c>
      <c r="F72" s="3" t="str">
        <f>IF(Table2[[#This Row],[Stock Value]]&gt;200,"High","Low")</f>
        <v>Low</v>
      </c>
      <c r="G72" s="4">
        <v>89</v>
      </c>
    </row>
    <row r="73" spans="1:7" x14ac:dyDescent="0.3">
      <c r="A73" t="s">
        <v>1665</v>
      </c>
      <c r="B73" t="s">
        <v>3900</v>
      </c>
      <c r="C73" t="s">
        <v>3791</v>
      </c>
      <c r="D73" t="s">
        <v>1666</v>
      </c>
      <c r="E73" s="3">
        <v>214.32</v>
      </c>
      <c r="F73" s="3" t="str">
        <f>IF(Table2[[#This Row],[Stock Value]]&gt;200,"High","Low")</f>
        <v>High</v>
      </c>
      <c r="G73" s="4">
        <v>383</v>
      </c>
    </row>
    <row r="74" spans="1:7" x14ac:dyDescent="0.3">
      <c r="A74" t="s">
        <v>1667</v>
      </c>
      <c r="B74" t="s">
        <v>3901</v>
      </c>
      <c r="C74" t="s">
        <v>3789</v>
      </c>
      <c r="D74" t="s">
        <v>1668</v>
      </c>
      <c r="E74" s="3">
        <v>477.61</v>
      </c>
      <c r="F74" s="3" t="str">
        <f>IF(Table2[[#This Row],[Stock Value]]&gt;200,"High","Low")</f>
        <v>High</v>
      </c>
      <c r="G74" s="4">
        <v>300</v>
      </c>
    </row>
    <row r="75" spans="1:7" x14ac:dyDescent="0.3">
      <c r="A75" t="s">
        <v>1669</v>
      </c>
      <c r="B75" t="s">
        <v>3902</v>
      </c>
      <c r="C75" t="s">
        <v>3798</v>
      </c>
      <c r="D75" t="s">
        <v>1670</v>
      </c>
      <c r="E75" s="3">
        <v>107.06</v>
      </c>
      <c r="F75" s="3" t="str">
        <f>IF(Table2[[#This Row],[Stock Value]]&gt;200,"High","Low")</f>
        <v>High</v>
      </c>
      <c r="G75" s="4">
        <v>359</v>
      </c>
    </row>
    <row r="76" spans="1:7" x14ac:dyDescent="0.3">
      <c r="A76" t="s">
        <v>1671</v>
      </c>
      <c r="B76" t="s">
        <v>3903</v>
      </c>
      <c r="C76" t="s">
        <v>3788</v>
      </c>
      <c r="D76" t="s">
        <v>1672</v>
      </c>
      <c r="E76" s="3">
        <v>403.71</v>
      </c>
      <c r="F76" s="3" t="str">
        <f>IF(Table2[[#This Row],[Stock Value]]&gt;200,"High","Low")</f>
        <v>Low</v>
      </c>
      <c r="G76" s="4">
        <v>159</v>
      </c>
    </row>
    <row r="77" spans="1:7" x14ac:dyDescent="0.3">
      <c r="A77" t="s">
        <v>1673</v>
      </c>
      <c r="B77" t="s">
        <v>3904</v>
      </c>
      <c r="C77" t="s">
        <v>3799</v>
      </c>
      <c r="D77" t="s">
        <v>1674</v>
      </c>
      <c r="E77" s="3">
        <v>158.13999999999999</v>
      </c>
      <c r="F77" s="3" t="str">
        <f>IF(Table2[[#This Row],[Stock Value]]&gt;200,"High","Low")</f>
        <v>Low</v>
      </c>
      <c r="G77" s="4">
        <v>82</v>
      </c>
    </row>
    <row r="78" spans="1:7" x14ac:dyDescent="0.3">
      <c r="A78" t="s">
        <v>1675</v>
      </c>
      <c r="B78" t="s">
        <v>3905</v>
      </c>
      <c r="C78" t="s">
        <v>3781</v>
      </c>
      <c r="D78" t="s">
        <v>1676</v>
      </c>
      <c r="E78" s="3">
        <v>392.89</v>
      </c>
      <c r="F78" s="3" t="str">
        <f>IF(Table2[[#This Row],[Stock Value]]&gt;200,"High","Low")</f>
        <v>High</v>
      </c>
      <c r="G78" s="4">
        <v>320</v>
      </c>
    </row>
    <row r="79" spans="1:7" x14ac:dyDescent="0.3">
      <c r="A79" t="s">
        <v>1677</v>
      </c>
      <c r="B79" t="s">
        <v>3906</v>
      </c>
      <c r="C79" t="s">
        <v>3793</v>
      </c>
      <c r="D79" t="s">
        <v>1678</v>
      </c>
      <c r="E79" s="3">
        <v>480.9</v>
      </c>
      <c r="F79" s="3" t="str">
        <f>IF(Table2[[#This Row],[Stock Value]]&gt;200,"High","Low")</f>
        <v>Low</v>
      </c>
      <c r="G79" s="4">
        <v>104</v>
      </c>
    </row>
    <row r="80" spans="1:7" x14ac:dyDescent="0.3">
      <c r="A80" t="s">
        <v>1679</v>
      </c>
      <c r="B80" t="s">
        <v>3907</v>
      </c>
      <c r="C80" t="s">
        <v>3792</v>
      </c>
      <c r="D80" t="s">
        <v>1680</v>
      </c>
      <c r="E80" s="3">
        <v>325.26</v>
      </c>
      <c r="F80" s="3" t="str">
        <f>IF(Table2[[#This Row],[Stock Value]]&gt;200,"High","Low")</f>
        <v>High</v>
      </c>
      <c r="G80" s="4">
        <v>400</v>
      </c>
    </row>
    <row r="81" spans="1:7" x14ac:dyDescent="0.3">
      <c r="A81" t="s">
        <v>1681</v>
      </c>
      <c r="B81" t="s">
        <v>3908</v>
      </c>
      <c r="C81" t="s">
        <v>3787</v>
      </c>
      <c r="D81" t="s">
        <v>1682</v>
      </c>
      <c r="E81" s="3">
        <v>228.53</v>
      </c>
      <c r="F81" s="3" t="str">
        <f>IF(Table2[[#This Row],[Stock Value]]&gt;200,"High","Low")</f>
        <v>High</v>
      </c>
      <c r="G81" s="4">
        <v>469</v>
      </c>
    </row>
    <row r="82" spans="1:7" x14ac:dyDescent="0.3">
      <c r="A82" t="s">
        <v>1683</v>
      </c>
      <c r="B82" t="s">
        <v>3909</v>
      </c>
      <c r="C82" t="s">
        <v>3790</v>
      </c>
      <c r="D82" t="s">
        <v>1684</v>
      </c>
      <c r="E82" s="3">
        <v>143.43</v>
      </c>
      <c r="F82" s="3" t="str">
        <f>IF(Table2[[#This Row],[Stock Value]]&gt;200,"High","Low")</f>
        <v>Low</v>
      </c>
      <c r="G82" s="4">
        <v>58</v>
      </c>
    </row>
    <row r="83" spans="1:7" x14ac:dyDescent="0.3">
      <c r="A83" t="s">
        <v>1685</v>
      </c>
      <c r="B83" t="s">
        <v>3910</v>
      </c>
      <c r="C83" t="s">
        <v>3795</v>
      </c>
      <c r="D83" t="s">
        <v>1686</v>
      </c>
      <c r="E83" s="3">
        <v>285.54000000000002</v>
      </c>
      <c r="F83" s="3" t="str">
        <f>IF(Table2[[#This Row],[Stock Value]]&gt;200,"High","Low")</f>
        <v>High</v>
      </c>
      <c r="G83" s="4">
        <v>358</v>
      </c>
    </row>
    <row r="84" spans="1:7" x14ac:dyDescent="0.3">
      <c r="A84" t="s">
        <v>1687</v>
      </c>
      <c r="B84" t="s">
        <v>3911</v>
      </c>
      <c r="C84" t="s">
        <v>3789</v>
      </c>
      <c r="D84" t="s">
        <v>1688</v>
      </c>
      <c r="E84" s="3">
        <v>152.91999999999999</v>
      </c>
      <c r="F84" s="3" t="str">
        <f>IF(Table2[[#This Row],[Stock Value]]&gt;200,"High","Low")</f>
        <v>High</v>
      </c>
      <c r="G84" s="4">
        <v>281</v>
      </c>
    </row>
    <row r="85" spans="1:7" x14ac:dyDescent="0.3">
      <c r="A85" t="s">
        <v>1689</v>
      </c>
      <c r="B85" t="s">
        <v>3912</v>
      </c>
      <c r="C85" t="s">
        <v>3786</v>
      </c>
      <c r="D85" t="s">
        <v>1690</v>
      </c>
      <c r="E85" s="3">
        <v>289.35937499999994</v>
      </c>
      <c r="F85" s="3" t="str">
        <f>IF(Table2[[#This Row],[Stock Value]]&gt;200,"High","Low")</f>
        <v>Low</v>
      </c>
      <c r="G85" s="4">
        <v>159</v>
      </c>
    </row>
    <row r="86" spans="1:7" x14ac:dyDescent="0.3">
      <c r="A86" t="s">
        <v>1691</v>
      </c>
      <c r="B86" t="s">
        <v>3913</v>
      </c>
      <c r="C86" t="s">
        <v>3803</v>
      </c>
      <c r="D86" t="s">
        <v>1692</v>
      </c>
      <c r="E86" s="3">
        <v>388.46</v>
      </c>
      <c r="F86" s="3" t="str">
        <f>IF(Table2[[#This Row],[Stock Value]]&gt;200,"High","Low")</f>
        <v>High</v>
      </c>
      <c r="G86" s="4">
        <v>208</v>
      </c>
    </row>
    <row r="87" spans="1:7" x14ac:dyDescent="0.3">
      <c r="A87" t="s">
        <v>1693</v>
      </c>
      <c r="B87" t="s">
        <v>3914</v>
      </c>
      <c r="C87" t="s">
        <v>3785</v>
      </c>
      <c r="D87" t="s">
        <v>1694</v>
      </c>
      <c r="E87" s="3">
        <v>119.57</v>
      </c>
      <c r="F87" s="3" t="str">
        <f>IF(Table2[[#This Row],[Stock Value]]&gt;200,"High","Low")</f>
        <v>High</v>
      </c>
      <c r="G87" s="4">
        <v>210</v>
      </c>
    </row>
    <row r="88" spans="1:7" x14ac:dyDescent="0.3">
      <c r="A88" t="s">
        <v>1695</v>
      </c>
      <c r="B88" t="s">
        <v>3915</v>
      </c>
      <c r="C88" t="s">
        <v>3790</v>
      </c>
      <c r="D88" t="s">
        <v>1696</v>
      </c>
      <c r="E88" s="3">
        <v>176.07</v>
      </c>
      <c r="F88" s="3" t="str">
        <f>IF(Table2[[#This Row],[Stock Value]]&gt;200,"High","Low")</f>
        <v>Low</v>
      </c>
      <c r="G88" s="4">
        <v>82</v>
      </c>
    </row>
    <row r="89" spans="1:7" x14ac:dyDescent="0.3">
      <c r="A89" t="s">
        <v>1697</v>
      </c>
      <c r="B89" t="s">
        <v>3916</v>
      </c>
      <c r="C89" t="s">
        <v>3787</v>
      </c>
      <c r="D89" t="s">
        <v>1698</v>
      </c>
      <c r="E89" s="3">
        <v>371.38</v>
      </c>
      <c r="F89" s="3" t="str">
        <f>IF(Table2[[#This Row],[Stock Value]]&gt;200,"High","Low")</f>
        <v>High</v>
      </c>
      <c r="G89" s="4">
        <v>220</v>
      </c>
    </row>
    <row r="90" spans="1:7" x14ac:dyDescent="0.3">
      <c r="A90" t="s">
        <v>1699</v>
      </c>
      <c r="B90" t="s">
        <v>3917</v>
      </c>
      <c r="C90" t="s">
        <v>3785</v>
      </c>
      <c r="D90" t="s">
        <v>1700</v>
      </c>
      <c r="E90" s="3">
        <v>131.24</v>
      </c>
      <c r="F90" s="3" t="str">
        <f>IF(Table2[[#This Row],[Stock Value]]&gt;200,"High","Low")</f>
        <v>High</v>
      </c>
      <c r="G90" s="4">
        <v>232</v>
      </c>
    </row>
    <row r="91" spans="1:7" x14ac:dyDescent="0.3">
      <c r="A91" t="s">
        <v>1701</v>
      </c>
      <c r="B91" t="s">
        <v>3918</v>
      </c>
      <c r="C91" t="s">
        <v>3801</v>
      </c>
      <c r="D91" t="s">
        <v>1702</v>
      </c>
      <c r="E91" s="3">
        <v>183.04</v>
      </c>
      <c r="F91" s="3" t="str">
        <f>IF(Table2[[#This Row],[Stock Value]]&gt;200,"High","Low")</f>
        <v>High</v>
      </c>
      <c r="G91" s="4">
        <v>457</v>
      </c>
    </row>
    <row r="92" spans="1:7" x14ac:dyDescent="0.3">
      <c r="A92" t="s">
        <v>1703</v>
      </c>
      <c r="B92" t="s">
        <v>3919</v>
      </c>
      <c r="C92" t="s">
        <v>3785</v>
      </c>
      <c r="D92" t="s">
        <v>1704</v>
      </c>
      <c r="E92" s="3">
        <v>340.14</v>
      </c>
      <c r="F92" s="3" t="str">
        <f>IF(Table2[[#This Row],[Stock Value]]&gt;200,"High","Low")</f>
        <v>High</v>
      </c>
      <c r="G92" s="4">
        <v>361</v>
      </c>
    </row>
    <row r="93" spans="1:7" x14ac:dyDescent="0.3">
      <c r="A93" t="s">
        <v>1705</v>
      </c>
      <c r="B93" t="s">
        <v>3920</v>
      </c>
      <c r="C93" t="s">
        <v>3799</v>
      </c>
      <c r="D93" t="s">
        <v>1706</v>
      </c>
      <c r="E93" s="3">
        <v>438.25</v>
      </c>
      <c r="F93" s="3" t="str">
        <f>IF(Table2[[#This Row],[Stock Value]]&gt;200,"High","Low")</f>
        <v>High</v>
      </c>
      <c r="G93" s="4">
        <v>496</v>
      </c>
    </row>
    <row r="94" spans="1:7" x14ac:dyDescent="0.3">
      <c r="A94" t="s">
        <v>1707</v>
      </c>
      <c r="B94" t="s">
        <v>3921</v>
      </c>
      <c r="C94" t="s">
        <v>3793</v>
      </c>
      <c r="D94" t="s">
        <v>1708</v>
      </c>
      <c r="E94" s="3">
        <v>447.43</v>
      </c>
      <c r="F94" s="3" t="str">
        <f>IF(Table2[[#This Row],[Stock Value]]&gt;200,"High","Low")</f>
        <v>Low</v>
      </c>
      <c r="G94" s="4">
        <v>191</v>
      </c>
    </row>
    <row r="95" spans="1:7" x14ac:dyDescent="0.3">
      <c r="A95" t="s">
        <v>1709</v>
      </c>
      <c r="B95" t="s">
        <v>3922</v>
      </c>
      <c r="C95" t="s">
        <v>3781</v>
      </c>
      <c r="D95" t="s">
        <v>1710</v>
      </c>
      <c r="E95" s="3">
        <v>377.52</v>
      </c>
      <c r="F95" s="3" t="str">
        <f>IF(Table2[[#This Row],[Stock Value]]&gt;200,"High","Low")</f>
        <v>High</v>
      </c>
      <c r="G95" s="4">
        <v>485</v>
      </c>
    </row>
    <row r="96" spans="1:7" x14ac:dyDescent="0.3">
      <c r="A96" t="s">
        <v>1711</v>
      </c>
      <c r="B96" t="s">
        <v>3923</v>
      </c>
      <c r="C96" t="s">
        <v>3786</v>
      </c>
      <c r="D96" t="s">
        <v>1712</v>
      </c>
      <c r="E96" s="3">
        <v>358.47</v>
      </c>
      <c r="F96" s="3" t="str">
        <f>IF(Table2[[#This Row],[Stock Value]]&gt;200,"High","Low")</f>
        <v>High</v>
      </c>
      <c r="G96" s="4">
        <v>213</v>
      </c>
    </row>
    <row r="97" spans="1:7" x14ac:dyDescent="0.3">
      <c r="A97" t="s">
        <v>1713</v>
      </c>
      <c r="B97" t="s">
        <v>3924</v>
      </c>
      <c r="C97" t="s">
        <v>3785</v>
      </c>
      <c r="D97" t="s">
        <v>1714</v>
      </c>
      <c r="E97" s="3">
        <v>60.65</v>
      </c>
      <c r="F97" s="3" t="str">
        <f>IF(Table2[[#This Row],[Stock Value]]&gt;200,"High","Low")</f>
        <v>Low</v>
      </c>
      <c r="G97" s="4">
        <v>75</v>
      </c>
    </row>
    <row r="98" spans="1:7" x14ac:dyDescent="0.3">
      <c r="A98" t="s">
        <v>1715</v>
      </c>
      <c r="B98" t="s">
        <v>3925</v>
      </c>
      <c r="C98" t="s">
        <v>3783</v>
      </c>
      <c r="D98" t="s">
        <v>1716</v>
      </c>
      <c r="E98" s="3">
        <v>358.47</v>
      </c>
      <c r="F98" s="3" t="str">
        <f>IF(Table2[[#This Row],[Stock Value]]&gt;200,"High","Low")</f>
        <v>Low</v>
      </c>
      <c r="G98" s="4">
        <v>143</v>
      </c>
    </row>
    <row r="99" spans="1:7" x14ac:dyDescent="0.3">
      <c r="A99" t="s">
        <v>1717</v>
      </c>
      <c r="B99" t="s">
        <v>3926</v>
      </c>
      <c r="C99" t="s">
        <v>3798</v>
      </c>
      <c r="D99" t="s">
        <v>1718</v>
      </c>
      <c r="E99" s="3">
        <v>245.98</v>
      </c>
      <c r="F99" s="3" t="str">
        <f>IF(Table2[[#This Row],[Stock Value]]&gt;200,"High","Low")</f>
        <v>High</v>
      </c>
      <c r="G99" s="4">
        <v>471</v>
      </c>
    </row>
    <row r="100" spans="1:7" x14ac:dyDescent="0.3">
      <c r="A100" t="s">
        <v>1719</v>
      </c>
      <c r="B100" t="s">
        <v>3927</v>
      </c>
      <c r="C100" t="s">
        <v>3788</v>
      </c>
      <c r="D100" t="s">
        <v>1720</v>
      </c>
      <c r="E100" s="3">
        <v>431.67</v>
      </c>
      <c r="F100" s="3" t="str">
        <f>IF(Table2[[#This Row],[Stock Value]]&gt;200,"High","Low")</f>
        <v>Low</v>
      </c>
      <c r="G100" s="4">
        <v>73</v>
      </c>
    </row>
    <row r="101" spans="1:7" x14ac:dyDescent="0.3">
      <c r="A101" t="s">
        <v>1721</v>
      </c>
      <c r="B101" t="s">
        <v>3928</v>
      </c>
      <c r="C101" t="s">
        <v>3790</v>
      </c>
      <c r="D101" t="s">
        <v>1722</v>
      </c>
      <c r="E101" s="3">
        <v>201.41</v>
      </c>
      <c r="F101" s="3" t="str">
        <f>IF(Table2[[#This Row],[Stock Value]]&gt;200,"High","Low")</f>
        <v>Low</v>
      </c>
      <c r="G101" s="4">
        <v>146</v>
      </c>
    </row>
  </sheetData>
  <conditionalFormatting sqref="E2:F101">
    <cfRule type="dataBar" priority="1">
      <dataBar>
        <cfvo type="min"/>
        <cfvo type="max"/>
        <color rgb="FF63C384"/>
      </dataBar>
      <extLst>
        <ext xmlns:x14="http://schemas.microsoft.com/office/spreadsheetml/2009/9/main" uri="{B025F937-C7B1-47D3-B67F-A62EFF666E3E}">
          <x14:id>{B99B6570-6991-49A5-9977-18553C7EB934}</x14:id>
        </ext>
      </extLst>
    </cfRule>
  </conditionalFormatting>
  <pageMargins left="0.75" right="0.75" top="1" bottom="1" header="0.5" footer="0.5"/>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B99B6570-6991-49A5-9977-18553C7EB934}">
            <x14:dataBar minLength="0" maxLength="100" border="1" negativeBarBorderColorSameAsPositive="0">
              <x14:cfvo type="autoMin"/>
              <x14:cfvo type="autoMax"/>
              <x14:borderColor rgb="FF63C384"/>
              <x14:negativeFillColor rgb="FFFF0000"/>
              <x14:negativeBorderColor rgb="FFFF0000"/>
              <x14:axisColor rgb="FF000000"/>
            </x14:dataBar>
          </x14:cfRule>
          <xm:sqref>E2:F101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2"/>
  <sheetViews>
    <sheetView topLeftCell="A4" workbookViewId="0">
      <selection activeCell="G18" sqref="G18"/>
    </sheetView>
  </sheetViews>
  <sheetFormatPr defaultRowHeight="14.4" x14ac:dyDescent="0.3"/>
  <cols>
    <col min="1" max="1" width="10.44140625" customWidth="1"/>
    <col min="2" max="2" width="32.88671875" customWidth="1"/>
    <col min="3" max="3" width="23.33203125" customWidth="1"/>
    <col min="4" max="4" width="17.5546875" customWidth="1"/>
    <col min="5" max="5" width="19.77734375" customWidth="1"/>
    <col min="6" max="6" width="10.44140625" customWidth="1"/>
  </cols>
  <sheetData>
    <row r="1" spans="1:4" x14ac:dyDescent="0.3">
      <c r="A1" s="5" t="s">
        <v>3930</v>
      </c>
      <c r="B1" s="5" t="s">
        <v>3933</v>
      </c>
      <c r="C1" s="5" t="s">
        <v>3931</v>
      </c>
      <c r="D1" s="5" t="s">
        <v>3932</v>
      </c>
    </row>
    <row r="2" spans="1:4" x14ac:dyDescent="0.3">
      <c r="A2" s="1" t="s">
        <v>1723</v>
      </c>
      <c r="B2" s="1" t="s">
        <v>3934</v>
      </c>
      <c r="C2" s="1" t="s">
        <v>4</v>
      </c>
      <c r="D2" s="1" t="s">
        <v>1724</v>
      </c>
    </row>
    <row r="3" spans="1:4" x14ac:dyDescent="0.3">
      <c r="A3" t="s">
        <v>1725</v>
      </c>
      <c r="B3" t="s">
        <v>3935</v>
      </c>
      <c r="C3" t="s">
        <v>1726</v>
      </c>
      <c r="D3" t="s">
        <v>1727</v>
      </c>
    </row>
    <row r="4" spans="1:4" x14ac:dyDescent="0.3">
      <c r="A4" t="s">
        <v>1728</v>
      </c>
      <c r="B4" t="s">
        <v>3936</v>
      </c>
      <c r="C4" t="s">
        <v>1729</v>
      </c>
      <c r="D4" t="s">
        <v>1727</v>
      </c>
    </row>
    <row r="5" spans="1:4" x14ac:dyDescent="0.3">
      <c r="A5" t="s">
        <v>1730</v>
      </c>
      <c r="B5" t="s">
        <v>3937</v>
      </c>
      <c r="C5" t="s">
        <v>1731</v>
      </c>
      <c r="D5" t="s">
        <v>1732</v>
      </c>
    </row>
    <row r="6" spans="1:4" x14ac:dyDescent="0.3">
      <c r="A6" t="s">
        <v>1733</v>
      </c>
      <c r="B6" t="s">
        <v>3938</v>
      </c>
      <c r="C6" t="s">
        <v>1734</v>
      </c>
      <c r="D6" t="s">
        <v>1732</v>
      </c>
    </row>
    <row r="7" spans="1:4" x14ac:dyDescent="0.3">
      <c r="A7" t="s">
        <v>1735</v>
      </c>
      <c r="B7" t="s">
        <v>3939</v>
      </c>
      <c r="C7" t="s">
        <v>1736</v>
      </c>
      <c r="D7" t="s">
        <v>1737</v>
      </c>
    </row>
    <row r="8" spans="1:4" x14ac:dyDescent="0.3">
      <c r="A8" t="s">
        <v>1738</v>
      </c>
      <c r="B8" t="s">
        <v>3940</v>
      </c>
      <c r="C8" t="s">
        <v>1739</v>
      </c>
      <c r="D8" t="s">
        <v>1732</v>
      </c>
    </row>
    <row r="9" spans="1:4" x14ac:dyDescent="0.3">
      <c r="A9" t="s">
        <v>1740</v>
      </c>
      <c r="B9" t="s">
        <v>3941</v>
      </c>
      <c r="C9" t="s">
        <v>1741</v>
      </c>
      <c r="D9" t="s">
        <v>1737</v>
      </c>
    </row>
    <row r="10" spans="1:4" x14ac:dyDescent="0.3">
      <c r="A10" t="s">
        <v>1742</v>
      </c>
      <c r="B10" t="s">
        <v>3942</v>
      </c>
      <c r="C10" t="s">
        <v>1743</v>
      </c>
      <c r="D10" t="s">
        <v>1737</v>
      </c>
    </row>
    <row r="11" spans="1:4" x14ac:dyDescent="0.3">
      <c r="A11" t="s">
        <v>1744</v>
      </c>
      <c r="B11" t="s">
        <v>3943</v>
      </c>
      <c r="C11" t="s">
        <v>1745</v>
      </c>
      <c r="D11" t="s">
        <v>1737</v>
      </c>
    </row>
    <row r="12" spans="1:4" x14ac:dyDescent="0.3">
      <c r="A12" t="s">
        <v>1746</v>
      </c>
      <c r="B12" t="s">
        <v>3944</v>
      </c>
      <c r="C12" t="s">
        <v>1747</v>
      </c>
      <c r="D12" t="s">
        <v>1727</v>
      </c>
    </row>
    <row r="13" spans="1:4" x14ac:dyDescent="0.3">
      <c r="A13" t="s">
        <v>1748</v>
      </c>
      <c r="B13" t="s">
        <v>3945</v>
      </c>
      <c r="C13" t="s">
        <v>1749</v>
      </c>
      <c r="D13" t="s">
        <v>1737</v>
      </c>
    </row>
    <row r="14" spans="1:4" x14ac:dyDescent="0.3">
      <c r="A14" t="s">
        <v>1750</v>
      </c>
      <c r="B14" t="s">
        <v>3946</v>
      </c>
      <c r="C14" t="s">
        <v>390</v>
      </c>
      <c r="D14" t="s">
        <v>1737</v>
      </c>
    </row>
    <row r="15" spans="1:4" x14ac:dyDescent="0.3">
      <c r="A15" t="s">
        <v>1751</v>
      </c>
      <c r="B15" t="s">
        <v>3947</v>
      </c>
      <c r="C15" t="s">
        <v>1752</v>
      </c>
      <c r="D15" t="s">
        <v>1737</v>
      </c>
    </row>
    <row r="16" spans="1:4" x14ac:dyDescent="0.3">
      <c r="A16" t="s">
        <v>1753</v>
      </c>
      <c r="B16" t="s">
        <v>3948</v>
      </c>
      <c r="C16" t="s">
        <v>129</v>
      </c>
      <c r="D16" t="s">
        <v>1727</v>
      </c>
    </row>
    <row r="17" spans="1:4" x14ac:dyDescent="0.3">
      <c r="A17" t="s">
        <v>1754</v>
      </c>
      <c r="B17" t="s">
        <v>3949</v>
      </c>
      <c r="C17" t="s">
        <v>204</v>
      </c>
      <c r="D17" t="s">
        <v>1732</v>
      </c>
    </row>
    <row r="18" spans="1:4" x14ac:dyDescent="0.3">
      <c r="A18" t="s">
        <v>1755</v>
      </c>
      <c r="B18" t="s">
        <v>3950</v>
      </c>
      <c r="C18" t="s">
        <v>1756</v>
      </c>
      <c r="D18" t="s">
        <v>1727</v>
      </c>
    </row>
    <row r="19" spans="1:4" x14ac:dyDescent="0.3">
      <c r="A19" t="s">
        <v>1757</v>
      </c>
      <c r="B19" t="s">
        <v>3951</v>
      </c>
      <c r="C19" t="s">
        <v>1758</v>
      </c>
      <c r="D19" t="s">
        <v>1727</v>
      </c>
    </row>
    <row r="20" spans="1:4" x14ac:dyDescent="0.3">
      <c r="A20" t="s">
        <v>1759</v>
      </c>
      <c r="B20" t="s">
        <v>3952</v>
      </c>
      <c r="C20" t="s">
        <v>1760</v>
      </c>
      <c r="D20" t="s">
        <v>1727</v>
      </c>
    </row>
    <row r="21" spans="1:4" x14ac:dyDescent="0.3">
      <c r="A21" t="s">
        <v>1761</v>
      </c>
      <c r="B21" t="s">
        <v>3953</v>
      </c>
      <c r="C21" t="s">
        <v>1762</v>
      </c>
      <c r="D21" t="s">
        <v>1727</v>
      </c>
    </row>
    <row r="22" spans="1:4" x14ac:dyDescent="0.3">
      <c r="A22" t="s">
        <v>1763</v>
      </c>
      <c r="B22" t="s">
        <v>3954</v>
      </c>
      <c r="C22" t="s">
        <v>1764</v>
      </c>
      <c r="D22" t="s">
        <v>1737</v>
      </c>
    </row>
  </sheetData>
  <phoneticPr fontId="3" type="noConversion"/>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0F731-EBE0-4C67-86A6-02B2D769A7DA}">
  <dimension ref="A3:Q8"/>
  <sheetViews>
    <sheetView zoomScale="67" workbookViewId="0">
      <selection activeCell="B5" sqref="B5"/>
    </sheetView>
  </sheetViews>
  <sheetFormatPr defaultRowHeight="14.4" x14ac:dyDescent="0.3"/>
  <cols>
    <col min="1" max="1" width="19.5546875" bestFit="1" customWidth="1"/>
    <col min="2" max="2" width="18.33203125" bestFit="1" customWidth="1"/>
    <col min="3" max="3" width="21" bestFit="1" customWidth="1"/>
    <col min="4" max="4" width="24" bestFit="1" customWidth="1"/>
    <col min="5" max="5" width="16.88671875" bestFit="1" customWidth="1"/>
    <col min="6" max="6" width="16" bestFit="1" customWidth="1"/>
    <col min="7" max="7" width="20.109375" bestFit="1" customWidth="1"/>
    <col min="8" max="8" width="34.6640625" bestFit="1" customWidth="1"/>
    <col min="9" max="9" width="13.6640625" bestFit="1" customWidth="1"/>
    <col min="10" max="10" width="19.88671875" bestFit="1" customWidth="1"/>
    <col min="11" max="11" width="17.6640625" bestFit="1" customWidth="1"/>
    <col min="12" max="12" width="18.44140625" bestFit="1" customWidth="1"/>
    <col min="13" max="13" width="28.44140625" bestFit="1" customWidth="1"/>
    <col min="14" max="14" width="17.44140625" bestFit="1" customWidth="1"/>
    <col min="15" max="15" width="16.6640625" bestFit="1" customWidth="1"/>
    <col min="16" max="16" width="29.77734375" bestFit="1" customWidth="1"/>
    <col min="17" max="17" width="12" bestFit="1" customWidth="1"/>
    <col min="18" max="18" width="28.44140625" bestFit="1" customWidth="1"/>
    <col min="19" max="19" width="17.44140625" bestFit="1" customWidth="1"/>
    <col min="20" max="20" width="16.6640625" bestFit="1" customWidth="1"/>
    <col min="21" max="21" width="29.77734375" bestFit="1" customWidth="1"/>
    <col min="22" max="22" width="12" bestFit="1" customWidth="1"/>
    <col min="23" max="25" width="8" bestFit="1" customWidth="1"/>
    <col min="26" max="26" width="7" bestFit="1" customWidth="1"/>
    <col min="27" max="29" width="8" bestFit="1" customWidth="1"/>
    <col min="30" max="30" width="7" bestFit="1" customWidth="1"/>
    <col min="31" max="31" width="8" bestFit="1" customWidth="1"/>
    <col min="32" max="32" width="7" bestFit="1" customWidth="1"/>
    <col min="33" max="34" width="8" bestFit="1" customWidth="1"/>
    <col min="35" max="35" width="7" bestFit="1" customWidth="1"/>
    <col min="36" max="46" width="8" bestFit="1" customWidth="1"/>
    <col min="47" max="47" width="7" bestFit="1" customWidth="1"/>
    <col min="48" max="53" width="8" bestFit="1" customWidth="1"/>
    <col min="54" max="54" width="6" bestFit="1" customWidth="1"/>
    <col min="55" max="57" width="8" bestFit="1" customWidth="1"/>
    <col min="58" max="58" width="6" bestFit="1" customWidth="1"/>
    <col min="59" max="59" width="7" bestFit="1" customWidth="1"/>
    <col min="60" max="63" width="8" bestFit="1" customWidth="1"/>
    <col min="64" max="64" width="7" bestFit="1" customWidth="1"/>
    <col min="65" max="65" width="8" bestFit="1" customWidth="1"/>
    <col min="66" max="66" width="7" bestFit="1" customWidth="1"/>
    <col min="67" max="71" width="8" bestFit="1" customWidth="1"/>
    <col min="72" max="72" width="7" bestFit="1" customWidth="1"/>
    <col min="73" max="75" width="8" bestFit="1" customWidth="1"/>
    <col min="76" max="76" width="7" bestFit="1" customWidth="1"/>
    <col min="77" max="78" width="8" bestFit="1" customWidth="1"/>
    <col min="79" max="79" width="7" bestFit="1" customWidth="1"/>
    <col min="80" max="81" width="8" bestFit="1" customWidth="1"/>
    <col min="82" max="82" width="7" bestFit="1" customWidth="1"/>
    <col min="83" max="85" width="8" bestFit="1" customWidth="1"/>
    <col min="86" max="86" width="6" bestFit="1" customWidth="1"/>
    <col min="87" max="88" width="8" bestFit="1" customWidth="1"/>
    <col min="89" max="89" width="7" bestFit="1" customWidth="1"/>
    <col min="90" max="90" width="8" bestFit="1" customWidth="1"/>
    <col min="91" max="92" width="9" bestFit="1" customWidth="1"/>
    <col min="93" max="93" width="8" bestFit="1" customWidth="1"/>
    <col min="94" max="97" width="9" bestFit="1" customWidth="1"/>
    <col min="98" max="98" width="8" bestFit="1" customWidth="1"/>
    <col min="99" max="109" width="9" bestFit="1" customWidth="1"/>
    <col min="110" max="110" width="6" bestFit="1" customWidth="1"/>
    <col min="111" max="111" width="9" bestFit="1" customWidth="1"/>
    <col min="112" max="112" width="8" bestFit="1" customWidth="1"/>
    <col min="113" max="118" width="9" bestFit="1" customWidth="1"/>
    <col min="119" max="120" width="8" bestFit="1" customWidth="1"/>
    <col min="121" max="126" width="9" bestFit="1" customWidth="1"/>
    <col min="127" max="127" width="8" bestFit="1" customWidth="1"/>
    <col min="128" max="128" width="9" bestFit="1" customWidth="1"/>
    <col min="129" max="130" width="8" bestFit="1" customWidth="1"/>
    <col min="131" max="131" width="9" bestFit="1" customWidth="1"/>
    <col min="132" max="132" width="6" bestFit="1" customWidth="1"/>
    <col min="133" max="133" width="9" bestFit="1" customWidth="1"/>
    <col min="134" max="135" width="8" bestFit="1" customWidth="1"/>
    <col min="136" max="137" width="9" bestFit="1" customWidth="1"/>
    <col min="138" max="138" width="8" bestFit="1" customWidth="1"/>
    <col min="139" max="144" width="9" bestFit="1" customWidth="1"/>
    <col min="145" max="146" width="8" bestFit="1" customWidth="1"/>
    <col min="147" max="148" width="9" bestFit="1" customWidth="1"/>
    <col min="149" max="149" width="7" bestFit="1" customWidth="1"/>
    <col min="150" max="150" width="8" bestFit="1" customWidth="1"/>
    <col min="151" max="151" width="7" bestFit="1" customWidth="1"/>
    <col min="152" max="165" width="9" bestFit="1" customWidth="1"/>
    <col min="166" max="166" width="8" bestFit="1" customWidth="1"/>
    <col min="167" max="168" width="9" bestFit="1" customWidth="1"/>
    <col min="169" max="169" width="7" bestFit="1" customWidth="1"/>
    <col min="170" max="171" width="9" bestFit="1" customWidth="1"/>
    <col min="172" max="172" width="8" bestFit="1" customWidth="1"/>
    <col min="173" max="176" width="9" bestFit="1" customWidth="1"/>
    <col min="177" max="177" width="8" bestFit="1" customWidth="1"/>
    <col min="178" max="178" width="9" bestFit="1" customWidth="1"/>
    <col min="179" max="179" width="7" bestFit="1" customWidth="1"/>
    <col min="180" max="180" width="8" bestFit="1" customWidth="1"/>
    <col min="181" max="188" width="9" bestFit="1" customWidth="1"/>
    <col min="189" max="190" width="8" bestFit="1" customWidth="1"/>
    <col min="191" max="196" width="9" bestFit="1" customWidth="1"/>
    <col min="197" max="198" width="8" bestFit="1" customWidth="1"/>
    <col min="199" max="199" width="9" bestFit="1" customWidth="1"/>
    <col min="200" max="200" width="7" bestFit="1" customWidth="1"/>
    <col min="201" max="201" width="9" bestFit="1" customWidth="1"/>
    <col min="202" max="202" width="8" bestFit="1" customWidth="1"/>
    <col min="203" max="203" width="9" bestFit="1" customWidth="1"/>
    <col min="204" max="204" width="7" bestFit="1" customWidth="1"/>
    <col min="205" max="205" width="8" bestFit="1" customWidth="1"/>
    <col min="206" max="210" width="9" bestFit="1" customWidth="1"/>
    <col min="211" max="211" width="8" bestFit="1" customWidth="1"/>
    <col min="212" max="220" width="9" bestFit="1" customWidth="1"/>
    <col min="221" max="221" width="8" bestFit="1" customWidth="1"/>
    <col min="222" max="227" width="9" bestFit="1" customWidth="1"/>
    <col min="228" max="228" width="8" bestFit="1" customWidth="1"/>
    <col min="229" max="229" width="9" bestFit="1" customWidth="1"/>
    <col min="230" max="230" width="8" bestFit="1" customWidth="1"/>
    <col min="231" max="232" width="9" bestFit="1" customWidth="1"/>
    <col min="233" max="233" width="8" bestFit="1" customWidth="1"/>
    <col min="234" max="234" width="9" bestFit="1" customWidth="1"/>
    <col min="235" max="235" width="8" bestFit="1" customWidth="1"/>
    <col min="236" max="238" width="9" bestFit="1" customWidth="1"/>
    <col min="239" max="241" width="8" bestFit="1" customWidth="1"/>
    <col min="242" max="242" width="7" bestFit="1" customWidth="1"/>
    <col min="243" max="243" width="9" bestFit="1" customWidth="1"/>
    <col min="244" max="245" width="8" bestFit="1" customWidth="1"/>
    <col min="246" max="247" width="9" bestFit="1" customWidth="1"/>
    <col min="248" max="248" width="8" bestFit="1" customWidth="1"/>
    <col min="249" max="250" width="9" bestFit="1" customWidth="1"/>
    <col min="251" max="252" width="8" bestFit="1" customWidth="1"/>
    <col min="253" max="254" width="9" bestFit="1" customWidth="1"/>
    <col min="255" max="255" width="8" bestFit="1" customWidth="1"/>
    <col min="256" max="257" width="9" bestFit="1" customWidth="1"/>
    <col min="258" max="258" width="8" bestFit="1" customWidth="1"/>
    <col min="259" max="260" width="9" bestFit="1" customWidth="1"/>
    <col min="261" max="261" width="8" bestFit="1" customWidth="1"/>
    <col min="262" max="270" width="9" bestFit="1" customWidth="1"/>
    <col min="271" max="272" width="8" bestFit="1" customWidth="1"/>
    <col min="273" max="273" width="9" bestFit="1" customWidth="1"/>
    <col min="274" max="274" width="8" bestFit="1" customWidth="1"/>
    <col min="275" max="276" width="9" bestFit="1" customWidth="1"/>
    <col min="277" max="277" width="8" bestFit="1" customWidth="1"/>
    <col min="278" max="279" width="9" bestFit="1" customWidth="1"/>
    <col min="280" max="281" width="8" bestFit="1" customWidth="1"/>
    <col min="282" max="283" width="9" bestFit="1" customWidth="1"/>
    <col min="284" max="284" width="8" bestFit="1" customWidth="1"/>
    <col min="285" max="286" width="9" bestFit="1" customWidth="1"/>
    <col min="287" max="287" width="7" bestFit="1" customWidth="1"/>
    <col min="288" max="288" width="8" bestFit="1" customWidth="1"/>
    <col min="289" max="289" width="9" bestFit="1" customWidth="1"/>
    <col min="290" max="290" width="8" bestFit="1" customWidth="1"/>
    <col min="291" max="292" width="9" bestFit="1" customWidth="1"/>
    <col min="293" max="293" width="8" bestFit="1" customWidth="1"/>
    <col min="294" max="295" width="9" bestFit="1" customWidth="1"/>
    <col min="296" max="296" width="8" bestFit="1" customWidth="1"/>
    <col min="297" max="298" width="9" bestFit="1" customWidth="1"/>
    <col min="299" max="299" width="8" bestFit="1" customWidth="1"/>
    <col min="300" max="303" width="9" bestFit="1" customWidth="1"/>
    <col min="304" max="304" width="8" bestFit="1" customWidth="1"/>
    <col min="305" max="317" width="9" bestFit="1" customWidth="1"/>
    <col min="318" max="318" width="8" bestFit="1" customWidth="1"/>
    <col min="319" max="334" width="9" bestFit="1" customWidth="1"/>
    <col min="335" max="335" width="7" bestFit="1" customWidth="1"/>
    <col min="336" max="341" width="9" bestFit="1" customWidth="1"/>
    <col min="342" max="342" width="7" bestFit="1" customWidth="1"/>
    <col min="343" max="345" width="9" bestFit="1" customWidth="1"/>
    <col min="346" max="346" width="7" bestFit="1" customWidth="1"/>
    <col min="347" max="348" width="9" bestFit="1" customWidth="1"/>
    <col min="349" max="349" width="8" bestFit="1" customWidth="1"/>
    <col min="350" max="354" width="9" bestFit="1" customWidth="1"/>
    <col min="355" max="355" width="8" bestFit="1" customWidth="1"/>
    <col min="356" max="356" width="7" bestFit="1" customWidth="1"/>
    <col min="357" max="357" width="8" bestFit="1" customWidth="1"/>
    <col min="358" max="359" width="9" bestFit="1" customWidth="1"/>
    <col min="360" max="361" width="8" bestFit="1" customWidth="1"/>
    <col min="362" max="362" width="9" bestFit="1" customWidth="1"/>
    <col min="363" max="363" width="7" bestFit="1" customWidth="1"/>
    <col min="364" max="365" width="9" bestFit="1" customWidth="1"/>
    <col min="366" max="366" width="8" bestFit="1" customWidth="1"/>
    <col min="367" max="367" width="7" bestFit="1" customWidth="1"/>
    <col min="368" max="369" width="9" bestFit="1" customWidth="1"/>
    <col min="370" max="370" width="7" bestFit="1" customWidth="1"/>
    <col min="371" max="382" width="9" bestFit="1" customWidth="1"/>
    <col min="383" max="383" width="6" bestFit="1" customWidth="1"/>
    <col min="384" max="385" width="8" bestFit="1" customWidth="1"/>
    <col min="386" max="389" width="9" bestFit="1" customWidth="1"/>
    <col min="390" max="390" width="7" bestFit="1" customWidth="1"/>
    <col min="391" max="392" width="8" bestFit="1" customWidth="1"/>
    <col min="393" max="393" width="9" bestFit="1" customWidth="1"/>
    <col min="394" max="394" width="7" bestFit="1" customWidth="1"/>
    <col min="395" max="396" width="9" bestFit="1" customWidth="1"/>
    <col min="397" max="397" width="8" bestFit="1" customWidth="1"/>
    <col min="398" max="400" width="9" bestFit="1" customWidth="1"/>
    <col min="401" max="401" width="8" bestFit="1" customWidth="1"/>
    <col min="402" max="405" width="9" bestFit="1" customWidth="1"/>
    <col min="406" max="406" width="8" bestFit="1" customWidth="1"/>
    <col min="407" max="410" width="9" bestFit="1" customWidth="1"/>
    <col min="411" max="411" width="8" bestFit="1" customWidth="1"/>
    <col min="412" max="414" width="9" bestFit="1" customWidth="1"/>
    <col min="415" max="415" width="8" bestFit="1" customWidth="1"/>
    <col min="416" max="419" width="9" bestFit="1" customWidth="1"/>
    <col min="420" max="420" width="7" bestFit="1" customWidth="1"/>
    <col min="421" max="422" width="8" bestFit="1" customWidth="1"/>
    <col min="423" max="425" width="9" bestFit="1" customWidth="1"/>
    <col min="426" max="426" width="7" bestFit="1" customWidth="1"/>
    <col min="427" max="428" width="9" bestFit="1" customWidth="1"/>
    <col min="429" max="429" width="8" bestFit="1" customWidth="1"/>
    <col min="430" max="430" width="9" bestFit="1" customWidth="1"/>
    <col min="431" max="431" width="8" bestFit="1" customWidth="1"/>
    <col min="432" max="438" width="9" bestFit="1" customWidth="1"/>
    <col min="439" max="439" width="7" bestFit="1" customWidth="1"/>
    <col min="440" max="440" width="8" bestFit="1" customWidth="1"/>
    <col min="441" max="444" width="9" bestFit="1" customWidth="1"/>
    <col min="445" max="446" width="8" bestFit="1" customWidth="1"/>
    <col min="447" max="450" width="9" bestFit="1" customWidth="1"/>
    <col min="451" max="451" width="8" bestFit="1" customWidth="1"/>
    <col min="452" max="452" width="9" bestFit="1" customWidth="1"/>
    <col min="453" max="453" width="6" bestFit="1" customWidth="1"/>
    <col min="454" max="454" width="9" bestFit="1" customWidth="1"/>
    <col min="455" max="456" width="8" bestFit="1" customWidth="1"/>
    <col min="457" max="459" width="9" bestFit="1" customWidth="1"/>
    <col min="460" max="460" width="7" bestFit="1" customWidth="1"/>
    <col min="461" max="463" width="9" bestFit="1" customWidth="1"/>
    <col min="464" max="464" width="8" bestFit="1" customWidth="1"/>
    <col min="465" max="469" width="9" bestFit="1" customWidth="1"/>
    <col min="470" max="470" width="7" bestFit="1" customWidth="1"/>
    <col min="471" max="471" width="9" bestFit="1" customWidth="1"/>
    <col min="472" max="472" width="8" bestFit="1" customWidth="1"/>
    <col min="473" max="474" width="9" bestFit="1" customWidth="1"/>
    <col min="475" max="475" width="8" bestFit="1" customWidth="1"/>
    <col min="476" max="481" width="9" bestFit="1" customWidth="1"/>
    <col min="482" max="482" width="7" bestFit="1" customWidth="1"/>
    <col min="483" max="484" width="8" bestFit="1" customWidth="1"/>
    <col min="485" max="486" width="9" bestFit="1" customWidth="1"/>
    <col min="487" max="487" width="8" bestFit="1" customWidth="1"/>
    <col min="488" max="488" width="9" bestFit="1" customWidth="1"/>
    <col min="489" max="489" width="8" bestFit="1" customWidth="1"/>
    <col min="490" max="490" width="9" bestFit="1" customWidth="1"/>
    <col min="491" max="491" width="8" bestFit="1" customWidth="1"/>
    <col min="492" max="494" width="9" bestFit="1" customWidth="1"/>
    <col min="495" max="495" width="8" bestFit="1" customWidth="1"/>
    <col min="496" max="496" width="9" bestFit="1" customWidth="1"/>
    <col min="497" max="497" width="8" bestFit="1" customWidth="1"/>
    <col min="498" max="501" width="9" bestFit="1" customWidth="1"/>
    <col min="502" max="502" width="8" bestFit="1" customWidth="1"/>
    <col min="503" max="505" width="9" bestFit="1" customWidth="1"/>
    <col min="506" max="506" width="7" bestFit="1" customWidth="1"/>
    <col min="507" max="510" width="9" bestFit="1" customWidth="1"/>
    <col min="511" max="511" width="8" bestFit="1" customWidth="1"/>
    <col min="512" max="512" width="7" bestFit="1" customWidth="1"/>
    <col min="513" max="513" width="9" bestFit="1" customWidth="1"/>
    <col min="514" max="516" width="8" bestFit="1" customWidth="1"/>
    <col min="517" max="518" width="9" bestFit="1" customWidth="1"/>
    <col min="519" max="519" width="8" bestFit="1" customWidth="1"/>
    <col min="520" max="520" width="9" bestFit="1" customWidth="1"/>
    <col min="521" max="521" width="8" bestFit="1" customWidth="1"/>
    <col min="522" max="523" width="9" bestFit="1" customWidth="1"/>
    <col min="524" max="526" width="8" bestFit="1" customWidth="1"/>
    <col min="527" max="527" width="9" bestFit="1" customWidth="1"/>
    <col min="528" max="528" width="8" bestFit="1" customWidth="1"/>
    <col min="529" max="530" width="9" bestFit="1" customWidth="1"/>
    <col min="531" max="531" width="8" bestFit="1" customWidth="1"/>
    <col min="532" max="532" width="9" bestFit="1" customWidth="1"/>
    <col min="533" max="533" width="8" bestFit="1" customWidth="1"/>
    <col min="534" max="535" width="9" bestFit="1" customWidth="1"/>
    <col min="536" max="536" width="8" bestFit="1" customWidth="1"/>
    <col min="537" max="538" width="9" bestFit="1" customWidth="1"/>
    <col min="539" max="539" width="7" bestFit="1" customWidth="1"/>
    <col min="540" max="558" width="9" bestFit="1" customWidth="1"/>
    <col min="559" max="560" width="8" bestFit="1" customWidth="1"/>
    <col min="561" max="563" width="9" bestFit="1" customWidth="1"/>
    <col min="564" max="564" width="8" bestFit="1" customWidth="1"/>
    <col min="565" max="566" width="9" bestFit="1" customWidth="1"/>
    <col min="567" max="567" width="8" bestFit="1" customWidth="1"/>
    <col min="568" max="570" width="9" bestFit="1" customWidth="1"/>
    <col min="571" max="571" width="7" bestFit="1" customWidth="1"/>
    <col min="572" max="572" width="9" bestFit="1" customWidth="1"/>
    <col min="573" max="573" width="8" bestFit="1" customWidth="1"/>
    <col min="574" max="579" width="9" bestFit="1" customWidth="1"/>
    <col min="580" max="580" width="8" bestFit="1" customWidth="1"/>
    <col min="581" max="582" width="9" bestFit="1" customWidth="1"/>
    <col min="583" max="583" width="7" bestFit="1" customWidth="1"/>
    <col min="584" max="587" width="9" bestFit="1" customWidth="1"/>
    <col min="588" max="588" width="8" bestFit="1" customWidth="1"/>
    <col min="589" max="592" width="9" bestFit="1" customWidth="1"/>
    <col min="593" max="593" width="7" bestFit="1" customWidth="1"/>
    <col min="594" max="594" width="8" bestFit="1" customWidth="1"/>
    <col min="595" max="598" width="9" bestFit="1" customWidth="1"/>
    <col min="599" max="599" width="6" bestFit="1" customWidth="1"/>
    <col min="600" max="603" width="9" bestFit="1" customWidth="1"/>
    <col min="604" max="604" width="8" bestFit="1" customWidth="1"/>
    <col min="605" max="605" width="9" bestFit="1" customWidth="1"/>
    <col min="606" max="606" width="7" bestFit="1" customWidth="1"/>
    <col min="607" max="607" width="8" bestFit="1" customWidth="1"/>
    <col min="608" max="612" width="9" bestFit="1" customWidth="1"/>
    <col min="613" max="614" width="8" bestFit="1" customWidth="1"/>
    <col min="615" max="615" width="9" bestFit="1" customWidth="1"/>
    <col min="616" max="616" width="7" bestFit="1" customWidth="1"/>
    <col min="617" max="617" width="8" bestFit="1" customWidth="1"/>
    <col min="618" max="620" width="9" bestFit="1" customWidth="1"/>
    <col min="621" max="621" width="8" bestFit="1" customWidth="1"/>
    <col min="622" max="629" width="9" bestFit="1" customWidth="1"/>
    <col min="630" max="630" width="8" bestFit="1" customWidth="1"/>
    <col min="631" max="633" width="9" bestFit="1" customWidth="1"/>
    <col min="634" max="635" width="8" bestFit="1" customWidth="1"/>
    <col min="636" max="636" width="9" bestFit="1" customWidth="1"/>
    <col min="637" max="638" width="8" bestFit="1" customWidth="1"/>
    <col min="639" max="639" width="9" bestFit="1" customWidth="1"/>
    <col min="640" max="640" width="8" bestFit="1" customWidth="1"/>
    <col min="641" max="643" width="9" bestFit="1" customWidth="1"/>
    <col min="644" max="644" width="8" bestFit="1" customWidth="1"/>
    <col min="645" max="648" width="9" bestFit="1" customWidth="1"/>
    <col min="649" max="649" width="7" bestFit="1" customWidth="1"/>
    <col min="650" max="652" width="9" bestFit="1" customWidth="1"/>
    <col min="653" max="654" width="8" bestFit="1" customWidth="1"/>
    <col min="655" max="655" width="9" bestFit="1" customWidth="1"/>
    <col min="656" max="656" width="8" bestFit="1" customWidth="1"/>
    <col min="657" max="659" width="9" bestFit="1" customWidth="1"/>
    <col min="660" max="660" width="8" bestFit="1" customWidth="1"/>
    <col min="661" max="661" width="9" bestFit="1" customWidth="1"/>
    <col min="662" max="662" width="7" bestFit="1" customWidth="1"/>
    <col min="663" max="663" width="8" bestFit="1" customWidth="1"/>
    <col min="664" max="664" width="9" bestFit="1" customWidth="1"/>
    <col min="665" max="665" width="8" bestFit="1" customWidth="1"/>
    <col min="666" max="669" width="9" bestFit="1" customWidth="1"/>
    <col min="670" max="670" width="7" bestFit="1" customWidth="1"/>
    <col min="671" max="671" width="9" bestFit="1" customWidth="1"/>
    <col min="672" max="672" width="8" bestFit="1" customWidth="1"/>
    <col min="673" max="673" width="9" bestFit="1" customWidth="1"/>
    <col min="674" max="674" width="8" bestFit="1" customWidth="1"/>
    <col min="675" max="675" width="9" bestFit="1" customWidth="1"/>
    <col min="676" max="676" width="8" bestFit="1" customWidth="1"/>
    <col min="677" max="683" width="9" bestFit="1" customWidth="1"/>
    <col min="684" max="684" width="7" bestFit="1" customWidth="1"/>
    <col min="685" max="687" width="8" bestFit="1" customWidth="1"/>
    <col min="688" max="691" width="9" bestFit="1" customWidth="1"/>
    <col min="692" max="693" width="8" bestFit="1" customWidth="1"/>
    <col min="694" max="699" width="9" bestFit="1" customWidth="1"/>
    <col min="700" max="700" width="7" bestFit="1" customWidth="1"/>
    <col min="701" max="702" width="9" bestFit="1" customWidth="1"/>
    <col min="703" max="703" width="7" bestFit="1" customWidth="1"/>
    <col min="704" max="704" width="9" bestFit="1" customWidth="1"/>
    <col min="705" max="706" width="8" bestFit="1" customWidth="1"/>
    <col min="707" max="715" width="9" bestFit="1" customWidth="1"/>
    <col min="716" max="717" width="8" bestFit="1" customWidth="1"/>
    <col min="718" max="718" width="7" bestFit="1" customWidth="1"/>
    <col min="719" max="719" width="9" bestFit="1" customWidth="1"/>
    <col min="720" max="720" width="8" bestFit="1" customWidth="1"/>
    <col min="721" max="724" width="9" bestFit="1" customWidth="1"/>
    <col min="725" max="725" width="8" bestFit="1" customWidth="1"/>
    <col min="726" max="732" width="9" bestFit="1" customWidth="1"/>
    <col min="733" max="733" width="8" bestFit="1" customWidth="1"/>
    <col min="734" max="734" width="9" bestFit="1" customWidth="1"/>
    <col min="735" max="735" width="8" bestFit="1" customWidth="1"/>
    <col min="736" max="738" width="9" bestFit="1" customWidth="1"/>
    <col min="739" max="739" width="8" bestFit="1" customWidth="1"/>
    <col min="740" max="742" width="9" bestFit="1" customWidth="1"/>
    <col min="743" max="744" width="8" bestFit="1" customWidth="1"/>
    <col min="745" max="747" width="9" bestFit="1" customWidth="1"/>
    <col min="748" max="748" width="8" bestFit="1" customWidth="1"/>
    <col min="749" max="749" width="9" bestFit="1" customWidth="1"/>
    <col min="750" max="750" width="7" bestFit="1" customWidth="1"/>
    <col min="751" max="757" width="9" bestFit="1" customWidth="1"/>
    <col min="758" max="758" width="8" bestFit="1" customWidth="1"/>
    <col min="759" max="760" width="9" bestFit="1" customWidth="1"/>
    <col min="761" max="761" width="8" bestFit="1" customWidth="1"/>
    <col min="762" max="762" width="9" bestFit="1" customWidth="1"/>
    <col min="763" max="764" width="8" bestFit="1" customWidth="1"/>
    <col min="765" max="766" width="9" bestFit="1" customWidth="1"/>
    <col min="767" max="767" width="7" bestFit="1" customWidth="1"/>
    <col min="768" max="768" width="8" bestFit="1" customWidth="1"/>
    <col min="769" max="769" width="9" bestFit="1" customWidth="1"/>
    <col min="770" max="770" width="8" bestFit="1" customWidth="1"/>
    <col min="771" max="773" width="9" bestFit="1" customWidth="1"/>
    <col min="774" max="776" width="8" bestFit="1" customWidth="1"/>
    <col min="777" max="778" width="9" bestFit="1" customWidth="1"/>
    <col min="779" max="779" width="8" bestFit="1" customWidth="1"/>
    <col min="780" max="781" width="7" bestFit="1" customWidth="1"/>
    <col min="782" max="782" width="8" bestFit="1" customWidth="1"/>
    <col min="783" max="787" width="9" bestFit="1" customWidth="1"/>
    <col min="788" max="788" width="7" bestFit="1" customWidth="1"/>
    <col min="789" max="789" width="8" bestFit="1" customWidth="1"/>
    <col min="790" max="790" width="9" bestFit="1" customWidth="1"/>
    <col min="791" max="791" width="7" bestFit="1" customWidth="1"/>
    <col min="792" max="793" width="9" bestFit="1" customWidth="1"/>
    <col min="794" max="794" width="7" bestFit="1" customWidth="1"/>
    <col min="795" max="795" width="9" bestFit="1" customWidth="1"/>
    <col min="796" max="796" width="8" bestFit="1" customWidth="1"/>
    <col min="797" max="799" width="9" bestFit="1" customWidth="1"/>
    <col min="800" max="801" width="8" bestFit="1" customWidth="1"/>
    <col min="802" max="804" width="9" bestFit="1" customWidth="1"/>
    <col min="805" max="805" width="7" bestFit="1" customWidth="1"/>
    <col min="806" max="807" width="8" bestFit="1" customWidth="1"/>
    <col min="808" max="808" width="7" bestFit="1" customWidth="1"/>
    <col min="809" max="810" width="9" bestFit="1" customWidth="1"/>
    <col min="811" max="816" width="8" bestFit="1" customWidth="1"/>
    <col min="817" max="817" width="9" bestFit="1" customWidth="1"/>
    <col min="818" max="818" width="8" bestFit="1" customWidth="1"/>
    <col min="819" max="819" width="9" bestFit="1" customWidth="1"/>
    <col min="820" max="820" width="6" bestFit="1" customWidth="1"/>
    <col min="821" max="821" width="9" bestFit="1" customWidth="1"/>
    <col min="822" max="822" width="7" bestFit="1" customWidth="1"/>
    <col min="823" max="823" width="9" bestFit="1" customWidth="1"/>
    <col min="824" max="824" width="8" bestFit="1" customWidth="1"/>
    <col min="825" max="825" width="9" bestFit="1" customWidth="1"/>
    <col min="826" max="826" width="8" bestFit="1" customWidth="1"/>
    <col min="827" max="827" width="7" bestFit="1" customWidth="1"/>
    <col min="828" max="839" width="9" bestFit="1" customWidth="1"/>
    <col min="840" max="840" width="7" bestFit="1" customWidth="1"/>
    <col min="841" max="844" width="9" bestFit="1" customWidth="1"/>
    <col min="845" max="845" width="6" bestFit="1" customWidth="1"/>
    <col min="846" max="849" width="9" bestFit="1" customWidth="1"/>
    <col min="850" max="851" width="8" bestFit="1" customWidth="1"/>
    <col min="852" max="855" width="9" bestFit="1" customWidth="1"/>
    <col min="856" max="856" width="6" bestFit="1" customWidth="1"/>
    <col min="857" max="857" width="9" bestFit="1" customWidth="1"/>
    <col min="858" max="858" width="8" bestFit="1" customWidth="1"/>
    <col min="859" max="860" width="9" bestFit="1" customWidth="1"/>
    <col min="861" max="861" width="7" bestFit="1" customWidth="1"/>
    <col min="862" max="864" width="9" bestFit="1" customWidth="1"/>
    <col min="865" max="865" width="8" bestFit="1" customWidth="1"/>
    <col min="866" max="871" width="9" bestFit="1" customWidth="1"/>
    <col min="872" max="872" width="8" bestFit="1" customWidth="1"/>
    <col min="873" max="873" width="9" bestFit="1" customWidth="1"/>
    <col min="874" max="874" width="8" bestFit="1" customWidth="1"/>
    <col min="875" max="878" width="9" bestFit="1" customWidth="1"/>
    <col min="879" max="879" width="7" bestFit="1" customWidth="1"/>
    <col min="880" max="880" width="9" bestFit="1" customWidth="1"/>
    <col min="881" max="881" width="7" bestFit="1" customWidth="1"/>
    <col min="882" max="883" width="9" bestFit="1" customWidth="1"/>
    <col min="884" max="884" width="8" bestFit="1" customWidth="1"/>
    <col min="885" max="886" width="9" bestFit="1" customWidth="1"/>
    <col min="887" max="887" width="8" bestFit="1" customWidth="1"/>
    <col min="888" max="892" width="9" bestFit="1" customWidth="1"/>
    <col min="893" max="893" width="8" bestFit="1" customWidth="1"/>
    <col min="894" max="894" width="9" bestFit="1" customWidth="1"/>
    <col min="895" max="895" width="8" bestFit="1" customWidth="1"/>
    <col min="896" max="900" width="9" bestFit="1" customWidth="1"/>
    <col min="901" max="901" width="7" bestFit="1" customWidth="1"/>
    <col min="902" max="902" width="8" bestFit="1" customWidth="1"/>
    <col min="903" max="905" width="9" bestFit="1" customWidth="1"/>
    <col min="906" max="907" width="8" bestFit="1" customWidth="1"/>
    <col min="908" max="908" width="7" bestFit="1" customWidth="1"/>
    <col min="909" max="910" width="9" bestFit="1" customWidth="1"/>
    <col min="911" max="912" width="8" bestFit="1" customWidth="1"/>
    <col min="913" max="917" width="9" bestFit="1" customWidth="1"/>
    <col min="918" max="918" width="8" bestFit="1" customWidth="1"/>
    <col min="919" max="919" width="9" bestFit="1" customWidth="1"/>
    <col min="920" max="921" width="8" bestFit="1" customWidth="1"/>
    <col min="922" max="922" width="9" bestFit="1" customWidth="1"/>
    <col min="923" max="923" width="8" bestFit="1" customWidth="1"/>
    <col min="924" max="924" width="9" bestFit="1" customWidth="1"/>
    <col min="925" max="926" width="8" bestFit="1" customWidth="1"/>
    <col min="927" max="928" width="9" bestFit="1" customWidth="1"/>
    <col min="929" max="929" width="8" bestFit="1" customWidth="1"/>
    <col min="930" max="931" width="9" bestFit="1" customWidth="1"/>
    <col min="932" max="932" width="8" bestFit="1" customWidth="1"/>
    <col min="933" max="935" width="9" bestFit="1" customWidth="1"/>
    <col min="936" max="937" width="8" bestFit="1" customWidth="1"/>
    <col min="938" max="945" width="9" bestFit="1" customWidth="1"/>
    <col min="946" max="946" width="8" bestFit="1" customWidth="1"/>
    <col min="947" max="951" width="9" bestFit="1" customWidth="1"/>
    <col min="952" max="953" width="8" bestFit="1" customWidth="1"/>
    <col min="954" max="955" width="9" bestFit="1" customWidth="1"/>
    <col min="956" max="956" width="8" bestFit="1" customWidth="1"/>
    <col min="957" max="961" width="9" bestFit="1" customWidth="1"/>
    <col min="962" max="962" width="8" bestFit="1" customWidth="1"/>
    <col min="963" max="967" width="9" bestFit="1" customWidth="1"/>
    <col min="968" max="969" width="8" bestFit="1" customWidth="1"/>
    <col min="970" max="975" width="9" bestFit="1" customWidth="1"/>
    <col min="976" max="976" width="8" bestFit="1" customWidth="1"/>
    <col min="977" max="978" width="9" bestFit="1" customWidth="1"/>
    <col min="979" max="979" width="8" bestFit="1" customWidth="1"/>
    <col min="980" max="988" width="9" bestFit="1" customWidth="1"/>
    <col min="989" max="989" width="6" bestFit="1" customWidth="1"/>
    <col min="990" max="996" width="9" bestFit="1" customWidth="1"/>
    <col min="997" max="997" width="8" bestFit="1" customWidth="1"/>
    <col min="998" max="998" width="6" bestFit="1" customWidth="1"/>
    <col min="999" max="999" width="9" bestFit="1" customWidth="1"/>
    <col min="1000" max="1000" width="7" bestFit="1" customWidth="1"/>
    <col min="1001" max="1001" width="8" bestFit="1" customWidth="1"/>
    <col min="1002" max="1008" width="9" bestFit="1" customWidth="1"/>
    <col min="1009" max="1010" width="8" bestFit="1" customWidth="1"/>
    <col min="1011" max="1012" width="9" bestFit="1" customWidth="1"/>
    <col min="1013" max="1013" width="8" bestFit="1" customWidth="1"/>
    <col min="1014" max="1014" width="7" bestFit="1" customWidth="1"/>
    <col min="1015" max="1015" width="9" bestFit="1" customWidth="1"/>
    <col min="1016" max="1017" width="8" bestFit="1" customWidth="1"/>
    <col min="1018" max="1020" width="9" bestFit="1" customWidth="1"/>
    <col min="1021" max="1021" width="7" bestFit="1" customWidth="1"/>
    <col min="1022" max="1023" width="9" bestFit="1" customWidth="1"/>
    <col min="1024" max="1025" width="8" bestFit="1" customWidth="1"/>
    <col min="1026" max="1026" width="9" bestFit="1" customWidth="1"/>
    <col min="1027" max="1027" width="8" bestFit="1" customWidth="1"/>
    <col min="1028" max="1028" width="9" bestFit="1" customWidth="1"/>
    <col min="1029" max="1030" width="7" bestFit="1" customWidth="1"/>
    <col min="1031" max="1034" width="9" bestFit="1" customWidth="1"/>
    <col min="1035" max="1035" width="8" bestFit="1" customWidth="1"/>
    <col min="1036" max="1041" width="9" bestFit="1" customWidth="1"/>
    <col min="1042" max="1042" width="8" bestFit="1" customWidth="1"/>
    <col min="1043" max="1045" width="9" bestFit="1" customWidth="1"/>
    <col min="1046" max="1046" width="8" bestFit="1" customWidth="1"/>
    <col min="1047" max="1047" width="9" bestFit="1" customWidth="1"/>
    <col min="1048" max="1048" width="8" bestFit="1" customWidth="1"/>
    <col min="1049" max="1050" width="9" bestFit="1" customWidth="1"/>
    <col min="1051" max="1051" width="8" bestFit="1" customWidth="1"/>
    <col min="1052" max="1055" width="9" bestFit="1" customWidth="1"/>
    <col min="1056" max="1056" width="7" bestFit="1" customWidth="1"/>
    <col min="1057" max="1060" width="8" bestFit="1" customWidth="1"/>
    <col min="1061" max="1061" width="9" bestFit="1" customWidth="1"/>
    <col min="1062" max="1062" width="7" bestFit="1" customWidth="1"/>
    <col min="1063" max="1063" width="8" bestFit="1" customWidth="1"/>
    <col min="1064" max="1067" width="9" bestFit="1" customWidth="1"/>
    <col min="1068" max="1068" width="8" bestFit="1" customWidth="1"/>
    <col min="1069" max="1069" width="9" bestFit="1" customWidth="1"/>
    <col min="1070" max="1070" width="7" bestFit="1" customWidth="1"/>
    <col min="1071" max="1071" width="8" bestFit="1" customWidth="1"/>
    <col min="1072" max="1072" width="9" bestFit="1" customWidth="1"/>
    <col min="1073" max="1073" width="8" bestFit="1" customWidth="1"/>
    <col min="1074" max="1074" width="9" bestFit="1" customWidth="1"/>
    <col min="1075" max="1075" width="8" bestFit="1" customWidth="1"/>
    <col min="1076" max="1086" width="9" bestFit="1" customWidth="1"/>
    <col min="1087" max="1087" width="8" bestFit="1" customWidth="1"/>
    <col min="1088" max="1088" width="9" bestFit="1" customWidth="1"/>
    <col min="1089" max="1089" width="8" bestFit="1" customWidth="1"/>
    <col min="1090" max="1096" width="9" bestFit="1" customWidth="1"/>
    <col min="1097" max="1097" width="7" bestFit="1" customWidth="1"/>
    <col min="1098" max="1100" width="9" bestFit="1" customWidth="1"/>
    <col min="1101" max="1102" width="8" bestFit="1" customWidth="1"/>
    <col min="1103" max="1103" width="9" bestFit="1" customWidth="1"/>
    <col min="1104" max="1104" width="8" bestFit="1" customWidth="1"/>
    <col min="1105" max="1109" width="10" bestFit="1" customWidth="1"/>
    <col min="1110" max="1110" width="9" bestFit="1" customWidth="1"/>
    <col min="1111" max="1113" width="10" bestFit="1" customWidth="1"/>
    <col min="1114" max="1114" width="8" bestFit="1" customWidth="1"/>
    <col min="1115" max="1117" width="10" bestFit="1" customWidth="1"/>
    <col min="1118" max="1118" width="9" bestFit="1" customWidth="1"/>
    <col min="1119" max="1120" width="10" bestFit="1" customWidth="1"/>
    <col min="1121" max="1121" width="9" bestFit="1" customWidth="1"/>
    <col min="1122" max="1122" width="8" bestFit="1" customWidth="1"/>
    <col min="1123" max="1123" width="9" bestFit="1" customWidth="1"/>
    <col min="1124" max="1124" width="8" bestFit="1" customWidth="1"/>
    <col min="1125" max="1125" width="9" bestFit="1" customWidth="1"/>
    <col min="1126" max="1126" width="10" bestFit="1" customWidth="1"/>
    <col min="1127" max="1127" width="9" bestFit="1" customWidth="1"/>
    <col min="1128" max="1129" width="10" bestFit="1" customWidth="1"/>
    <col min="1130" max="1130" width="8" bestFit="1" customWidth="1"/>
    <col min="1131" max="1135" width="10" bestFit="1" customWidth="1"/>
    <col min="1136" max="1137" width="9" bestFit="1" customWidth="1"/>
    <col min="1138" max="1143" width="10" bestFit="1" customWidth="1"/>
    <col min="1144" max="1145" width="9" bestFit="1" customWidth="1"/>
    <col min="1146" max="1147" width="10" bestFit="1" customWidth="1"/>
    <col min="1148" max="1148" width="8" bestFit="1" customWidth="1"/>
    <col min="1149" max="1150" width="9" bestFit="1" customWidth="1"/>
    <col min="1151" max="1151" width="10" bestFit="1" customWidth="1"/>
    <col min="1152" max="1152" width="8" bestFit="1" customWidth="1"/>
    <col min="1153" max="1154" width="10" bestFit="1" customWidth="1"/>
    <col min="1155" max="1155" width="9" bestFit="1" customWidth="1"/>
    <col min="1156" max="1156" width="10" bestFit="1" customWidth="1"/>
    <col min="1157" max="1158" width="9" bestFit="1" customWidth="1"/>
    <col min="1159" max="1161" width="10" bestFit="1" customWidth="1"/>
    <col min="1162" max="1162" width="8" bestFit="1" customWidth="1"/>
    <col min="1163" max="1163" width="9" bestFit="1" customWidth="1"/>
    <col min="1164" max="1168" width="10" bestFit="1" customWidth="1"/>
    <col min="1169" max="1169" width="12" bestFit="1" customWidth="1"/>
    <col min="1170" max="1170" width="10" bestFit="1" customWidth="1"/>
    <col min="1171" max="1171" width="12" bestFit="1" customWidth="1"/>
    <col min="1172" max="1172" width="10" bestFit="1" customWidth="1"/>
    <col min="1173" max="1174" width="12" bestFit="1" customWidth="1"/>
    <col min="1175" max="1175" width="10" bestFit="1" customWidth="1"/>
    <col min="1176" max="1177" width="9" bestFit="1" customWidth="1"/>
    <col min="1178" max="1178" width="8" bestFit="1" customWidth="1"/>
    <col min="1179" max="1183" width="10" bestFit="1" customWidth="1"/>
    <col min="1184" max="1184" width="8" bestFit="1" customWidth="1"/>
    <col min="1185" max="1186" width="10" bestFit="1" customWidth="1"/>
    <col min="1187" max="1187" width="9" bestFit="1" customWidth="1"/>
    <col min="1188" max="1191" width="10" bestFit="1" customWidth="1"/>
    <col min="1192" max="1192" width="9" bestFit="1" customWidth="1"/>
    <col min="1193" max="1193" width="10" bestFit="1" customWidth="1"/>
    <col min="1194" max="1196" width="9" bestFit="1" customWidth="1"/>
    <col min="1197" max="1200" width="10" bestFit="1" customWidth="1"/>
    <col min="1201" max="1201" width="8" bestFit="1" customWidth="1"/>
    <col min="1202" max="1203" width="9" bestFit="1" customWidth="1"/>
    <col min="1204" max="1204" width="10" bestFit="1" customWidth="1"/>
    <col min="1205" max="1205" width="9" bestFit="1" customWidth="1"/>
    <col min="1206" max="1207" width="10" bestFit="1" customWidth="1"/>
    <col min="1208" max="1208" width="9" bestFit="1" customWidth="1"/>
    <col min="1209" max="1211" width="10" bestFit="1" customWidth="1"/>
    <col min="1212" max="1212" width="9" bestFit="1" customWidth="1"/>
    <col min="1213" max="1213" width="10" bestFit="1" customWidth="1"/>
    <col min="1214" max="1215" width="9" bestFit="1" customWidth="1"/>
    <col min="1216" max="1224" width="10" bestFit="1" customWidth="1"/>
    <col min="1225" max="1225" width="9" bestFit="1" customWidth="1"/>
    <col min="1226" max="1228" width="10" bestFit="1" customWidth="1"/>
    <col min="1229" max="1229" width="9" bestFit="1" customWidth="1"/>
    <col min="1230" max="1230" width="10" bestFit="1" customWidth="1"/>
    <col min="1231" max="1231" width="9" bestFit="1" customWidth="1"/>
    <col min="1232" max="1232" width="10" bestFit="1" customWidth="1"/>
    <col min="1233" max="1233" width="9" bestFit="1" customWidth="1"/>
    <col min="1234" max="1235" width="10" bestFit="1" customWidth="1"/>
    <col min="1236" max="1236" width="8" bestFit="1" customWidth="1"/>
    <col min="1237" max="1237" width="10" bestFit="1" customWidth="1"/>
    <col min="1238" max="1240" width="9" bestFit="1" customWidth="1"/>
    <col min="1241" max="1248" width="10" bestFit="1" customWidth="1"/>
    <col min="1249" max="1250" width="9" bestFit="1" customWidth="1"/>
    <col min="1251" max="1256" width="10" bestFit="1" customWidth="1"/>
    <col min="1257" max="1257" width="8" bestFit="1" customWidth="1"/>
    <col min="1258" max="1259" width="10" bestFit="1" customWidth="1"/>
    <col min="1260" max="1260" width="9" bestFit="1" customWidth="1"/>
    <col min="1261" max="1261" width="10" bestFit="1" customWidth="1"/>
    <col min="1262" max="1266" width="9" bestFit="1" customWidth="1"/>
    <col min="1267" max="1271" width="10" bestFit="1" customWidth="1"/>
    <col min="1272" max="1272" width="9" bestFit="1" customWidth="1"/>
    <col min="1273" max="1273" width="10" bestFit="1" customWidth="1"/>
    <col min="1274" max="1274" width="8" bestFit="1" customWidth="1"/>
    <col min="1275" max="1275" width="10" bestFit="1" customWidth="1"/>
    <col min="1276" max="1276" width="9" bestFit="1" customWidth="1"/>
    <col min="1277" max="1277" width="8" bestFit="1" customWidth="1"/>
    <col min="1278" max="1278" width="9" bestFit="1" customWidth="1"/>
    <col min="1279" max="1279" width="10" bestFit="1" customWidth="1"/>
    <col min="1280" max="1281" width="9" bestFit="1" customWidth="1"/>
    <col min="1282" max="1290" width="10" bestFit="1" customWidth="1"/>
    <col min="1291" max="1291" width="9" bestFit="1" customWidth="1"/>
    <col min="1292" max="1292" width="10" bestFit="1" customWidth="1"/>
    <col min="1293" max="1294" width="9" bestFit="1" customWidth="1"/>
    <col min="1295" max="1297" width="10" bestFit="1" customWidth="1"/>
    <col min="1298" max="1300" width="9" bestFit="1" customWidth="1"/>
    <col min="1301" max="1306" width="10" bestFit="1" customWidth="1"/>
    <col min="1307" max="1307" width="9" bestFit="1" customWidth="1"/>
    <col min="1308" max="1308" width="10" bestFit="1" customWidth="1"/>
    <col min="1309" max="1309" width="9" bestFit="1" customWidth="1"/>
    <col min="1310" max="1310" width="10" bestFit="1" customWidth="1"/>
    <col min="1311" max="1312" width="8" bestFit="1" customWidth="1"/>
    <col min="1313" max="1313" width="10" bestFit="1" customWidth="1"/>
    <col min="1314" max="1315" width="8" bestFit="1" customWidth="1"/>
    <col min="1316" max="1316" width="9" bestFit="1" customWidth="1"/>
    <col min="1317" max="1317" width="10" bestFit="1" customWidth="1"/>
    <col min="1318" max="1318" width="7" bestFit="1" customWidth="1"/>
    <col min="1319" max="1325" width="10" bestFit="1" customWidth="1"/>
    <col min="1326" max="1326" width="9" bestFit="1" customWidth="1"/>
    <col min="1327" max="1328" width="10" bestFit="1" customWidth="1"/>
    <col min="1329" max="1329" width="7" bestFit="1" customWidth="1"/>
    <col min="1330" max="1335" width="10" bestFit="1" customWidth="1"/>
    <col min="1336" max="1337" width="9" bestFit="1" customWidth="1"/>
    <col min="1338" max="1344" width="10" bestFit="1" customWidth="1"/>
    <col min="1345" max="1345" width="8" bestFit="1" customWidth="1"/>
    <col min="1346" max="1347" width="9" bestFit="1" customWidth="1"/>
    <col min="1348" max="1348" width="10" bestFit="1" customWidth="1"/>
    <col min="1349" max="1349" width="8" bestFit="1" customWidth="1"/>
    <col min="1350" max="1353" width="10" bestFit="1" customWidth="1"/>
    <col min="1354" max="1354" width="9" bestFit="1" customWidth="1"/>
    <col min="1355" max="1355" width="10" bestFit="1" customWidth="1"/>
    <col min="1356" max="1356" width="9" bestFit="1" customWidth="1"/>
    <col min="1357" max="1359" width="10" bestFit="1" customWidth="1"/>
    <col min="1360" max="1360" width="9" bestFit="1" customWidth="1"/>
    <col min="1361" max="1362" width="10" bestFit="1" customWidth="1"/>
    <col min="1363" max="1363" width="9" bestFit="1" customWidth="1"/>
    <col min="1364" max="1367" width="10" bestFit="1" customWidth="1"/>
    <col min="1368" max="1369" width="9" bestFit="1" customWidth="1"/>
    <col min="1370" max="1375" width="10" bestFit="1" customWidth="1"/>
    <col min="1376" max="1376" width="9" bestFit="1" customWidth="1"/>
    <col min="1377" max="1379" width="10" bestFit="1" customWidth="1"/>
    <col min="1380" max="1381" width="9" bestFit="1" customWidth="1"/>
    <col min="1382" max="1384" width="10" bestFit="1" customWidth="1"/>
    <col min="1385" max="1385" width="9" bestFit="1" customWidth="1"/>
    <col min="1386" max="1387" width="10" bestFit="1" customWidth="1"/>
    <col min="1388" max="1388" width="9" bestFit="1" customWidth="1"/>
    <col min="1389" max="1394" width="10" bestFit="1" customWidth="1"/>
    <col min="1395" max="1395" width="9" bestFit="1" customWidth="1"/>
    <col min="1396" max="1396" width="10" bestFit="1" customWidth="1"/>
    <col min="1397" max="1397" width="9" bestFit="1" customWidth="1"/>
    <col min="1398" max="1398" width="10" bestFit="1" customWidth="1"/>
    <col min="1399" max="1399" width="9" bestFit="1" customWidth="1"/>
    <col min="1400" max="1401" width="10" bestFit="1" customWidth="1"/>
    <col min="1402" max="1402" width="8" bestFit="1" customWidth="1"/>
    <col min="1403" max="1403" width="9" bestFit="1" customWidth="1"/>
    <col min="1404" max="1405" width="10" bestFit="1" customWidth="1"/>
    <col min="1406" max="1406" width="9" bestFit="1" customWidth="1"/>
    <col min="1407" max="1407" width="10" bestFit="1" customWidth="1"/>
    <col min="1408" max="1409" width="9" bestFit="1" customWidth="1"/>
    <col min="1410" max="1412" width="10" bestFit="1" customWidth="1"/>
    <col min="1413" max="1413" width="9" bestFit="1" customWidth="1"/>
    <col min="1414" max="1414" width="8" bestFit="1" customWidth="1"/>
    <col min="1415" max="1416" width="10" bestFit="1" customWidth="1"/>
    <col min="1417" max="1417" width="9" bestFit="1" customWidth="1"/>
    <col min="1418" max="1419" width="10" bestFit="1" customWidth="1"/>
    <col min="1420" max="1420" width="9" bestFit="1" customWidth="1"/>
    <col min="1421" max="1421" width="8" bestFit="1" customWidth="1"/>
    <col min="1422" max="1428" width="10" bestFit="1" customWidth="1"/>
    <col min="1429" max="1429" width="9" bestFit="1" customWidth="1"/>
    <col min="1430" max="1432" width="10" bestFit="1" customWidth="1"/>
    <col min="1433" max="1433" width="9" bestFit="1" customWidth="1"/>
    <col min="1434" max="1434" width="7" bestFit="1" customWidth="1"/>
    <col min="1435" max="1437" width="10" bestFit="1" customWidth="1"/>
    <col min="1438" max="1438" width="9" bestFit="1" customWidth="1"/>
    <col min="1439" max="1445" width="10" bestFit="1" customWidth="1"/>
    <col min="1446" max="1446" width="8" bestFit="1" customWidth="1"/>
    <col min="1447" max="1447" width="9" bestFit="1" customWidth="1"/>
    <col min="1448" max="1449" width="10" bestFit="1" customWidth="1"/>
    <col min="1450" max="1450" width="9" bestFit="1" customWidth="1"/>
    <col min="1451" max="1453" width="10" bestFit="1" customWidth="1"/>
    <col min="1454" max="1454" width="9" bestFit="1" customWidth="1"/>
    <col min="1455" max="1455" width="10" bestFit="1" customWidth="1"/>
    <col min="1456" max="1456" width="9" bestFit="1" customWidth="1"/>
    <col min="1457" max="1460" width="10" bestFit="1" customWidth="1"/>
    <col min="1461" max="1462" width="9" bestFit="1" customWidth="1"/>
    <col min="1463" max="1464" width="10" bestFit="1" customWidth="1"/>
    <col min="1465" max="1470" width="9" bestFit="1" customWidth="1"/>
    <col min="1471" max="1471" width="10" bestFit="1" customWidth="1"/>
    <col min="1472" max="1472" width="9" bestFit="1" customWidth="1"/>
    <col min="1473" max="1476" width="10" bestFit="1" customWidth="1"/>
    <col min="1477" max="1477" width="9" bestFit="1" customWidth="1"/>
    <col min="1478" max="1484" width="10" bestFit="1" customWidth="1"/>
    <col min="1485" max="1485" width="9" bestFit="1" customWidth="1"/>
    <col min="1486" max="1488" width="10" bestFit="1" customWidth="1"/>
    <col min="1489" max="1489" width="9" bestFit="1" customWidth="1"/>
    <col min="1490" max="1490" width="10" bestFit="1" customWidth="1"/>
    <col min="1491" max="1491" width="9" bestFit="1" customWidth="1"/>
    <col min="1492" max="1492" width="10" bestFit="1" customWidth="1"/>
    <col min="1493" max="1493" width="9" bestFit="1" customWidth="1"/>
    <col min="1494" max="1494" width="10" bestFit="1" customWidth="1"/>
    <col min="1495" max="1495" width="9" bestFit="1" customWidth="1"/>
    <col min="1496" max="1496" width="10" bestFit="1" customWidth="1"/>
    <col min="1497" max="1497" width="9" bestFit="1" customWidth="1"/>
    <col min="1498" max="1499" width="10" bestFit="1" customWidth="1"/>
    <col min="1500" max="1500" width="9" bestFit="1" customWidth="1"/>
    <col min="1501" max="1504" width="10" bestFit="1" customWidth="1"/>
    <col min="1505" max="1506" width="9" bestFit="1" customWidth="1"/>
    <col min="1507" max="1511" width="10" bestFit="1" customWidth="1"/>
    <col min="1512" max="1512" width="9" bestFit="1" customWidth="1"/>
    <col min="1513" max="1515" width="10" bestFit="1" customWidth="1"/>
    <col min="1516" max="1516" width="9" bestFit="1" customWidth="1"/>
    <col min="1517" max="1521" width="10" bestFit="1" customWidth="1"/>
    <col min="1522" max="1522" width="9" bestFit="1" customWidth="1"/>
    <col min="1523" max="1532" width="10" bestFit="1" customWidth="1"/>
    <col min="1533" max="1534" width="9" bestFit="1" customWidth="1"/>
    <col min="1535" max="1538" width="10" bestFit="1" customWidth="1"/>
    <col min="1539" max="1539" width="9" bestFit="1" customWidth="1"/>
    <col min="1540" max="1540" width="10" bestFit="1" customWidth="1"/>
    <col min="1541" max="1541" width="8" bestFit="1" customWidth="1"/>
    <col min="1542" max="1542" width="10" bestFit="1" customWidth="1"/>
    <col min="1543" max="1544" width="9" bestFit="1" customWidth="1"/>
    <col min="1545" max="1545" width="10" bestFit="1" customWidth="1"/>
    <col min="1546" max="1547" width="9" bestFit="1" customWidth="1"/>
    <col min="1548" max="1555" width="10" bestFit="1" customWidth="1"/>
    <col min="1556" max="1557" width="9" bestFit="1" customWidth="1"/>
    <col min="1558" max="1558" width="8" bestFit="1" customWidth="1"/>
    <col min="1559" max="1564" width="10" bestFit="1" customWidth="1"/>
    <col min="1565" max="1565" width="9" bestFit="1" customWidth="1"/>
    <col min="1566" max="1570" width="10" bestFit="1" customWidth="1"/>
    <col min="1571" max="1571" width="8" bestFit="1" customWidth="1"/>
    <col min="1572" max="1572" width="10" bestFit="1" customWidth="1"/>
    <col min="1573" max="1573" width="9" bestFit="1" customWidth="1"/>
    <col min="1574" max="1575" width="10" bestFit="1" customWidth="1"/>
    <col min="1576" max="1576" width="9" bestFit="1" customWidth="1"/>
    <col min="1577" max="1577" width="10" bestFit="1" customWidth="1"/>
    <col min="1578" max="1578" width="9" bestFit="1" customWidth="1"/>
    <col min="1579" max="1581" width="10" bestFit="1" customWidth="1"/>
    <col min="1582" max="1582" width="8" bestFit="1" customWidth="1"/>
    <col min="1583" max="1583" width="10" bestFit="1" customWidth="1"/>
    <col min="1584" max="1584" width="9" bestFit="1" customWidth="1"/>
    <col min="1585" max="1585" width="8" bestFit="1" customWidth="1"/>
    <col min="1586" max="1586" width="10" bestFit="1" customWidth="1"/>
    <col min="1587" max="1587" width="9" bestFit="1" customWidth="1"/>
    <col min="1588" max="1590" width="10" bestFit="1" customWidth="1"/>
    <col min="1591" max="1591" width="9" bestFit="1" customWidth="1"/>
    <col min="1592" max="1592" width="8" bestFit="1" customWidth="1"/>
    <col min="1593" max="1594" width="10" bestFit="1" customWidth="1"/>
    <col min="1595" max="1595" width="8" bestFit="1" customWidth="1"/>
    <col min="1596" max="1596" width="9" bestFit="1" customWidth="1"/>
    <col min="1597" max="1597" width="8" bestFit="1" customWidth="1"/>
    <col min="1598" max="1598" width="10" bestFit="1" customWidth="1"/>
    <col min="1599" max="1599" width="8" bestFit="1" customWidth="1"/>
    <col min="1600" max="1600" width="10" bestFit="1" customWidth="1"/>
    <col min="1601" max="1601" width="9" bestFit="1" customWidth="1"/>
    <col min="1602" max="1602" width="10" bestFit="1" customWidth="1"/>
    <col min="1603" max="1603" width="9" bestFit="1" customWidth="1"/>
    <col min="1604" max="1604" width="10" bestFit="1" customWidth="1"/>
    <col min="1605" max="1605" width="9" bestFit="1" customWidth="1"/>
    <col min="1606" max="1606" width="8" bestFit="1" customWidth="1"/>
    <col min="1607" max="1607" width="9" bestFit="1" customWidth="1"/>
    <col min="1608" max="1616" width="10" bestFit="1" customWidth="1"/>
    <col min="1617" max="1618" width="9" bestFit="1" customWidth="1"/>
    <col min="1619" max="1619" width="8" bestFit="1" customWidth="1"/>
    <col min="1620" max="1621" width="9" bestFit="1" customWidth="1"/>
    <col min="1622" max="1623" width="10" bestFit="1" customWidth="1"/>
    <col min="1624" max="1624" width="8" bestFit="1" customWidth="1"/>
    <col min="1625" max="1629" width="10" bestFit="1" customWidth="1"/>
    <col min="1630" max="1630" width="9" bestFit="1" customWidth="1"/>
    <col min="1631" max="1636" width="10" bestFit="1" customWidth="1"/>
    <col min="1637" max="1639" width="9" bestFit="1" customWidth="1"/>
    <col min="1640" max="1640" width="8" bestFit="1" customWidth="1"/>
    <col min="1641" max="1641" width="9" bestFit="1" customWidth="1"/>
    <col min="1642" max="1642" width="8" bestFit="1" customWidth="1"/>
    <col min="1643" max="1643" width="10" bestFit="1" customWidth="1"/>
    <col min="1644" max="1644" width="9" bestFit="1" customWidth="1"/>
    <col min="1645" max="1645" width="10" bestFit="1" customWidth="1"/>
    <col min="1646" max="1646" width="9" bestFit="1" customWidth="1"/>
    <col min="1647" max="1648" width="10" bestFit="1" customWidth="1"/>
    <col min="1649" max="1649" width="9" bestFit="1" customWidth="1"/>
    <col min="1650" max="1651" width="10" bestFit="1" customWidth="1"/>
    <col min="1652" max="1652" width="8" bestFit="1" customWidth="1"/>
    <col min="1653" max="1653" width="10" bestFit="1" customWidth="1"/>
    <col min="1654" max="1654" width="8" bestFit="1" customWidth="1"/>
    <col min="1655" max="1656" width="10" bestFit="1" customWidth="1"/>
    <col min="1657" max="1658" width="8" bestFit="1" customWidth="1"/>
    <col min="1659" max="1661" width="10" bestFit="1" customWidth="1"/>
    <col min="1662" max="1663" width="9" bestFit="1" customWidth="1"/>
    <col min="1664" max="1665" width="10" bestFit="1" customWidth="1"/>
    <col min="1666" max="1666" width="8" bestFit="1" customWidth="1"/>
    <col min="1667" max="1669" width="10" bestFit="1" customWidth="1"/>
    <col min="1670" max="1670" width="8" bestFit="1" customWidth="1"/>
    <col min="1671" max="1671" width="9" bestFit="1" customWidth="1"/>
    <col min="1672" max="1677" width="10" bestFit="1" customWidth="1"/>
    <col min="1678" max="1678" width="9" bestFit="1" customWidth="1"/>
    <col min="1679" max="1681" width="10" bestFit="1" customWidth="1"/>
    <col min="1682" max="1682" width="9" bestFit="1" customWidth="1"/>
    <col min="1683" max="1683" width="8" bestFit="1" customWidth="1"/>
    <col min="1684" max="1686" width="10" bestFit="1" customWidth="1"/>
    <col min="1687" max="1688" width="9" bestFit="1" customWidth="1"/>
    <col min="1689" max="1693" width="10" bestFit="1" customWidth="1"/>
    <col min="1694" max="1694" width="9" bestFit="1" customWidth="1"/>
    <col min="1695" max="1700" width="10" bestFit="1" customWidth="1"/>
    <col min="1701" max="1702" width="9" bestFit="1" customWidth="1"/>
    <col min="1703" max="1706" width="10" bestFit="1" customWidth="1"/>
    <col min="1707" max="1707" width="9" bestFit="1" customWidth="1"/>
    <col min="1708" max="1710" width="10" bestFit="1" customWidth="1"/>
    <col min="1711" max="1711" width="9" bestFit="1" customWidth="1"/>
    <col min="1712" max="1721" width="10" bestFit="1" customWidth="1"/>
    <col min="1722" max="1722" width="9" bestFit="1" customWidth="1"/>
    <col min="1723" max="1725" width="10" bestFit="1" customWidth="1"/>
    <col min="1726" max="1726" width="9" bestFit="1" customWidth="1"/>
    <col min="1727" max="1730" width="10" bestFit="1" customWidth="1"/>
    <col min="1731" max="1731" width="8" bestFit="1" customWidth="1"/>
    <col min="1732" max="1733" width="10" bestFit="1" customWidth="1"/>
    <col min="1734" max="1734" width="8" bestFit="1" customWidth="1"/>
    <col min="1735" max="1735" width="10" bestFit="1" customWidth="1"/>
    <col min="1736" max="1736" width="9" bestFit="1" customWidth="1"/>
    <col min="1737" max="1738" width="10" bestFit="1" customWidth="1"/>
    <col min="1739" max="1739" width="9" bestFit="1" customWidth="1"/>
    <col min="1740" max="1748" width="10" bestFit="1" customWidth="1"/>
    <col min="1749" max="1749" width="8" bestFit="1" customWidth="1"/>
    <col min="1750" max="1750" width="9" bestFit="1" customWidth="1"/>
    <col min="1751" max="1751" width="10" bestFit="1" customWidth="1"/>
    <col min="1752" max="1753" width="9" bestFit="1" customWidth="1"/>
    <col min="1754" max="1754" width="10" bestFit="1" customWidth="1"/>
    <col min="1755" max="1756" width="9" bestFit="1" customWidth="1"/>
    <col min="1757" max="1757" width="8" bestFit="1" customWidth="1"/>
    <col min="1758" max="1758" width="9" bestFit="1" customWidth="1"/>
    <col min="1759" max="1759" width="10" bestFit="1" customWidth="1"/>
    <col min="1760" max="1761" width="9" bestFit="1" customWidth="1"/>
    <col min="1762" max="1767" width="10" bestFit="1" customWidth="1"/>
    <col min="1768" max="1768" width="8" bestFit="1" customWidth="1"/>
    <col min="1769" max="1770" width="9" bestFit="1" customWidth="1"/>
    <col min="1771" max="1773" width="10" bestFit="1" customWidth="1"/>
    <col min="1774" max="1774" width="9" bestFit="1" customWidth="1"/>
    <col min="1775" max="1779" width="10" bestFit="1" customWidth="1"/>
    <col min="1780" max="1780" width="9" bestFit="1" customWidth="1"/>
    <col min="1781" max="1782" width="10" bestFit="1" customWidth="1"/>
    <col min="1783" max="1783" width="8" bestFit="1" customWidth="1"/>
    <col min="1784" max="1790" width="10" bestFit="1" customWidth="1"/>
    <col min="1791" max="1791" width="8" bestFit="1" customWidth="1"/>
    <col min="1792" max="1795" width="10" bestFit="1" customWidth="1"/>
    <col min="1796" max="1796" width="9" bestFit="1" customWidth="1"/>
    <col min="1797" max="1800" width="10" bestFit="1" customWidth="1"/>
    <col min="1801" max="1801" width="9" bestFit="1" customWidth="1"/>
    <col min="1802" max="1802" width="10" bestFit="1" customWidth="1"/>
    <col min="1803" max="1804" width="8" bestFit="1" customWidth="1"/>
    <col min="1805" max="1808" width="10" bestFit="1" customWidth="1"/>
    <col min="1809" max="1809" width="9" bestFit="1" customWidth="1"/>
    <col min="1810" max="1810" width="8" bestFit="1" customWidth="1"/>
    <col min="1811" max="1813" width="9" bestFit="1" customWidth="1"/>
    <col min="1814" max="1814" width="10" bestFit="1" customWidth="1"/>
    <col min="1815" max="1815" width="9" bestFit="1" customWidth="1"/>
    <col min="1816" max="1818" width="10" bestFit="1" customWidth="1"/>
    <col min="1819" max="1819" width="9" bestFit="1" customWidth="1"/>
    <col min="1820" max="1827" width="10" bestFit="1" customWidth="1"/>
    <col min="1828" max="1828" width="9" bestFit="1" customWidth="1"/>
    <col min="1829" max="1830" width="10" bestFit="1" customWidth="1"/>
    <col min="1831" max="1831" width="8" bestFit="1" customWidth="1"/>
    <col min="1832" max="1832" width="10" bestFit="1" customWidth="1"/>
    <col min="1833" max="1833" width="8" bestFit="1" customWidth="1"/>
    <col min="1834" max="1836" width="10" bestFit="1" customWidth="1"/>
    <col min="1837" max="1837" width="9" bestFit="1" customWidth="1"/>
    <col min="1838" max="1838" width="10" bestFit="1" customWidth="1"/>
    <col min="1839" max="1839" width="9" bestFit="1" customWidth="1"/>
    <col min="1840" max="1840" width="8" bestFit="1" customWidth="1"/>
    <col min="1841" max="1841" width="10" bestFit="1" customWidth="1"/>
    <col min="1842" max="1842" width="8" bestFit="1" customWidth="1"/>
    <col min="1843" max="1845" width="9" bestFit="1" customWidth="1"/>
    <col min="1846" max="1846" width="10" bestFit="1" customWidth="1"/>
    <col min="1847" max="1847" width="9" bestFit="1" customWidth="1"/>
    <col min="1848" max="1848" width="10" bestFit="1" customWidth="1"/>
    <col min="1849" max="1849" width="9" bestFit="1" customWidth="1"/>
    <col min="1850" max="1850" width="7" bestFit="1" customWidth="1"/>
    <col min="1851" max="1854" width="10" bestFit="1" customWidth="1"/>
    <col min="1855" max="1855" width="9" bestFit="1" customWidth="1"/>
    <col min="1856" max="1856" width="8" bestFit="1" customWidth="1"/>
    <col min="1857" max="1857" width="10" bestFit="1" customWidth="1"/>
    <col min="1858" max="1858" width="9" bestFit="1" customWidth="1"/>
    <col min="1859" max="1860" width="10" bestFit="1" customWidth="1"/>
    <col min="1861" max="1861" width="8" bestFit="1" customWidth="1"/>
    <col min="1862" max="1862" width="10" bestFit="1" customWidth="1"/>
    <col min="1863" max="1863" width="5" bestFit="1" customWidth="1"/>
    <col min="1864" max="1864" width="9" bestFit="1" customWidth="1"/>
    <col min="1865" max="1874" width="10" bestFit="1" customWidth="1"/>
    <col min="1875" max="1876" width="9" bestFit="1" customWidth="1"/>
    <col min="1877" max="1877" width="10" bestFit="1" customWidth="1"/>
    <col min="1878" max="1878" width="9" bestFit="1" customWidth="1"/>
    <col min="1879" max="1879" width="10" bestFit="1" customWidth="1"/>
    <col min="1880" max="1881" width="8" bestFit="1" customWidth="1"/>
    <col min="1882" max="1883" width="9" bestFit="1" customWidth="1"/>
    <col min="1884" max="1885" width="10" bestFit="1" customWidth="1"/>
    <col min="1886" max="1886" width="9" bestFit="1" customWidth="1"/>
    <col min="1887" max="1891" width="10" bestFit="1" customWidth="1"/>
    <col min="1892" max="1892" width="8" bestFit="1" customWidth="1"/>
    <col min="1893" max="1893" width="10" bestFit="1" customWidth="1"/>
    <col min="1894" max="1894" width="8" bestFit="1" customWidth="1"/>
    <col min="1895" max="1898" width="10" bestFit="1" customWidth="1"/>
    <col min="1899" max="1899" width="8" bestFit="1" customWidth="1"/>
    <col min="1900" max="1901" width="10" bestFit="1" customWidth="1"/>
    <col min="1902" max="1903" width="9" bestFit="1" customWidth="1"/>
    <col min="1904" max="1906" width="10" bestFit="1" customWidth="1"/>
    <col min="1907" max="1907" width="9" bestFit="1" customWidth="1"/>
    <col min="1908" max="1913" width="10" bestFit="1" customWidth="1"/>
    <col min="1914" max="1914" width="9" bestFit="1" customWidth="1"/>
    <col min="1915" max="1915" width="8" bestFit="1" customWidth="1"/>
    <col min="1916" max="1916" width="9" bestFit="1" customWidth="1"/>
    <col min="1917" max="1919" width="10" bestFit="1" customWidth="1"/>
    <col min="1920" max="1920" width="9" bestFit="1" customWidth="1"/>
    <col min="1921" max="1921" width="10" bestFit="1" customWidth="1"/>
    <col min="1922" max="1922" width="9" bestFit="1" customWidth="1"/>
    <col min="1923" max="1929" width="10" bestFit="1" customWidth="1"/>
    <col min="1930" max="1935" width="9" bestFit="1" customWidth="1"/>
    <col min="1936" max="1936" width="10" bestFit="1" customWidth="1"/>
    <col min="1937" max="1937" width="8" bestFit="1" customWidth="1"/>
    <col min="1938" max="1943" width="10" bestFit="1" customWidth="1"/>
    <col min="1944" max="1944" width="8" bestFit="1" customWidth="1"/>
    <col min="1945" max="1947" width="10" bestFit="1" customWidth="1"/>
    <col min="1948" max="1949" width="9" bestFit="1" customWidth="1"/>
    <col min="1950" max="1954" width="10" bestFit="1" customWidth="1"/>
    <col min="1955" max="1955" width="9" bestFit="1" customWidth="1"/>
    <col min="1956" max="1956" width="10" bestFit="1" customWidth="1"/>
    <col min="1957" max="1957" width="9" bestFit="1" customWidth="1"/>
    <col min="1958" max="1963" width="10" bestFit="1" customWidth="1"/>
    <col min="1964" max="1964" width="9" bestFit="1" customWidth="1"/>
    <col min="1965" max="1965" width="10" bestFit="1" customWidth="1"/>
    <col min="1966" max="1966" width="9" bestFit="1" customWidth="1"/>
    <col min="1967" max="1967" width="10" bestFit="1" customWidth="1"/>
    <col min="1968" max="1968" width="8" bestFit="1" customWidth="1"/>
    <col min="1969" max="1971" width="10" bestFit="1" customWidth="1"/>
    <col min="1972" max="1972" width="9" bestFit="1" customWidth="1"/>
    <col min="1973" max="1974" width="10" bestFit="1" customWidth="1"/>
    <col min="1975" max="1975" width="9" bestFit="1" customWidth="1"/>
    <col min="1976" max="1976" width="10" bestFit="1" customWidth="1"/>
    <col min="1977" max="1977" width="9" bestFit="1" customWidth="1"/>
    <col min="1978" max="1978" width="10" bestFit="1" customWidth="1"/>
    <col min="1979" max="1979" width="9" bestFit="1" customWidth="1"/>
    <col min="1980" max="1980" width="10" bestFit="1" customWidth="1"/>
    <col min="1981" max="1981" width="9" bestFit="1" customWidth="1"/>
    <col min="1982" max="1984" width="10" bestFit="1" customWidth="1"/>
    <col min="1985" max="1985" width="8" bestFit="1" customWidth="1"/>
    <col min="1986" max="1987" width="10" bestFit="1" customWidth="1"/>
    <col min="1988" max="1988" width="8" bestFit="1" customWidth="1"/>
    <col min="1989" max="1990" width="9" bestFit="1" customWidth="1"/>
    <col min="1991" max="1992" width="10" bestFit="1" customWidth="1"/>
    <col min="1993" max="1993" width="9" bestFit="1" customWidth="1"/>
    <col min="1994" max="1996" width="10" bestFit="1" customWidth="1"/>
    <col min="1997" max="1997" width="8" bestFit="1" customWidth="1"/>
    <col min="1998" max="1999" width="10" bestFit="1" customWidth="1"/>
    <col min="2000" max="2000" width="9" bestFit="1" customWidth="1"/>
    <col min="2001" max="2001" width="10" bestFit="1" customWidth="1"/>
    <col min="2002" max="2002" width="10.77734375" bestFit="1" customWidth="1"/>
    <col min="2003" max="2003" width="7" bestFit="1" customWidth="1"/>
    <col min="2004" max="2004" width="8" bestFit="1" customWidth="1"/>
    <col min="2005" max="2005" width="6" bestFit="1" customWidth="1"/>
    <col min="2006" max="2007" width="8" bestFit="1" customWidth="1"/>
    <col min="2008" max="2010" width="7" bestFit="1" customWidth="1"/>
    <col min="2011" max="2015" width="8" bestFit="1" customWidth="1"/>
    <col min="2016" max="2017" width="7" bestFit="1" customWidth="1"/>
    <col min="2018" max="2018" width="8" bestFit="1" customWidth="1"/>
    <col min="2019" max="2019" width="7" bestFit="1" customWidth="1"/>
    <col min="2020" max="2020" width="8" bestFit="1" customWidth="1"/>
    <col min="2021" max="2021" width="7" bestFit="1" customWidth="1"/>
    <col min="2022" max="2025" width="8" bestFit="1" customWidth="1"/>
    <col min="2026" max="2026" width="7" bestFit="1" customWidth="1"/>
    <col min="2027" max="2029" width="8" bestFit="1" customWidth="1"/>
    <col min="2030" max="2030" width="7" bestFit="1" customWidth="1"/>
    <col min="2031" max="2031" width="8" bestFit="1" customWidth="1"/>
    <col min="2032" max="2032" width="7" bestFit="1" customWidth="1"/>
    <col min="2033" max="2034" width="8" bestFit="1" customWidth="1"/>
    <col min="2035" max="2035" width="7" bestFit="1" customWidth="1"/>
    <col min="2036" max="2046" width="8" bestFit="1" customWidth="1"/>
    <col min="2047" max="2047" width="7" bestFit="1" customWidth="1"/>
    <col min="2048" max="2053" width="8" bestFit="1" customWidth="1"/>
    <col min="2054" max="2054" width="6" bestFit="1" customWidth="1"/>
    <col min="2055" max="2057" width="8" bestFit="1" customWidth="1"/>
    <col min="2058" max="2058" width="6" bestFit="1" customWidth="1"/>
    <col min="2059" max="2059" width="7" bestFit="1" customWidth="1"/>
    <col min="2060" max="2063" width="8" bestFit="1" customWidth="1"/>
    <col min="2064" max="2064" width="7" bestFit="1" customWidth="1"/>
    <col min="2065" max="2065" width="8" bestFit="1" customWidth="1"/>
    <col min="2066" max="2066" width="7" bestFit="1" customWidth="1"/>
    <col min="2067" max="2071" width="8" bestFit="1" customWidth="1"/>
    <col min="2072" max="2072" width="7" bestFit="1" customWidth="1"/>
    <col min="2073" max="2075" width="8" bestFit="1" customWidth="1"/>
    <col min="2076" max="2076" width="7" bestFit="1" customWidth="1"/>
    <col min="2077" max="2078" width="8" bestFit="1" customWidth="1"/>
    <col min="2079" max="2079" width="7" bestFit="1" customWidth="1"/>
    <col min="2080" max="2081" width="8" bestFit="1" customWidth="1"/>
    <col min="2082" max="2082" width="7" bestFit="1" customWidth="1"/>
    <col min="2083" max="2085" width="8" bestFit="1" customWidth="1"/>
    <col min="2086" max="2086" width="6" bestFit="1" customWidth="1"/>
    <col min="2087" max="2088" width="8" bestFit="1" customWidth="1"/>
    <col min="2089" max="2089" width="7" bestFit="1" customWidth="1"/>
    <col min="2090" max="2090" width="8" bestFit="1" customWidth="1"/>
    <col min="2091" max="2092" width="9" bestFit="1" customWidth="1"/>
    <col min="2093" max="2093" width="8" bestFit="1" customWidth="1"/>
    <col min="2094" max="2097" width="9" bestFit="1" customWidth="1"/>
    <col min="2098" max="2098" width="8" bestFit="1" customWidth="1"/>
    <col min="2099" max="2109" width="9" bestFit="1" customWidth="1"/>
    <col min="2110" max="2110" width="6" bestFit="1" customWidth="1"/>
    <col min="2111" max="2111" width="9" bestFit="1" customWidth="1"/>
    <col min="2112" max="2112" width="8" bestFit="1" customWidth="1"/>
    <col min="2113" max="2118" width="9" bestFit="1" customWidth="1"/>
    <col min="2119" max="2120" width="8" bestFit="1" customWidth="1"/>
    <col min="2121" max="2126" width="9" bestFit="1" customWidth="1"/>
    <col min="2127" max="2127" width="8" bestFit="1" customWidth="1"/>
    <col min="2128" max="2128" width="9" bestFit="1" customWidth="1"/>
    <col min="2129" max="2130" width="8" bestFit="1" customWidth="1"/>
    <col min="2131" max="2131" width="9" bestFit="1" customWidth="1"/>
    <col min="2132" max="2132" width="6" bestFit="1" customWidth="1"/>
    <col min="2133" max="2133" width="9" bestFit="1" customWidth="1"/>
    <col min="2134" max="2135" width="8" bestFit="1" customWidth="1"/>
    <col min="2136" max="2137" width="9" bestFit="1" customWidth="1"/>
    <col min="2138" max="2138" width="8" bestFit="1" customWidth="1"/>
    <col min="2139" max="2144" width="9" bestFit="1" customWidth="1"/>
    <col min="2145" max="2146" width="8" bestFit="1" customWidth="1"/>
    <col min="2147" max="2148" width="9" bestFit="1" customWidth="1"/>
    <col min="2149" max="2149" width="7" bestFit="1" customWidth="1"/>
    <col min="2150" max="2150" width="8" bestFit="1" customWidth="1"/>
    <col min="2151" max="2151" width="7" bestFit="1" customWidth="1"/>
    <col min="2152" max="2165" width="9" bestFit="1" customWidth="1"/>
    <col min="2166" max="2166" width="8" bestFit="1" customWidth="1"/>
    <col min="2167" max="2168" width="9" bestFit="1" customWidth="1"/>
    <col min="2169" max="2169" width="7" bestFit="1" customWidth="1"/>
    <col min="2170" max="2171" width="9" bestFit="1" customWidth="1"/>
    <col min="2172" max="2172" width="8" bestFit="1" customWidth="1"/>
    <col min="2173" max="2176" width="9" bestFit="1" customWidth="1"/>
    <col min="2177" max="2177" width="8" bestFit="1" customWidth="1"/>
    <col min="2178" max="2178" width="9" bestFit="1" customWidth="1"/>
    <col min="2179" max="2179" width="7" bestFit="1" customWidth="1"/>
    <col min="2180" max="2180" width="8" bestFit="1" customWidth="1"/>
    <col min="2181" max="2188" width="9" bestFit="1" customWidth="1"/>
    <col min="2189" max="2190" width="8" bestFit="1" customWidth="1"/>
    <col min="2191" max="2196" width="9" bestFit="1" customWidth="1"/>
    <col min="2197" max="2198" width="8" bestFit="1" customWidth="1"/>
    <col min="2199" max="2199" width="9" bestFit="1" customWidth="1"/>
    <col min="2200" max="2200" width="7" bestFit="1" customWidth="1"/>
    <col min="2201" max="2201" width="9" bestFit="1" customWidth="1"/>
    <col min="2202" max="2202" width="8" bestFit="1" customWidth="1"/>
    <col min="2203" max="2203" width="9" bestFit="1" customWidth="1"/>
    <col min="2204" max="2204" width="7" bestFit="1" customWidth="1"/>
    <col min="2205" max="2205" width="8" bestFit="1" customWidth="1"/>
    <col min="2206" max="2210" width="9" bestFit="1" customWidth="1"/>
    <col min="2211" max="2211" width="8" bestFit="1" customWidth="1"/>
    <col min="2212" max="2220" width="9" bestFit="1" customWidth="1"/>
    <col min="2221" max="2221" width="8" bestFit="1" customWidth="1"/>
    <col min="2222" max="2227" width="9" bestFit="1" customWidth="1"/>
    <col min="2228" max="2228" width="8" bestFit="1" customWidth="1"/>
    <col min="2229" max="2229" width="9" bestFit="1" customWidth="1"/>
    <col min="2230" max="2230" width="8" bestFit="1" customWidth="1"/>
    <col min="2231" max="2232" width="9" bestFit="1" customWidth="1"/>
    <col min="2233" max="2233" width="8" bestFit="1" customWidth="1"/>
    <col min="2234" max="2234" width="9" bestFit="1" customWidth="1"/>
    <col min="2235" max="2235" width="8" bestFit="1" customWidth="1"/>
    <col min="2236" max="2238" width="9" bestFit="1" customWidth="1"/>
    <col min="2239" max="2241" width="8" bestFit="1" customWidth="1"/>
    <col min="2242" max="2242" width="7" bestFit="1" customWidth="1"/>
    <col min="2243" max="2243" width="9" bestFit="1" customWidth="1"/>
    <col min="2244" max="2245" width="8" bestFit="1" customWidth="1"/>
    <col min="2246" max="2247" width="9" bestFit="1" customWidth="1"/>
    <col min="2248" max="2248" width="8" bestFit="1" customWidth="1"/>
    <col min="2249" max="2250" width="9" bestFit="1" customWidth="1"/>
    <col min="2251" max="2252" width="8" bestFit="1" customWidth="1"/>
    <col min="2253" max="2254" width="9" bestFit="1" customWidth="1"/>
    <col min="2255" max="2255" width="8" bestFit="1" customWidth="1"/>
    <col min="2256" max="2257" width="9" bestFit="1" customWidth="1"/>
    <col min="2258" max="2258" width="8" bestFit="1" customWidth="1"/>
    <col min="2259" max="2260" width="9" bestFit="1" customWidth="1"/>
    <col min="2261" max="2261" width="8" bestFit="1" customWidth="1"/>
    <col min="2262" max="2270" width="9" bestFit="1" customWidth="1"/>
    <col min="2271" max="2272" width="8" bestFit="1" customWidth="1"/>
    <col min="2273" max="2273" width="9" bestFit="1" customWidth="1"/>
    <col min="2274" max="2274" width="8" bestFit="1" customWidth="1"/>
    <col min="2275" max="2276" width="9" bestFit="1" customWidth="1"/>
    <col min="2277" max="2277" width="8" bestFit="1" customWidth="1"/>
    <col min="2278" max="2279" width="9" bestFit="1" customWidth="1"/>
    <col min="2280" max="2281" width="8" bestFit="1" customWidth="1"/>
    <col min="2282" max="2283" width="9" bestFit="1" customWidth="1"/>
    <col min="2284" max="2284" width="8" bestFit="1" customWidth="1"/>
    <col min="2285" max="2286" width="9" bestFit="1" customWidth="1"/>
    <col min="2287" max="2287" width="7" bestFit="1" customWidth="1"/>
    <col min="2288" max="2288" width="8" bestFit="1" customWidth="1"/>
    <col min="2289" max="2289" width="9" bestFit="1" customWidth="1"/>
    <col min="2290" max="2290" width="8" bestFit="1" customWidth="1"/>
    <col min="2291" max="2292" width="9" bestFit="1" customWidth="1"/>
    <col min="2293" max="2293" width="8" bestFit="1" customWidth="1"/>
    <col min="2294" max="2295" width="9" bestFit="1" customWidth="1"/>
    <col min="2296" max="2296" width="8" bestFit="1" customWidth="1"/>
    <col min="2297" max="2298" width="9" bestFit="1" customWidth="1"/>
    <col min="2299" max="2299" width="8" bestFit="1" customWidth="1"/>
    <col min="2300" max="2303" width="9" bestFit="1" customWidth="1"/>
    <col min="2304" max="2304" width="8" bestFit="1" customWidth="1"/>
    <col min="2305" max="2317" width="9" bestFit="1" customWidth="1"/>
    <col min="2318" max="2318" width="8" bestFit="1" customWidth="1"/>
    <col min="2319" max="2334" width="9" bestFit="1" customWidth="1"/>
    <col min="2335" max="2335" width="7" bestFit="1" customWidth="1"/>
    <col min="2336" max="2341" width="9" bestFit="1" customWidth="1"/>
    <col min="2342" max="2342" width="7" bestFit="1" customWidth="1"/>
    <col min="2343" max="2345" width="9" bestFit="1" customWidth="1"/>
    <col min="2346" max="2346" width="7" bestFit="1" customWidth="1"/>
    <col min="2347" max="2348" width="9" bestFit="1" customWidth="1"/>
    <col min="2349" max="2349" width="8" bestFit="1" customWidth="1"/>
    <col min="2350" max="2354" width="9" bestFit="1" customWidth="1"/>
    <col min="2355" max="2355" width="8" bestFit="1" customWidth="1"/>
    <col min="2356" max="2356" width="7" bestFit="1" customWidth="1"/>
    <col min="2357" max="2357" width="8" bestFit="1" customWidth="1"/>
    <col min="2358" max="2359" width="9" bestFit="1" customWidth="1"/>
    <col min="2360" max="2361" width="8" bestFit="1" customWidth="1"/>
    <col min="2362" max="2362" width="9" bestFit="1" customWidth="1"/>
    <col min="2363" max="2363" width="7" bestFit="1" customWidth="1"/>
    <col min="2364" max="2365" width="9" bestFit="1" customWidth="1"/>
    <col min="2366" max="2366" width="8" bestFit="1" customWidth="1"/>
    <col min="2367" max="2367" width="7" bestFit="1" customWidth="1"/>
    <col min="2368" max="2369" width="9" bestFit="1" customWidth="1"/>
    <col min="2370" max="2370" width="7" bestFit="1" customWidth="1"/>
    <col min="2371" max="2382" width="9" bestFit="1" customWidth="1"/>
    <col min="2383" max="2383" width="6" bestFit="1" customWidth="1"/>
    <col min="2384" max="2385" width="8" bestFit="1" customWidth="1"/>
    <col min="2386" max="2389" width="9" bestFit="1" customWidth="1"/>
    <col min="2390" max="2390" width="7" bestFit="1" customWidth="1"/>
    <col min="2391" max="2392" width="8" bestFit="1" customWidth="1"/>
    <col min="2393" max="2393" width="9" bestFit="1" customWidth="1"/>
    <col min="2394" max="2394" width="7" bestFit="1" customWidth="1"/>
    <col min="2395" max="2396" width="9" bestFit="1" customWidth="1"/>
    <col min="2397" max="2397" width="8" bestFit="1" customWidth="1"/>
    <col min="2398" max="2400" width="9" bestFit="1" customWidth="1"/>
    <col min="2401" max="2401" width="8" bestFit="1" customWidth="1"/>
    <col min="2402" max="2405" width="9" bestFit="1" customWidth="1"/>
    <col min="2406" max="2406" width="8" bestFit="1" customWidth="1"/>
    <col min="2407" max="2410" width="9" bestFit="1" customWidth="1"/>
    <col min="2411" max="2411" width="8" bestFit="1" customWidth="1"/>
    <col min="2412" max="2414" width="9" bestFit="1" customWidth="1"/>
    <col min="2415" max="2415" width="8" bestFit="1" customWidth="1"/>
    <col min="2416" max="2419" width="9" bestFit="1" customWidth="1"/>
    <col min="2420" max="2420" width="7" bestFit="1" customWidth="1"/>
    <col min="2421" max="2422" width="8" bestFit="1" customWidth="1"/>
    <col min="2423" max="2425" width="9" bestFit="1" customWidth="1"/>
    <col min="2426" max="2426" width="7" bestFit="1" customWidth="1"/>
    <col min="2427" max="2428" width="9" bestFit="1" customWidth="1"/>
    <col min="2429" max="2429" width="8" bestFit="1" customWidth="1"/>
    <col min="2430" max="2430" width="9" bestFit="1" customWidth="1"/>
    <col min="2431" max="2431" width="8" bestFit="1" customWidth="1"/>
    <col min="2432" max="2438" width="9" bestFit="1" customWidth="1"/>
    <col min="2439" max="2439" width="7" bestFit="1" customWidth="1"/>
    <col min="2440" max="2440" width="8" bestFit="1" customWidth="1"/>
    <col min="2441" max="2444" width="9" bestFit="1" customWidth="1"/>
    <col min="2445" max="2446" width="8" bestFit="1" customWidth="1"/>
    <col min="2447" max="2450" width="9" bestFit="1" customWidth="1"/>
    <col min="2451" max="2451" width="8" bestFit="1" customWidth="1"/>
    <col min="2452" max="2452" width="9" bestFit="1" customWidth="1"/>
    <col min="2453" max="2453" width="6" bestFit="1" customWidth="1"/>
    <col min="2454" max="2454" width="9" bestFit="1" customWidth="1"/>
    <col min="2455" max="2456" width="8" bestFit="1" customWidth="1"/>
    <col min="2457" max="2459" width="9" bestFit="1" customWidth="1"/>
    <col min="2460" max="2460" width="7" bestFit="1" customWidth="1"/>
    <col min="2461" max="2463" width="9" bestFit="1" customWidth="1"/>
    <col min="2464" max="2464" width="8" bestFit="1" customWidth="1"/>
    <col min="2465" max="2469" width="9" bestFit="1" customWidth="1"/>
    <col min="2470" max="2470" width="7" bestFit="1" customWidth="1"/>
    <col min="2471" max="2471" width="9" bestFit="1" customWidth="1"/>
    <col min="2472" max="2472" width="8" bestFit="1" customWidth="1"/>
    <col min="2473" max="2474" width="9" bestFit="1" customWidth="1"/>
    <col min="2475" max="2475" width="8" bestFit="1" customWidth="1"/>
    <col min="2476" max="2481" width="9" bestFit="1" customWidth="1"/>
    <col min="2482" max="2482" width="7" bestFit="1" customWidth="1"/>
    <col min="2483" max="2484" width="8" bestFit="1" customWidth="1"/>
    <col min="2485" max="2486" width="9" bestFit="1" customWidth="1"/>
    <col min="2487" max="2487" width="8" bestFit="1" customWidth="1"/>
    <col min="2488" max="2488" width="9" bestFit="1" customWidth="1"/>
    <col min="2489" max="2489" width="8" bestFit="1" customWidth="1"/>
    <col min="2490" max="2490" width="9" bestFit="1" customWidth="1"/>
    <col min="2491" max="2491" width="8" bestFit="1" customWidth="1"/>
    <col min="2492" max="2494" width="9" bestFit="1" customWidth="1"/>
    <col min="2495" max="2495" width="8" bestFit="1" customWidth="1"/>
    <col min="2496" max="2496" width="9" bestFit="1" customWidth="1"/>
    <col min="2497" max="2497" width="8" bestFit="1" customWidth="1"/>
    <col min="2498" max="2501" width="9" bestFit="1" customWidth="1"/>
    <col min="2502" max="2502" width="8" bestFit="1" customWidth="1"/>
    <col min="2503" max="2505" width="9" bestFit="1" customWidth="1"/>
    <col min="2506" max="2506" width="7" bestFit="1" customWidth="1"/>
    <col min="2507" max="2510" width="9" bestFit="1" customWidth="1"/>
    <col min="2511" max="2511" width="8" bestFit="1" customWidth="1"/>
    <col min="2512" max="2512" width="7" bestFit="1" customWidth="1"/>
    <col min="2513" max="2513" width="9" bestFit="1" customWidth="1"/>
    <col min="2514" max="2516" width="8" bestFit="1" customWidth="1"/>
    <col min="2517" max="2518" width="9" bestFit="1" customWidth="1"/>
    <col min="2519" max="2519" width="8" bestFit="1" customWidth="1"/>
    <col min="2520" max="2520" width="9" bestFit="1" customWidth="1"/>
    <col min="2521" max="2521" width="8" bestFit="1" customWidth="1"/>
    <col min="2522" max="2523" width="9" bestFit="1" customWidth="1"/>
    <col min="2524" max="2526" width="8" bestFit="1" customWidth="1"/>
    <col min="2527" max="2527" width="9" bestFit="1" customWidth="1"/>
    <col min="2528" max="2528" width="8" bestFit="1" customWidth="1"/>
    <col min="2529" max="2530" width="9" bestFit="1" customWidth="1"/>
    <col min="2531" max="2531" width="8" bestFit="1" customWidth="1"/>
    <col min="2532" max="2532" width="9" bestFit="1" customWidth="1"/>
    <col min="2533" max="2533" width="8" bestFit="1" customWidth="1"/>
    <col min="2534" max="2535" width="9" bestFit="1" customWidth="1"/>
    <col min="2536" max="2536" width="8" bestFit="1" customWidth="1"/>
    <col min="2537" max="2538" width="9" bestFit="1" customWidth="1"/>
    <col min="2539" max="2539" width="7" bestFit="1" customWidth="1"/>
    <col min="2540" max="2558" width="9" bestFit="1" customWidth="1"/>
    <col min="2559" max="2560" width="8" bestFit="1" customWidth="1"/>
    <col min="2561" max="2563" width="9" bestFit="1" customWidth="1"/>
    <col min="2564" max="2564" width="8" bestFit="1" customWidth="1"/>
    <col min="2565" max="2566" width="9" bestFit="1" customWidth="1"/>
    <col min="2567" max="2567" width="8" bestFit="1" customWidth="1"/>
    <col min="2568" max="2570" width="9" bestFit="1" customWidth="1"/>
    <col min="2571" max="2571" width="7" bestFit="1" customWidth="1"/>
    <col min="2572" max="2572" width="9" bestFit="1" customWidth="1"/>
    <col min="2573" max="2573" width="8" bestFit="1" customWidth="1"/>
    <col min="2574" max="2579" width="9" bestFit="1" customWidth="1"/>
    <col min="2580" max="2580" width="8" bestFit="1" customWidth="1"/>
    <col min="2581" max="2582" width="9" bestFit="1" customWidth="1"/>
    <col min="2583" max="2583" width="7" bestFit="1" customWidth="1"/>
    <col min="2584" max="2587" width="9" bestFit="1" customWidth="1"/>
    <col min="2588" max="2588" width="8" bestFit="1" customWidth="1"/>
    <col min="2589" max="2592" width="9" bestFit="1" customWidth="1"/>
    <col min="2593" max="2593" width="7" bestFit="1" customWidth="1"/>
    <col min="2594" max="2594" width="8" bestFit="1" customWidth="1"/>
    <col min="2595" max="2598" width="9" bestFit="1" customWidth="1"/>
    <col min="2599" max="2599" width="6" bestFit="1" customWidth="1"/>
    <col min="2600" max="2603" width="9" bestFit="1" customWidth="1"/>
    <col min="2604" max="2604" width="8" bestFit="1" customWidth="1"/>
    <col min="2605" max="2605" width="9" bestFit="1" customWidth="1"/>
    <col min="2606" max="2606" width="7" bestFit="1" customWidth="1"/>
    <col min="2607" max="2607" width="8" bestFit="1" customWidth="1"/>
    <col min="2608" max="2612" width="9" bestFit="1" customWidth="1"/>
    <col min="2613" max="2614" width="8" bestFit="1" customWidth="1"/>
    <col min="2615" max="2615" width="9" bestFit="1" customWidth="1"/>
    <col min="2616" max="2616" width="7" bestFit="1" customWidth="1"/>
    <col min="2617" max="2617" width="8" bestFit="1" customWidth="1"/>
    <col min="2618" max="2620" width="9" bestFit="1" customWidth="1"/>
    <col min="2621" max="2621" width="8" bestFit="1" customWidth="1"/>
    <col min="2622" max="2629" width="9" bestFit="1" customWidth="1"/>
    <col min="2630" max="2630" width="8" bestFit="1" customWidth="1"/>
    <col min="2631" max="2633" width="9" bestFit="1" customWidth="1"/>
    <col min="2634" max="2635" width="8" bestFit="1" customWidth="1"/>
    <col min="2636" max="2636" width="9" bestFit="1" customWidth="1"/>
    <col min="2637" max="2638" width="8" bestFit="1" customWidth="1"/>
    <col min="2639" max="2639" width="9" bestFit="1" customWidth="1"/>
    <col min="2640" max="2640" width="8" bestFit="1" customWidth="1"/>
    <col min="2641" max="2643" width="9" bestFit="1" customWidth="1"/>
    <col min="2644" max="2644" width="8" bestFit="1" customWidth="1"/>
    <col min="2645" max="2648" width="9" bestFit="1" customWidth="1"/>
    <col min="2649" max="2649" width="7" bestFit="1" customWidth="1"/>
    <col min="2650" max="2652" width="9" bestFit="1" customWidth="1"/>
    <col min="2653" max="2654" width="8" bestFit="1" customWidth="1"/>
    <col min="2655" max="2655" width="9" bestFit="1" customWidth="1"/>
    <col min="2656" max="2656" width="8" bestFit="1" customWidth="1"/>
    <col min="2657" max="2659" width="9" bestFit="1" customWidth="1"/>
    <col min="2660" max="2660" width="8" bestFit="1" customWidth="1"/>
    <col min="2661" max="2661" width="9" bestFit="1" customWidth="1"/>
    <col min="2662" max="2662" width="7" bestFit="1" customWidth="1"/>
    <col min="2663" max="2663" width="8" bestFit="1" customWidth="1"/>
    <col min="2664" max="2664" width="9" bestFit="1" customWidth="1"/>
    <col min="2665" max="2665" width="8" bestFit="1" customWidth="1"/>
    <col min="2666" max="2669" width="9" bestFit="1" customWidth="1"/>
    <col min="2670" max="2670" width="7" bestFit="1" customWidth="1"/>
    <col min="2671" max="2671" width="9" bestFit="1" customWidth="1"/>
    <col min="2672" max="2672" width="8" bestFit="1" customWidth="1"/>
    <col min="2673" max="2673" width="9" bestFit="1" customWidth="1"/>
    <col min="2674" max="2674" width="8" bestFit="1" customWidth="1"/>
    <col min="2675" max="2675" width="9" bestFit="1" customWidth="1"/>
    <col min="2676" max="2676" width="8" bestFit="1" customWidth="1"/>
    <col min="2677" max="2683" width="9" bestFit="1" customWidth="1"/>
    <col min="2684" max="2684" width="7" bestFit="1" customWidth="1"/>
    <col min="2685" max="2687" width="8" bestFit="1" customWidth="1"/>
    <col min="2688" max="2691" width="9" bestFit="1" customWidth="1"/>
    <col min="2692" max="2693" width="8" bestFit="1" customWidth="1"/>
    <col min="2694" max="2699" width="9" bestFit="1" customWidth="1"/>
    <col min="2700" max="2700" width="7" bestFit="1" customWidth="1"/>
    <col min="2701" max="2702" width="9" bestFit="1" customWidth="1"/>
    <col min="2703" max="2703" width="7" bestFit="1" customWidth="1"/>
    <col min="2704" max="2704" width="9" bestFit="1" customWidth="1"/>
    <col min="2705" max="2706" width="8" bestFit="1" customWidth="1"/>
    <col min="2707" max="2715" width="9" bestFit="1" customWidth="1"/>
    <col min="2716" max="2717" width="8" bestFit="1" customWidth="1"/>
    <col min="2718" max="2718" width="7" bestFit="1" customWidth="1"/>
    <col min="2719" max="2719" width="9" bestFit="1" customWidth="1"/>
    <col min="2720" max="2720" width="8" bestFit="1" customWidth="1"/>
    <col min="2721" max="2724" width="9" bestFit="1" customWidth="1"/>
    <col min="2725" max="2725" width="8" bestFit="1" customWidth="1"/>
    <col min="2726" max="2732" width="9" bestFit="1" customWidth="1"/>
    <col min="2733" max="2733" width="8" bestFit="1" customWidth="1"/>
    <col min="2734" max="2734" width="9" bestFit="1" customWidth="1"/>
    <col min="2735" max="2735" width="8" bestFit="1" customWidth="1"/>
    <col min="2736" max="2738" width="9" bestFit="1" customWidth="1"/>
    <col min="2739" max="2739" width="8" bestFit="1" customWidth="1"/>
    <col min="2740" max="2742" width="9" bestFit="1" customWidth="1"/>
    <col min="2743" max="2744" width="8" bestFit="1" customWidth="1"/>
    <col min="2745" max="2747" width="9" bestFit="1" customWidth="1"/>
    <col min="2748" max="2748" width="8" bestFit="1" customWidth="1"/>
    <col min="2749" max="2749" width="9" bestFit="1" customWidth="1"/>
    <col min="2750" max="2750" width="7" bestFit="1" customWidth="1"/>
    <col min="2751" max="2757" width="9" bestFit="1" customWidth="1"/>
    <col min="2758" max="2758" width="8" bestFit="1" customWidth="1"/>
    <col min="2759" max="2760" width="9" bestFit="1" customWidth="1"/>
    <col min="2761" max="2761" width="8" bestFit="1" customWidth="1"/>
    <col min="2762" max="2762" width="9" bestFit="1" customWidth="1"/>
    <col min="2763" max="2764" width="8" bestFit="1" customWidth="1"/>
    <col min="2765" max="2766" width="9" bestFit="1" customWidth="1"/>
    <col min="2767" max="2767" width="7" bestFit="1" customWidth="1"/>
    <col min="2768" max="2768" width="8" bestFit="1" customWidth="1"/>
    <col min="2769" max="2769" width="9" bestFit="1" customWidth="1"/>
    <col min="2770" max="2770" width="8" bestFit="1" customWidth="1"/>
    <col min="2771" max="2773" width="9" bestFit="1" customWidth="1"/>
    <col min="2774" max="2776" width="8" bestFit="1" customWidth="1"/>
    <col min="2777" max="2778" width="9" bestFit="1" customWidth="1"/>
    <col min="2779" max="2779" width="8" bestFit="1" customWidth="1"/>
    <col min="2780" max="2781" width="7" bestFit="1" customWidth="1"/>
    <col min="2782" max="2782" width="8" bestFit="1" customWidth="1"/>
    <col min="2783" max="2787" width="9" bestFit="1" customWidth="1"/>
    <col min="2788" max="2788" width="7" bestFit="1" customWidth="1"/>
    <col min="2789" max="2789" width="8" bestFit="1" customWidth="1"/>
    <col min="2790" max="2790" width="9" bestFit="1" customWidth="1"/>
    <col min="2791" max="2791" width="7" bestFit="1" customWidth="1"/>
    <col min="2792" max="2793" width="9" bestFit="1" customWidth="1"/>
    <col min="2794" max="2794" width="7" bestFit="1" customWidth="1"/>
    <col min="2795" max="2795" width="9" bestFit="1" customWidth="1"/>
    <col min="2796" max="2796" width="8" bestFit="1" customWidth="1"/>
    <col min="2797" max="2799" width="9" bestFit="1" customWidth="1"/>
    <col min="2800" max="2801" width="8" bestFit="1" customWidth="1"/>
    <col min="2802" max="2804" width="9" bestFit="1" customWidth="1"/>
    <col min="2805" max="2805" width="7" bestFit="1" customWidth="1"/>
    <col min="2806" max="2807" width="8" bestFit="1" customWidth="1"/>
    <col min="2808" max="2808" width="7" bestFit="1" customWidth="1"/>
    <col min="2809" max="2810" width="9" bestFit="1" customWidth="1"/>
    <col min="2811" max="2816" width="8" bestFit="1" customWidth="1"/>
    <col min="2817" max="2817" width="9" bestFit="1" customWidth="1"/>
    <col min="2818" max="2818" width="8" bestFit="1" customWidth="1"/>
    <col min="2819" max="2819" width="9" bestFit="1" customWidth="1"/>
    <col min="2820" max="2820" width="6" bestFit="1" customWidth="1"/>
    <col min="2821" max="2821" width="9" bestFit="1" customWidth="1"/>
    <col min="2822" max="2822" width="7" bestFit="1" customWidth="1"/>
    <col min="2823" max="2823" width="9" bestFit="1" customWidth="1"/>
    <col min="2824" max="2824" width="8" bestFit="1" customWidth="1"/>
    <col min="2825" max="2825" width="9" bestFit="1" customWidth="1"/>
    <col min="2826" max="2826" width="8" bestFit="1" customWidth="1"/>
    <col min="2827" max="2827" width="7" bestFit="1" customWidth="1"/>
    <col min="2828" max="2839" width="9" bestFit="1" customWidth="1"/>
    <col min="2840" max="2840" width="7" bestFit="1" customWidth="1"/>
    <col min="2841" max="2844" width="9" bestFit="1" customWidth="1"/>
    <col min="2845" max="2845" width="6" bestFit="1" customWidth="1"/>
    <col min="2846" max="2849" width="9" bestFit="1" customWidth="1"/>
    <col min="2850" max="2851" width="8" bestFit="1" customWidth="1"/>
    <col min="2852" max="2855" width="9" bestFit="1" customWidth="1"/>
    <col min="2856" max="2856" width="6" bestFit="1" customWidth="1"/>
    <col min="2857" max="2857" width="9" bestFit="1" customWidth="1"/>
    <col min="2858" max="2858" width="8" bestFit="1" customWidth="1"/>
    <col min="2859" max="2860" width="9" bestFit="1" customWidth="1"/>
    <col min="2861" max="2861" width="7" bestFit="1" customWidth="1"/>
    <col min="2862" max="2864" width="9" bestFit="1" customWidth="1"/>
    <col min="2865" max="2865" width="8" bestFit="1" customWidth="1"/>
    <col min="2866" max="2871" width="9" bestFit="1" customWidth="1"/>
    <col min="2872" max="2872" width="8" bestFit="1" customWidth="1"/>
    <col min="2873" max="2873" width="9" bestFit="1" customWidth="1"/>
    <col min="2874" max="2874" width="8" bestFit="1" customWidth="1"/>
    <col min="2875" max="2878" width="9" bestFit="1" customWidth="1"/>
    <col min="2879" max="2879" width="7" bestFit="1" customWidth="1"/>
    <col min="2880" max="2880" width="9" bestFit="1" customWidth="1"/>
    <col min="2881" max="2881" width="7" bestFit="1" customWidth="1"/>
    <col min="2882" max="2883" width="9" bestFit="1" customWidth="1"/>
    <col min="2884" max="2884" width="8" bestFit="1" customWidth="1"/>
    <col min="2885" max="2886" width="9" bestFit="1" customWidth="1"/>
    <col min="2887" max="2887" width="8" bestFit="1" customWidth="1"/>
    <col min="2888" max="2892" width="9" bestFit="1" customWidth="1"/>
    <col min="2893" max="2893" width="8" bestFit="1" customWidth="1"/>
    <col min="2894" max="2894" width="9" bestFit="1" customWidth="1"/>
    <col min="2895" max="2895" width="8" bestFit="1" customWidth="1"/>
    <col min="2896" max="2900" width="9" bestFit="1" customWidth="1"/>
    <col min="2901" max="2901" width="7" bestFit="1" customWidth="1"/>
    <col min="2902" max="2902" width="8" bestFit="1" customWidth="1"/>
    <col min="2903" max="2905" width="9" bestFit="1" customWidth="1"/>
    <col min="2906" max="2907" width="8" bestFit="1" customWidth="1"/>
    <col min="2908" max="2908" width="7" bestFit="1" customWidth="1"/>
    <col min="2909" max="2910" width="9" bestFit="1" customWidth="1"/>
    <col min="2911" max="2912" width="8" bestFit="1" customWidth="1"/>
    <col min="2913" max="2917" width="9" bestFit="1" customWidth="1"/>
    <col min="2918" max="2918" width="8" bestFit="1" customWidth="1"/>
    <col min="2919" max="2919" width="9" bestFit="1" customWidth="1"/>
    <col min="2920" max="2921" width="8" bestFit="1" customWidth="1"/>
    <col min="2922" max="2922" width="9" bestFit="1" customWidth="1"/>
    <col min="2923" max="2923" width="8" bestFit="1" customWidth="1"/>
    <col min="2924" max="2924" width="9" bestFit="1" customWidth="1"/>
    <col min="2925" max="2926" width="8" bestFit="1" customWidth="1"/>
    <col min="2927" max="2928" width="9" bestFit="1" customWidth="1"/>
    <col min="2929" max="2929" width="8" bestFit="1" customWidth="1"/>
    <col min="2930" max="2931" width="9" bestFit="1" customWidth="1"/>
    <col min="2932" max="2932" width="8" bestFit="1" customWidth="1"/>
    <col min="2933" max="2935" width="9" bestFit="1" customWidth="1"/>
    <col min="2936" max="2937" width="8" bestFit="1" customWidth="1"/>
    <col min="2938" max="2945" width="9" bestFit="1" customWidth="1"/>
    <col min="2946" max="2946" width="8" bestFit="1" customWidth="1"/>
    <col min="2947" max="2951" width="9" bestFit="1" customWidth="1"/>
    <col min="2952" max="2953" width="8" bestFit="1" customWidth="1"/>
    <col min="2954" max="2955" width="9" bestFit="1" customWidth="1"/>
    <col min="2956" max="2956" width="8" bestFit="1" customWidth="1"/>
    <col min="2957" max="2961" width="9" bestFit="1" customWidth="1"/>
    <col min="2962" max="2962" width="8" bestFit="1" customWidth="1"/>
    <col min="2963" max="2967" width="9" bestFit="1" customWidth="1"/>
    <col min="2968" max="2969" width="8" bestFit="1" customWidth="1"/>
    <col min="2970" max="2975" width="9" bestFit="1" customWidth="1"/>
    <col min="2976" max="2976" width="8" bestFit="1" customWidth="1"/>
    <col min="2977" max="2978" width="9" bestFit="1" customWidth="1"/>
    <col min="2979" max="2979" width="8" bestFit="1" customWidth="1"/>
    <col min="2980" max="2988" width="9" bestFit="1" customWidth="1"/>
    <col min="2989" max="2989" width="6" bestFit="1" customWidth="1"/>
    <col min="2990" max="2996" width="9" bestFit="1" customWidth="1"/>
    <col min="2997" max="2997" width="8" bestFit="1" customWidth="1"/>
    <col min="2998" max="2998" width="6" bestFit="1" customWidth="1"/>
    <col min="2999" max="2999" width="9" bestFit="1" customWidth="1"/>
    <col min="3000" max="3000" width="7" bestFit="1" customWidth="1"/>
    <col min="3001" max="3001" width="8" bestFit="1" customWidth="1"/>
    <col min="3002" max="3008" width="9" bestFit="1" customWidth="1"/>
    <col min="3009" max="3010" width="8" bestFit="1" customWidth="1"/>
    <col min="3011" max="3012" width="9" bestFit="1" customWidth="1"/>
    <col min="3013" max="3013" width="8" bestFit="1" customWidth="1"/>
    <col min="3014" max="3014" width="7" bestFit="1" customWidth="1"/>
    <col min="3015" max="3015" width="9" bestFit="1" customWidth="1"/>
    <col min="3016" max="3017" width="8" bestFit="1" customWidth="1"/>
    <col min="3018" max="3020" width="9" bestFit="1" customWidth="1"/>
    <col min="3021" max="3021" width="7" bestFit="1" customWidth="1"/>
    <col min="3022" max="3023" width="9" bestFit="1" customWidth="1"/>
    <col min="3024" max="3025" width="8" bestFit="1" customWidth="1"/>
    <col min="3026" max="3026" width="9" bestFit="1" customWidth="1"/>
    <col min="3027" max="3027" width="8" bestFit="1" customWidth="1"/>
    <col min="3028" max="3028" width="9" bestFit="1" customWidth="1"/>
    <col min="3029" max="3030" width="7" bestFit="1" customWidth="1"/>
    <col min="3031" max="3034" width="9" bestFit="1" customWidth="1"/>
    <col min="3035" max="3035" width="8" bestFit="1" customWidth="1"/>
    <col min="3036" max="3041" width="9" bestFit="1" customWidth="1"/>
    <col min="3042" max="3042" width="8" bestFit="1" customWidth="1"/>
    <col min="3043" max="3045" width="9" bestFit="1" customWidth="1"/>
    <col min="3046" max="3046" width="8" bestFit="1" customWidth="1"/>
    <col min="3047" max="3047" width="9" bestFit="1" customWidth="1"/>
    <col min="3048" max="3048" width="8" bestFit="1" customWidth="1"/>
    <col min="3049" max="3050" width="9" bestFit="1" customWidth="1"/>
    <col min="3051" max="3051" width="8" bestFit="1" customWidth="1"/>
    <col min="3052" max="3055" width="9" bestFit="1" customWidth="1"/>
    <col min="3056" max="3056" width="7" bestFit="1" customWidth="1"/>
    <col min="3057" max="3060" width="8" bestFit="1" customWidth="1"/>
    <col min="3061" max="3061" width="9" bestFit="1" customWidth="1"/>
    <col min="3062" max="3062" width="7" bestFit="1" customWidth="1"/>
    <col min="3063" max="3063" width="8" bestFit="1" customWidth="1"/>
    <col min="3064" max="3067" width="9" bestFit="1" customWidth="1"/>
    <col min="3068" max="3068" width="8" bestFit="1" customWidth="1"/>
    <col min="3069" max="3069" width="9" bestFit="1" customWidth="1"/>
    <col min="3070" max="3070" width="7" bestFit="1" customWidth="1"/>
    <col min="3071" max="3071" width="8" bestFit="1" customWidth="1"/>
    <col min="3072" max="3072" width="9" bestFit="1" customWidth="1"/>
    <col min="3073" max="3073" width="8" bestFit="1" customWidth="1"/>
    <col min="3074" max="3074" width="9" bestFit="1" customWidth="1"/>
    <col min="3075" max="3075" width="8" bestFit="1" customWidth="1"/>
    <col min="3076" max="3086" width="9" bestFit="1" customWidth="1"/>
    <col min="3087" max="3087" width="8" bestFit="1" customWidth="1"/>
    <col min="3088" max="3088" width="9" bestFit="1" customWidth="1"/>
    <col min="3089" max="3089" width="8" bestFit="1" customWidth="1"/>
    <col min="3090" max="3096" width="9" bestFit="1" customWidth="1"/>
    <col min="3097" max="3097" width="7" bestFit="1" customWidth="1"/>
    <col min="3098" max="3100" width="9" bestFit="1" customWidth="1"/>
    <col min="3101" max="3102" width="8" bestFit="1" customWidth="1"/>
    <col min="3103" max="3103" width="9" bestFit="1" customWidth="1"/>
    <col min="3104" max="3104" width="8" bestFit="1" customWidth="1"/>
    <col min="3105" max="3109" width="10" bestFit="1" customWidth="1"/>
    <col min="3110" max="3110" width="9" bestFit="1" customWidth="1"/>
    <col min="3111" max="3113" width="10" bestFit="1" customWidth="1"/>
    <col min="3114" max="3114" width="8" bestFit="1" customWidth="1"/>
    <col min="3115" max="3117" width="10" bestFit="1" customWidth="1"/>
    <col min="3118" max="3118" width="9" bestFit="1" customWidth="1"/>
    <col min="3119" max="3120" width="10" bestFit="1" customWidth="1"/>
    <col min="3121" max="3121" width="9" bestFit="1" customWidth="1"/>
    <col min="3122" max="3122" width="8" bestFit="1" customWidth="1"/>
    <col min="3123" max="3123" width="9" bestFit="1" customWidth="1"/>
    <col min="3124" max="3124" width="8" bestFit="1" customWidth="1"/>
    <col min="3125" max="3125" width="9" bestFit="1" customWidth="1"/>
    <col min="3126" max="3126" width="10" bestFit="1" customWidth="1"/>
    <col min="3127" max="3127" width="9" bestFit="1" customWidth="1"/>
    <col min="3128" max="3129" width="10" bestFit="1" customWidth="1"/>
    <col min="3130" max="3130" width="8" bestFit="1" customWidth="1"/>
    <col min="3131" max="3135" width="10" bestFit="1" customWidth="1"/>
    <col min="3136" max="3137" width="9" bestFit="1" customWidth="1"/>
    <col min="3138" max="3143" width="10" bestFit="1" customWidth="1"/>
    <col min="3144" max="3145" width="9" bestFit="1" customWidth="1"/>
    <col min="3146" max="3147" width="10" bestFit="1" customWidth="1"/>
    <col min="3148" max="3148" width="8" bestFit="1" customWidth="1"/>
    <col min="3149" max="3150" width="9" bestFit="1" customWidth="1"/>
    <col min="3151" max="3151" width="10" bestFit="1" customWidth="1"/>
    <col min="3152" max="3152" width="8" bestFit="1" customWidth="1"/>
    <col min="3153" max="3154" width="10" bestFit="1" customWidth="1"/>
    <col min="3155" max="3155" width="9" bestFit="1" customWidth="1"/>
    <col min="3156" max="3156" width="10" bestFit="1" customWidth="1"/>
    <col min="3157" max="3158" width="9" bestFit="1" customWidth="1"/>
    <col min="3159" max="3161" width="10" bestFit="1" customWidth="1"/>
    <col min="3162" max="3162" width="8" bestFit="1" customWidth="1"/>
    <col min="3163" max="3163" width="9" bestFit="1" customWidth="1"/>
    <col min="3164" max="3168" width="10" bestFit="1" customWidth="1"/>
    <col min="3169" max="3169" width="12" bestFit="1" customWidth="1"/>
    <col min="3170" max="3170" width="10" bestFit="1" customWidth="1"/>
    <col min="3171" max="3171" width="12" bestFit="1" customWidth="1"/>
    <col min="3172" max="3172" width="10" bestFit="1" customWidth="1"/>
    <col min="3173" max="3174" width="12" bestFit="1" customWidth="1"/>
    <col min="3175" max="3175" width="10" bestFit="1" customWidth="1"/>
    <col min="3176" max="3177" width="9" bestFit="1" customWidth="1"/>
    <col min="3178" max="3178" width="8" bestFit="1" customWidth="1"/>
    <col min="3179" max="3183" width="10" bestFit="1" customWidth="1"/>
    <col min="3184" max="3184" width="8" bestFit="1" customWidth="1"/>
    <col min="3185" max="3186" width="10" bestFit="1" customWidth="1"/>
    <col min="3187" max="3187" width="9" bestFit="1" customWidth="1"/>
    <col min="3188" max="3191" width="10" bestFit="1" customWidth="1"/>
    <col min="3192" max="3192" width="9" bestFit="1" customWidth="1"/>
    <col min="3193" max="3193" width="10" bestFit="1" customWidth="1"/>
    <col min="3194" max="3196" width="9" bestFit="1" customWidth="1"/>
    <col min="3197" max="3200" width="10" bestFit="1" customWidth="1"/>
    <col min="3201" max="3201" width="8" bestFit="1" customWidth="1"/>
    <col min="3202" max="3203" width="9" bestFit="1" customWidth="1"/>
    <col min="3204" max="3204" width="10" bestFit="1" customWidth="1"/>
    <col min="3205" max="3205" width="9" bestFit="1" customWidth="1"/>
    <col min="3206" max="3207" width="10" bestFit="1" customWidth="1"/>
    <col min="3208" max="3208" width="9" bestFit="1" customWidth="1"/>
    <col min="3209" max="3211" width="10" bestFit="1" customWidth="1"/>
    <col min="3212" max="3212" width="9" bestFit="1" customWidth="1"/>
    <col min="3213" max="3213" width="10" bestFit="1" customWidth="1"/>
    <col min="3214" max="3215" width="9" bestFit="1" customWidth="1"/>
    <col min="3216" max="3224" width="10" bestFit="1" customWidth="1"/>
    <col min="3225" max="3225" width="9" bestFit="1" customWidth="1"/>
    <col min="3226" max="3228" width="10" bestFit="1" customWidth="1"/>
    <col min="3229" max="3229" width="9" bestFit="1" customWidth="1"/>
    <col min="3230" max="3230" width="10" bestFit="1" customWidth="1"/>
    <col min="3231" max="3231" width="9" bestFit="1" customWidth="1"/>
    <col min="3232" max="3232" width="10" bestFit="1" customWidth="1"/>
    <col min="3233" max="3233" width="9" bestFit="1" customWidth="1"/>
    <col min="3234" max="3235" width="10" bestFit="1" customWidth="1"/>
    <col min="3236" max="3236" width="8" bestFit="1" customWidth="1"/>
    <col min="3237" max="3237" width="10" bestFit="1" customWidth="1"/>
    <col min="3238" max="3240" width="9" bestFit="1" customWidth="1"/>
    <col min="3241" max="3248" width="10" bestFit="1" customWidth="1"/>
    <col min="3249" max="3250" width="9" bestFit="1" customWidth="1"/>
    <col min="3251" max="3256" width="10" bestFit="1" customWidth="1"/>
    <col min="3257" max="3257" width="8" bestFit="1" customWidth="1"/>
    <col min="3258" max="3259" width="10" bestFit="1" customWidth="1"/>
    <col min="3260" max="3260" width="9" bestFit="1" customWidth="1"/>
    <col min="3261" max="3261" width="10" bestFit="1" customWidth="1"/>
    <col min="3262" max="3266" width="9" bestFit="1" customWidth="1"/>
    <col min="3267" max="3271" width="10" bestFit="1" customWidth="1"/>
    <col min="3272" max="3272" width="9" bestFit="1" customWidth="1"/>
    <col min="3273" max="3273" width="10" bestFit="1" customWidth="1"/>
    <col min="3274" max="3274" width="8" bestFit="1" customWidth="1"/>
    <col min="3275" max="3275" width="10" bestFit="1" customWidth="1"/>
    <col min="3276" max="3276" width="9" bestFit="1" customWidth="1"/>
    <col min="3277" max="3277" width="8" bestFit="1" customWidth="1"/>
    <col min="3278" max="3278" width="9" bestFit="1" customWidth="1"/>
    <col min="3279" max="3279" width="10" bestFit="1" customWidth="1"/>
    <col min="3280" max="3281" width="9" bestFit="1" customWidth="1"/>
    <col min="3282" max="3290" width="10" bestFit="1" customWidth="1"/>
    <col min="3291" max="3291" width="9" bestFit="1" customWidth="1"/>
    <col min="3292" max="3292" width="10" bestFit="1" customWidth="1"/>
    <col min="3293" max="3294" width="9" bestFit="1" customWidth="1"/>
    <col min="3295" max="3297" width="10" bestFit="1" customWidth="1"/>
    <col min="3298" max="3300" width="9" bestFit="1" customWidth="1"/>
    <col min="3301" max="3306" width="10" bestFit="1" customWidth="1"/>
    <col min="3307" max="3307" width="9" bestFit="1" customWidth="1"/>
    <col min="3308" max="3308" width="10" bestFit="1" customWidth="1"/>
    <col min="3309" max="3309" width="9" bestFit="1" customWidth="1"/>
    <col min="3310" max="3310" width="10" bestFit="1" customWidth="1"/>
    <col min="3311" max="3312" width="8" bestFit="1" customWidth="1"/>
    <col min="3313" max="3313" width="10" bestFit="1" customWidth="1"/>
    <col min="3314" max="3315" width="8" bestFit="1" customWidth="1"/>
    <col min="3316" max="3316" width="9" bestFit="1" customWidth="1"/>
    <col min="3317" max="3317" width="10" bestFit="1" customWidth="1"/>
    <col min="3318" max="3318" width="7" bestFit="1" customWidth="1"/>
    <col min="3319" max="3325" width="10" bestFit="1" customWidth="1"/>
    <col min="3326" max="3326" width="9" bestFit="1" customWidth="1"/>
    <col min="3327" max="3328" width="10" bestFit="1" customWidth="1"/>
    <col min="3329" max="3329" width="7" bestFit="1" customWidth="1"/>
    <col min="3330" max="3335" width="10" bestFit="1" customWidth="1"/>
    <col min="3336" max="3337" width="9" bestFit="1" customWidth="1"/>
    <col min="3338" max="3344" width="10" bestFit="1" customWidth="1"/>
    <col min="3345" max="3345" width="8" bestFit="1" customWidth="1"/>
    <col min="3346" max="3347" width="9" bestFit="1" customWidth="1"/>
    <col min="3348" max="3348" width="10" bestFit="1" customWidth="1"/>
    <col min="3349" max="3349" width="8" bestFit="1" customWidth="1"/>
    <col min="3350" max="3353" width="10" bestFit="1" customWidth="1"/>
    <col min="3354" max="3354" width="9" bestFit="1" customWidth="1"/>
    <col min="3355" max="3355" width="10" bestFit="1" customWidth="1"/>
    <col min="3356" max="3356" width="9" bestFit="1" customWidth="1"/>
    <col min="3357" max="3359" width="10" bestFit="1" customWidth="1"/>
    <col min="3360" max="3360" width="9" bestFit="1" customWidth="1"/>
    <col min="3361" max="3362" width="10" bestFit="1" customWidth="1"/>
    <col min="3363" max="3363" width="9" bestFit="1" customWidth="1"/>
    <col min="3364" max="3367" width="10" bestFit="1" customWidth="1"/>
    <col min="3368" max="3369" width="9" bestFit="1" customWidth="1"/>
    <col min="3370" max="3375" width="10" bestFit="1" customWidth="1"/>
    <col min="3376" max="3376" width="9" bestFit="1" customWidth="1"/>
    <col min="3377" max="3379" width="10" bestFit="1" customWidth="1"/>
    <col min="3380" max="3381" width="9" bestFit="1" customWidth="1"/>
    <col min="3382" max="3384" width="10" bestFit="1" customWidth="1"/>
    <col min="3385" max="3385" width="9" bestFit="1" customWidth="1"/>
    <col min="3386" max="3387" width="10" bestFit="1" customWidth="1"/>
    <col min="3388" max="3388" width="9" bestFit="1" customWidth="1"/>
    <col min="3389" max="3394" width="10" bestFit="1" customWidth="1"/>
    <col min="3395" max="3395" width="9" bestFit="1" customWidth="1"/>
    <col min="3396" max="3396" width="10" bestFit="1" customWidth="1"/>
    <col min="3397" max="3397" width="9" bestFit="1" customWidth="1"/>
    <col min="3398" max="3398" width="10" bestFit="1" customWidth="1"/>
    <col min="3399" max="3399" width="9" bestFit="1" customWidth="1"/>
    <col min="3400" max="3401" width="10" bestFit="1" customWidth="1"/>
    <col min="3402" max="3402" width="8" bestFit="1" customWidth="1"/>
    <col min="3403" max="3403" width="9" bestFit="1" customWidth="1"/>
    <col min="3404" max="3405" width="10" bestFit="1" customWidth="1"/>
    <col min="3406" max="3406" width="9" bestFit="1" customWidth="1"/>
    <col min="3407" max="3407" width="10" bestFit="1" customWidth="1"/>
    <col min="3408" max="3409" width="9" bestFit="1" customWidth="1"/>
    <col min="3410" max="3412" width="10" bestFit="1" customWidth="1"/>
    <col min="3413" max="3413" width="9" bestFit="1" customWidth="1"/>
    <col min="3414" max="3414" width="8" bestFit="1" customWidth="1"/>
    <col min="3415" max="3416" width="10" bestFit="1" customWidth="1"/>
    <col min="3417" max="3417" width="9" bestFit="1" customWidth="1"/>
    <col min="3418" max="3419" width="10" bestFit="1" customWidth="1"/>
    <col min="3420" max="3420" width="9" bestFit="1" customWidth="1"/>
    <col min="3421" max="3421" width="8" bestFit="1" customWidth="1"/>
    <col min="3422" max="3428" width="10" bestFit="1" customWidth="1"/>
    <col min="3429" max="3429" width="9" bestFit="1" customWidth="1"/>
    <col min="3430" max="3432" width="10" bestFit="1" customWidth="1"/>
    <col min="3433" max="3433" width="9" bestFit="1" customWidth="1"/>
    <col min="3434" max="3434" width="7" bestFit="1" customWidth="1"/>
    <col min="3435" max="3437" width="10" bestFit="1" customWidth="1"/>
    <col min="3438" max="3438" width="9" bestFit="1" customWidth="1"/>
    <col min="3439" max="3445" width="10" bestFit="1" customWidth="1"/>
    <col min="3446" max="3446" width="8" bestFit="1" customWidth="1"/>
    <col min="3447" max="3447" width="9" bestFit="1" customWidth="1"/>
    <col min="3448" max="3449" width="10" bestFit="1" customWidth="1"/>
    <col min="3450" max="3450" width="9" bestFit="1" customWidth="1"/>
    <col min="3451" max="3453" width="10" bestFit="1" customWidth="1"/>
    <col min="3454" max="3454" width="9" bestFit="1" customWidth="1"/>
    <col min="3455" max="3455" width="10" bestFit="1" customWidth="1"/>
    <col min="3456" max="3456" width="9" bestFit="1" customWidth="1"/>
    <col min="3457" max="3460" width="10" bestFit="1" customWidth="1"/>
    <col min="3461" max="3462" width="9" bestFit="1" customWidth="1"/>
    <col min="3463" max="3464" width="10" bestFit="1" customWidth="1"/>
    <col min="3465" max="3470" width="9" bestFit="1" customWidth="1"/>
    <col min="3471" max="3471" width="10" bestFit="1" customWidth="1"/>
    <col min="3472" max="3472" width="9" bestFit="1" customWidth="1"/>
    <col min="3473" max="3476" width="10" bestFit="1" customWidth="1"/>
    <col min="3477" max="3477" width="9" bestFit="1" customWidth="1"/>
    <col min="3478" max="3484" width="10" bestFit="1" customWidth="1"/>
    <col min="3485" max="3485" width="9" bestFit="1" customWidth="1"/>
    <col min="3486" max="3488" width="10" bestFit="1" customWidth="1"/>
    <col min="3489" max="3489" width="9" bestFit="1" customWidth="1"/>
    <col min="3490" max="3490" width="10" bestFit="1" customWidth="1"/>
    <col min="3491" max="3491" width="9" bestFit="1" customWidth="1"/>
    <col min="3492" max="3492" width="10" bestFit="1" customWidth="1"/>
    <col min="3493" max="3493" width="9" bestFit="1" customWidth="1"/>
    <col min="3494" max="3494" width="10" bestFit="1" customWidth="1"/>
    <col min="3495" max="3495" width="9" bestFit="1" customWidth="1"/>
    <col min="3496" max="3496" width="10" bestFit="1" customWidth="1"/>
    <col min="3497" max="3497" width="9" bestFit="1" customWidth="1"/>
    <col min="3498" max="3499" width="10" bestFit="1" customWidth="1"/>
    <col min="3500" max="3500" width="9" bestFit="1" customWidth="1"/>
    <col min="3501" max="3504" width="10" bestFit="1" customWidth="1"/>
    <col min="3505" max="3506" width="9" bestFit="1" customWidth="1"/>
    <col min="3507" max="3511" width="10" bestFit="1" customWidth="1"/>
    <col min="3512" max="3512" width="9" bestFit="1" customWidth="1"/>
    <col min="3513" max="3515" width="10" bestFit="1" customWidth="1"/>
    <col min="3516" max="3516" width="9" bestFit="1" customWidth="1"/>
    <col min="3517" max="3521" width="10" bestFit="1" customWidth="1"/>
    <col min="3522" max="3522" width="9" bestFit="1" customWidth="1"/>
    <col min="3523" max="3532" width="10" bestFit="1" customWidth="1"/>
    <col min="3533" max="3534" width="9" bestFit="1" customWidth="1"/>
    <col min="3535" max="3538" width="10" bestFit="1" customWidth="1"/>
    <col min="3539" max="3539" width="9" bestFit="1" customWidth="1"/>
    <col min="3540" max="3540" width="10" bestFit="1" customWidth="1"/>
    <col min="3541" max="3541" width="8" bestFit="1" customWidth="1"/>
    <col min="3542" max="3542" width="10" bestFit="1" customWidth="1"/>
    <col min="3543" max="3544" width="9" bestFit="1" customWidth="1"/>
    <col min="3545" max="3545" width="10" bestFit="1" customWidth="1"/>
    <col min="3546" max="3547" width="9" bestFit="1" customWidth="1"/>
    <col min="3548" max="3555" width="10" bestFit="1" customWidth="1"/>
    <col min="3556" max="3557" width="9" bestFit="1" customWidth="1"/>
    <col min="3558" max="3558" width="8" bestFit="1" customWidth="1"/>
    <col min="3559" max="3564" width="10" bestFit="1" customWidth="1"/>
    <col min="3565" max="3565" width="9" bestFit="1" customWidth="1"/>
    <col min="3566" max="3570" width="10" bestFit="1" customWidth="1"/>
    <col min="3571" max="3571" width="8" bestFit="1" customWidth="1"/>
    <col min="3572" max="3572" width="10" bestFit="1" customWidth="1"/>
    <col min="3573" max="3573" width="9" bestFit="1" customWidth="1"/>
    <col min="3574" max="3575" width="10" bestFit="1" customWidth="1"/>
    <col min="3576" max="3576" width="9" bestFit="1" customWidth="1"/>
    <col min="3577" max="3577" width="10" bestFit="1" customWidth="1"/>
    <col min="3578" max="3578" width="9" bestFit="1" customWidth="1"/>
    <col min="3579" max="3581" width="10" bestFit="1" customWidth="1"/>
    <col min="3582" max="3582" width="8" bestFit="1" customWidth="1"/>
    <col min="3583" max="3583" width="10" bestFit="1" customWidth="1"/>
    <col min="3584" max="3584" width="9" bestFit="1" customWidth="1"/>
    <col min="3585" max="3585" width="8" bestFit="1" customWidth="1"/>
    <col min="3586" max="3586" width="10" bestFit="1" customWidth="1"/>
    <col min="3587" max="3587" width="9" bestFit="1" customWidth="1"/>
    <col min="3588" max="3590" width="10" bestFit="1" customWidth="1"/>
    <col min="3591" max="3591" width="9" bestFit="1" customWidth="1"/>
    <col min="3592" max="3592" width="8" bestFit="1" customWidth="1"/>
    <col min="3593" max="3594" width="10" bestFit="1" customWidth="1"/>
    <col min="3595" max="3595" width="8" bestFit="1" customWidth="1"/>
    <col min="3596" max="3596" width="9" bestFit="1" customWidth="1"/>
    <col min="3597" max="3597" width="8" bestFit="1" customWidth="1"/>
    <col min="3598" max="3598" width="10" bestFit="1" customWidth="1"/>
    <col min="3599" max="3599" width="8" bestFit="1" customWidth="1"/>
    <col min="3600" max="3600" width="10" bestFit="1" customWidth="1"/>
    <col min="3601" max="3601" width="9" bestFit="1" customWidth="1"/>
    <col min="3602" max="3602" width="10" bestFit="1" customWidth="1"/>
    <col min="3603" max="3603" width="9" bestFit="1" customWidth="1"/>
    <col min="3604" max="3604" width="10" bestFit="1" customWidth="1"/>
    <col min="3605" max="3605" width="9" bestFit="1" customWidth="1"/>
    <col min="3606" max="3606" width="8" bestFit="1" customWidth="1"/>
    <col min="3607" max="3607" width="9" bestFit="1" customWidth="1"/>
    <col min="3608" max="3616" width="10" bestFit="1" customWidth="1"/>
    <col min="3617" max="3618" width="9" bestFit="1" customWidth="1"/>
    <col min="3619" max="3619" width="8" bestFit="1" customWidth="1"/>
    <col min="3620" max="3621" width="9" bestFit="1" customWidth="1"/>
    <col min="3622" max="3623" width="10" bestFit="1" customWidth="1"/>
    <col min="3624" max="3624" width="8" bestFit="1" customWidth="1"/>
    <col min="3625" max="3629" width="10" bestFit="1" customWidth="1"/>
    <col min="3630" max="3630" width="9" bestFit="1" customWidth="1"/>
    <col min="3631" max="3636" width="10" bestFit="1" customWidth="1"/>
    <col min="3637" max="3639" width="9" bestFit="1" customWidth="1"/>
    <col min="3640" max="3640" width="8" bestFit="1" customWidth="1"/>
    <col min="3641" max="3641" width="9" bestFit="1" customWidth="1"/>
    <col min="3642" max="3642" width="8" bestFit="1" customWidth="1"/>
    <col min="3643" max="3643" width="10" bestFit="1" customWidth="1"/>
    <col min="3644" max="3644" width="9" bestFit="1" customWidth="1"/>
    <col min="3645" max="3645" width="10" bestFit="1" customWidth="1"/>
    <col min="3646" max="3646" width="9" bestFit="1" customWidth="1"/>
    <col min="3647" max="3648" width="10" bestFit="1" customWidth="1"/>
    <col min="3649" max="3649" width="9" bestFit="1" customWidth="1"/>
    <col min="3650" max="3651" width="10" bestFit="1" customWidth="1"/>
    <col min="3652" max="3652" width="8" bestFit="1" customWidth="1"/>
    <col min="3653" max="3653" width="10" bestFit="1" customWidth="1"/>
    <col min="3654" max="3654" width="8" bestFit="1" customWidth="1"/>
    <col min="3655" max="3656" width="10" bestFit="1" customWidth="1"/>
    <col min="3657" max="3658" width="8" bestFit="1" customWidth="1"/>
    <col min="3659" max="3661" width="10" bestFit="1" customWidth="1"/>
    <col min="3662" max="3663" width="9" bestFit="1" customWidth="1"/>
    <col min="3664" max="3665" width="10" bestFit="1" customWidth="1"/>
    <col min="3666" max="3666" width="8" bestFit="1" customWidth="1"/>
    <col min="3667" max="3669" width="10" bestFit="1" customWidth="1"/>
    <col min="3670" max="3670" width="8" bestFit="1" customWidth="1"/>
    <col min="3671" max="3671" width="9" bestFit="1" customWidth="1"/>
    <col min="3672" max="3677" width="10" bestFit="1" customWidth="1"/>
    <col min="3678" max="3678" width="9" bestFit="1" customWidth="1"/>
    <col min="3679" max="3681" width="10" bestFit="1" customWidth="1"/>
    <col min="3682" max="3682" width="9" bestFit="1" customWidth="1"/>
    <col min="3683" max="3683" width="8" bestFit="1" customWidth="1"/>
    <col min="3684" max="3686" width="10" bestFit="1" customWidth="1"/>
    <col min="3687" max="3688" width="9" bestFit="1" customWidth="1"/>
    <col min="3689" max="3693" width="10" bestFit="1" customWidth="1"/>
    <col min="3694" max="3694" width="9" bestFit="1" customWidth="1"/>
    <col min="3695" max="3700" width="10" bestFit="1" customWidth="1"/>
    <col min="3701" max="3702" width="9" bestFit="1" customWidth="1"/>
    <col min="3703" max="3706" width="10" bestFit="1" customWidth="1"/>
    <col min="3707" max="3707" width="9" bestFit="1" customWidth="1"/>
    <col min="3708" max="3710" width="10" bestFit="1" customWidth="1"/>
    <col min="3711" max="3711" width="9" bestFit="1" customWidth="1"/>
    <col min="3712" max="3721" width="10" bestFit="1" customWidth="1"/>
    <col min="3722" max="3722" width="9" bestFit="1" customWidth="1"/>
    <col min="3723" max="3725" width="10" bestFit="1" customWidth="1"/>
    <col min="3726" max="3726" width="9" bestFit="1" customWidth="1"/>
    <col min="3727" max="3730" width="10" bestFit="1" customWidth="1"/>
    <col min="3731" max="3731" width="8" bestFit="1" customWidth="1"/>
    <col min="3732" max="3733" width="10" bestFit="1" customWidth="1"/>
    <col min="3734" max="3734" width="8" bestFit="1" customWidth="1"/>
    <col min="3735" max="3735" width="10" bestFit="1" customWidth="1"/>
    <col min="3736" max="3736" width="9" bestFit="1" customWidth="1"/>
    <col min="3737" max="3738" width="10" bestFit="1" customWidth="1"/>
    <col min="3739" max="3739" width="9" bestFit="1" customWidth="1"/>
    <col min="3740" max="3748" width="10" bestFit="1" customWidth="1"/>
    <col min="3749" max="3749" width="8" bestFit="1" customWidth="1"/>
    <col min="3750" max="3750" width="9" bestFit="1" customWidth="1"/>
    <col min="3751" max="3751" width="10" bestFit="1" customWidth="1"/>
    <col min="3752" max="3753" width="9" bestFit="1" customWidth="1"/>
    <col min="3754" max="3754" width="10" bestFit="1" customWidth="1"/>
    <col min="3755" max="3756" width="9" bestFit="1" customWidth="1"/>
    <col min="3757" max="3757" width="8" bestFit="1" customWidth="1"/>
    <col min="3758" max="3758" width="9" bestFit="1" customWidth="1"/>
    <col min="3759" max="3759" width="10" bestFit="1" customWidth="1"/>
    <col min="3760" max="3761" width="9" bestFit="1" customWidth="1"/>
    <col min="3762" max="3767" width="10" bestFit="1" customWidth="1"/>
    <col min="3768" max="3768" width="8" bestFit="1" customWidth="1"/>
    <col min="3769" max="3770" width="9" bestFit="1" customWidth="1"/>
    <col min="3771" max="3773" width="10" bestFit="1" customWidth="1"/>
    <col min="3774" max="3774" width="9" bestFit="1" customWidth="1"/>
    <col min="3775" max="3779" width="10" bestFit="1" customWidth="1"/>
    <col min="3780" max="3780" width="9" bestFit="1" customWidth="1"/>
    <col min="3781" max="3782" width="10" bestFit="1" customWidth="1"/>
    <col min="3783" max="3783" width="8" bestFit="1" customWidth="1"/>
    <col min="3784" max="3790" width="10" bestFit="1" customWidth="1"/>
    <col min="3791" max="3791" width="8" bestFit="1" customWidth="1"/>
    <col min="3792" max="3795" width="10" bestFit="1" customWidth="1"/>
    <col min="3796" max="3796" width="9" bestFit="1" customWidth="1"/>
    <col min="3797" max="3800" width="10" bestFit="1" customWidth="1"/>
    <col min="3801" max="3801" width="9" bestFit="1" customWidth="1"/>
    <col min="3802" max="3802" width="10" bestFit="1" customWidth="1"/>
    <col min="3803" max="3804" width="8" bestFit="1" customWidth="1"/>
    <col min="3805" max="3808" width="10" bestFit="1" customWidth="1"/>
    <col min="3809" max="3809" width="9" bestFit="1" customWidth="1"/>
    <col min="3810" max="3810" width="8" bestFit="1" customWidth="1"/>
    <col min="3811" max="3813" width="9" bestFit="1" customWidth="1"/>
    <col min="3814" max="3814" width="10" bestFit="1" customWidth="1"/>
    <col min="3815" max="3815" width="9" bestFit="1" customWidth="1"/>
    <col min="3816" max="3818" width="10" bestFit="1" customWidth="1"/>
    <col min="3819" max="3819" width="9" bestFit="1" customWidth="1"/>
    <col min="3820" max="3827" width="10" bestFit="1" customWidth="1"/>
    <col min="3828" max="3828" width="9" bestFit="1" customWidth="1"/>
    <col min="3829" max="3830" width="10" bestFit="1" customWidth="1"/>
    <col min="3831" max="3831" width="8" bestFit="1" customWidth="1"/>
    <col min="3832" max="3832" width="10" bestFit="1" customWidth="1"/>
    <col min="3833" max="3833" width="8" bestFit="1" customWidth="1"/>
    <col min="3834" max="3836" width="10" bestFit="1" customWidth="1"/>
    <col min="3837" max="3837" width="9" bestFit="1" customWidth="1"/>
    <col min="3838" max="3838" width="10" bestFit="1" customWidth="1"/>
    <col min="3839" max="3839" width="9" bestFit="1" customWidth="1"/>
    <col min="3840" max="3840" width="8" bestFit="1" customWidth="1"/>
    <col min="3841" max="3841" width="10" bestFit="1" customWidth="1"/>
    <col min="3842" max="3842" width="8" bestFit="1" customWidth="1"/>
    <col min="3843" max="3845" width="9" bestFit="1" customWidth="1"/>
    <col min="3846" max="3846" width="10" bestFit="1" customWidth="1"/>
    <col min="3847" max="3847" width="9" bestFit="1" customWidth="1"/>
    <col min="3848" max="3848" width="10" bestFit="1" customWidth="1"/>
    <col min="3849" max="3849" width="9" bestFit="1" customWidth="1"/>
    <col min="3850" max="3850" width="7" bestFit="1" customWidth="1"/>
    <col min="3851" max="3854" width="10" bestFit="1" customWidth="1"/>
    <col min="3855" max="3855" width="9" bestFit="1" customWidth="1"/>
    <col min="3856" max="3856" width="8" bestFit="1" customWidth="1"/>
    <col min="3857" max="3857" width="10" bestFit="1" customWidth="1"/>
    <col min="3858" max="3858" width="9" bestFit="1" customWidth="1"/>
    <col min="3859" max="3860" width="10" bestFit="1" customWidth="1"/>
    <col min="3861" max="3861" width="8" bestFit="1" customWidth="1"/>
    <col min="3862" max="3862" width="10" bestFit="1" customWidth="1"/>
    <col min="3863" max="3863" width="5" bestFit="1" customWidth="1"/>
    <col min="3864" max="3864" width="9" bestFit="1" customWidth="1"/>
    <col min="3865" max="3874" width="10" bestFit="1" customWidth="1"/>
    <col min="3875" max="3876" width="9" bestFit="1" customWidth="1"/>
    <col min="3877" max="3877" width="10" bestFit="1" customWidth="1"/>
    <col min="3878" max="3878" width="9" bestFit="1" customWidth="1"/>
    <col min="3879" max="3879" width="10" bestFit="1" customWidth="1"/>
    <col min="3880" max="3881" width="8" bestFit="1" customWidth="1"/>
    <col min="3882" max="3883" width="9" bestFit="1" customWidth="1"/>
    <col min="3884" max="3885" width="10" bestFit="1" customWidth="1"/>
    <col min="3886" max="3886" width="9" bestFit="1" customWidth="1"/>
    <col min="3887" max="3891" width="10" bestFit="1" customWidth="1"/>
    <col min="3892" max="3892" width="8" bestFit="1" customWidth="1"/>
    <col min="3893" max="3893" width="10" bestFit="1" customWidth="1"/>
    <col min="3894" max="3894" width="8" bestFit="1" customWidth="1"/>
    <col min="3895" max="3898" width="10" bestFit="1" customWidth="1"/>
    <col min="3899" max="3899" width="8" bestFit="1" customWidth="1"/>
    <col min="3900" max="3901" width="10" bestFit="1" customWidth="1"/>
    <col min="3902" max="3903" width="9" bestFit="1" customWidth="1"/>
    <col min="3904" max="3906" width="10" bestFit="1" customWidth="1"/>
    <col min="3907" max="3907" width="9" bestFit="1" customWidth="1"/>
    <col min="3908" max="3913" width="10" bestFit="1" customWidth="1"/>
    <col min="3914" max="3914" width="9" bestFit="1" customWidth="1"/>
    <col min="3915" max="3915" width="8" bestFit="1" customWidth="1"/>
    <col min="3916" max="3916" width="9" bestFit="1" customWidth="1"/>
    <col min="3917" max="3919" width="10" bestFit="1" customWidth="1"/>
    <col min="3920" max="3920" width="9" bestFit="1" customWidth="1"/>
    <col min="3921" max="3921" width="10" bestFit="1" customWidth="1"/>
    <col min="3922" max="3922" width="9" bestFit="1" customWidth="1"/>
    <col min="3923" max="3929" width="10" bestFit="1" customWidth="1"/>
    <col min="3930" max="3935" width="9" bestFit="1" customWidth="1"/>
    <col min="3936" max="3936" width="10" bestFit="1" customWidth="1"/>
    <col min="3937" max="3937" width="8" bestFit="1" customWidth="1"/>
    <col min="3938" max="3943" width="10" bestFit="1" customWidth="1"/>
    <col min="3944" max="3944" width="8" bestFit="1" customWidth="1"/>
    <col min="3945" max="3947" width="10" bestFit="1" customWidth="1"/>
    <col min="3948" max="3949" width="9" bestFit="1" customWidth="1"/>
    <col min="3950" max="3954" width="10" bestFit="1" customWidth="1"/>
    <col min="3955" max="3955" width="9" bestFit="1" customWidth="1"/>
    <col min="3956" max="3956" width="10" bestFit="1" customWidth="1"/>
    <col min="3957" max="3957" width="9" bestFit="1" customWidth="1"/>
    <col min="3958" max="3963" width="10" bestFit="1" customWidth="1"/>
    <col min="3964" max="3964" width="9" bestFit="1" customWidth="1"/>
    <col min="3965" max="3965" width="10" bestFit="1" customWidth="1"/>
    <col min="3966" max="3966" width="9" bestFit="1" customWidth="1"/>
    <col min="3967" max="3967" width="10" bestFit="1" customWidth="1"/>
    <col min="3968" max="3968" width="8" bestFit="1" customWidth="1"/>
    <col min="3969" max="3971" width="10" bestFit="1" customWidth="1"/>
    <col min="3972" max="3972" width="9" bestFit="1" customWidth="1"/>
    <col min="3973" max="3974" width="10" bestFit="1" customWidth="1"/>
    <col min="3975" max="3975" width="9" bestFit="1" customWidth="1"/>
    <col min="3976" max="3976" width="10" bestFit="1" customWidth="1"/>
    <col min="3977" max="3977" width="9" bestFit="1" customWidth="1"/>
    <col min="3978" max="3978" width="10" bestFit="1" customWidth="1"/>
    <col min="3979" max="3979" width="9" bestFit="1" customWidth="1"/>
    <col min="3980" max="3980" width="10" bestFit="1" customWidth="1"/>
    <col min="3981" max="3981" width="9" bestFit="1" customWidth="1"/>
    <col min="3982" max="3984" width="10" bestFit="1" customWidth="1"/>
    <col min="3985" max="3985" width="8" bestFit="1" customWidth="1"/>
    <col min="3986" max="3987" width="10" bestFit="1" customWidth="1"/>
    <col min="3988" max="3988" width="8" bestFit="1" customWidth="1"/>
    <col min="3989" max="3990" width="9" bestFit="1" customWidth="1"/>
    <col min="3991" max="3992" width="10" bestFit="1" customWidth="1"/>
    <col min="3993" max="3993" width="9" bestFit="1" customWidth="1"/>
    <col min="3994" max="3996" width="10" bestFit="1" customWidth="1"/>
    <col min="3997" max="3997" width="8" bestFit="1" customWidth="1"/>
    <col min="3998" max="3999" width="10" bestFit="1" customWidth="1"/>
    <col min="4000" max="4000" width="9" bestFit="1" customWidth="1"/>
    <col min="4001" max="4001" width="10" bestFit="1" customWidth="1"/>
    <col min="4002" max="4002" width="19.88671875" bestFit="1" customWidth="1"/>
    <col min="4003" max="4003" width="24.33203125" bestFit="1" customWidth="1"/>
  </cols>
  <sheetData>
    <row r="3" spans="1:17" x14ac:dyDescent="0.3">
      <c r="A3" s="10" t="s">
        <v>4005</v>
      </c>
      <c r="B3" s="10" t="s">
        <v>4004</v>
      </c>
    </row>
    <row r="4" spans="1:17" x14ac:dyDescent="0.3">
      <c r="A4" s="10" t="s">
        <v>3990</v>
      </c>
      <c r="B4" t="s">
        <v>3946</v>
      </c>
      <c r="C4" t="s">
        <v>3939</v>
      </c>
      <c r="D4" t="s">
        <v>3943</v>
      </c>
      <c r="E4" t="s">
        <v>3941</v>
      </c>
      <c r="F4" t="s">
        <v>3937</v>
      </c>
      <c r="G4" t="s">
        <v>3951</v>
      </c>
      <c r="H4" t="s">
        <v>3948</v>
      </c>
      <c r="I4" t="s">
        <v>3940</v>
      </c>
      <c r="J4" t="s">
        <v>3953</v>
      </c>
      <c r="K4" t="s">
        <v>3952</v>
      </c>
      <c r="L4" t="s">
        <v>3949</v>
      </c>
      <c r="M4" t="s">
        <v>3944</v>
      </c>
      <c r="N4" t="s">
        <v>3935</v>
      </c>
      <c r="O4" t="s">
        <v>3950</v>
      </c>
      <c r="P4" t="s">
        <v>3947</v>
      </c>
      <c r="Q4" t="s">
        <v>4003</v>
      </c>
    </row>
    <row r="5" spans="1:17" x14ac:dyDescent="0.3">
      <c r="A5" s="11">
        <v>2023</v>
      </c>
      <c r="B5">
        <v>4958.7860999999994</v>
      </c>
      <c r="C5">
        <v>12055.5604</v>
      </c>
      <c r="D5">
        <v>15838.5826</v>
      </c>
      <c r="E5">
        <v>17550.364900000004</v>
      </c>
      <c r="F5">
        <v>14092.536599999999</v>
      </c>
      <c r="G5">
        <v>2266.0419000000002</v>
      </c>
      <c r="H5">
        <v>10046.3629</v>
      </c>
      <c r="I5">
        <v>10700.706</v>
      </c>
      <c r="J5">
        <v>10834.369799999999</v>
      </c>
      <c r="K5">
        <v>12814.568623772208</v>
      </c>
      <c r="L5">
        <v>5524.3127000000004</v>
      </c>
      <c r="M5">
        <v>3793.6722</v>
      </c>
      <c r="N5">
        <v>9046.077299999999</v>
      </c>
      <c r="O5">
        <v>12964.753900000002</v>
      </c>
      <c r="P5">
        <v>8439.0100999999995</v>
      </c>
      <c r="Q5">
        <v>150925.70602377225</v>
      </c>
    </row>
    <row r="6" spans="1:17" x14ac:dyDescent="0.3">
      <c r="A6" s="11">
        <v>2024</v>
      </c>
      <c r="B6">
        <v>54325.894199999995</v>
      </c>
      <c r="C6">
        <v>63483.123499999987</v>
      </c>
      <c r="D6">
        <v>64837.020900000003</v>
      </c>
      <c r="E6">
        <v>49290.705700000006</v>
      </c>
      <c r="F6">
        <v>46410.976900000009</v>
      </c>
      <c r="G6">
        <v>66040.746700000018</v>
      </c>
      <c r="H6">
        <v>52349.374499999998</v>
      </c>
      <c r="I6">
        <v>42798.135600000001</v>
      </c>
      <c r="J6">
        <v>46461.76140000001</v>
      </c>
      <c r="K6">
        <v>67829.832999999999</v>
      </c>
      <c r="L6">
        <v>57066.414000000012</v>
      </c>
      <c r="M6">
        <v>63351.60149999999</v>
      </c>
      <c r="N6">
        <v>33962.256600000008</v>
      </c>
      <c r="O6">
        <v>54110.988500000014</v>
      </c>
      <c r="P6">
        <v>62045.402099999992</v>
      </c>
      <c r="Q6">
        <v>824364.23510000051</v>
      </c>
    </row>
    <row r="7" spans="1:17" x14ac:dyDescent="0.3">
      <c r="A7" s="11">
        <v>2025</v>
      </c>
      <c r="B7">
        <v>33763.460199999994</v>
      </c>
      <c r="C7">
        <v>43275.431799999998</v>
      </c>
      <c r="D7">
        <v>78295.858900000007</v>
      </c>
      <c r="E7">
        <v>47692.725999999995</v>
      </c>
      <c r="F7">
        <v>38457.294300000001</v>
      </c>
      <c r="G7">
        <v>43398.155000000021</v>
      </c>
      <c r="H7">
        <v>52005.734099999994</v>
      </c>
      <c r="I7">
        <v>28733.50670825117</v>
      </c>
      <c r="J7">
        <v>47016.923299999995</v>
      </c>
      <c r="K7">
        <v>41887.309799999995</v>
      </c>
      <c r="L7">
        <v>43657.556599999996</v>
      </c>
      <c r="M7">
        <v>42957.1253</v>
      </c>
      <c r="N7">
        <v>42130.22129999999</v>
      </c>
      <c r="O7">
        <v>32603.343599999993</v>
      </c>
      <c r="P7">
        <v>46344.808400000002</v>
      </c>
      <c r="Q7">
        <v>662219.45530825073</v>
      </c>
    </row>
    <row r="8" spans="1:17" x14ac:dyDescent="0.3">
      <c r="A8" s="11" t="s">
        <v>4003</v>
      </c>
      <c r="B8">
        <v>93048.140500000009</v>
      </c>
      <c r="C8">
        <v>118814.11569999999</v>
      </c>
      <c r="D8">
        <v>158971.46239999999</v>
      </c>
      <c r="E8">
        <v>114533.79660000003</v>
      </c>
      <c r="F8">
        <v>98960.807799999995</v>
      </c>
      <c r="G8">
        <v>111704.9436</v>
      </c>
      <c r="H8">
        <v>114401.4715</v>
      </c>
      <c r="I8">
        <v>82232.348308251167</v>
      </c>
      <c r="J8">
        <v>104313.05449999998</v>
      </c>
      <c r="K8">
        <v>122531.71142377218</v>
      </c>
      <c r="L8">
        <v>106248.28329999997</v>
      </c>
      <c r="M8">
        <v>110102.39899999999</v>
      </c>
      <c r="N8">
        <v>85138.555199999988</v>
      </c>
      <c r="O8">
        <v>99679.086000000025</v>
      </c>
      <c r="P8">
        <v>116829.22059999997</v>
      </c>
      <c r="Q8">
        <v>1637509.3964320256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72EDE-0FB3-444E-A5F8-4C05A7F58B7B}">
  <dimension ref="A3:K23"/>
  <sheetViews>
    <sheetView zoomScale="70" workbookViewId="0">
      <selection activeCell="J21" sqref="J21"/>
    </sheetView>
  </sheetViews>
  <sheetFormatPr defaultRowHeight="14.4" x14ac:dyDescent="0.3"/>
  <cols>
    <col min="1" max="1" width="20" bestFit="1" customWidth="1"/>
    <col min="2" max="2" width="15.77734375" bestFit="1" customWidth="1"/>
    <col min="3" max="5" width="11.33203125" bestFit="1" customWidth="1"/>
    <col min="6" max="6" width="16" bestFit="1" customWidth="1"/>
    <col min="7" max="7" width="20.109375" bestFit="1" customWidth="1"/>
    <col min="8" max="8" width="34.6640625" bestFit="1" customWidth="1"/>
    <col min="9" max="9" width="13.6640625" bestFit="1" customWidth="1"/>
    <col min="10" max="10" width="19.88671875" bestFit="1" customWidth="1"/>
    <col min="11" max="11" width="25.5546875" bestFit="1" customWidth="1"/>
    <col min="12" max="12" width="17.6640625" bestFit="1" customWidth="1"/>
    <col min="13" max="13" width="20.109375" bestFit="1" customWidth="1"/>
    <col min="14" max="14" width="16.21875" bestFit="1" customWidth="1"/>
    <col min="15" max="15" width="32.33203125" bestFit="1" customWidth="1"/>
    <col min="16" max="16" width="21.109375" bestFit="1" customWidth="1"/>
    <col min="17" max="17" width="18.44140625" bestFit="1" customWidth="1"/>
    <col min="18" max="18" width="28.44140625" bestFit="1" customWidth="1"/>
    <col min="19" max="19" width="17.44140625" bestFit="1" customWidth="1"/>
    <col min="20" max="20" width="16.6640625" bestFit="1" customWidth="1"/>
    <col min="21" max="21" width="29.77734375" bestFit="1" customWidth="1"/>
    <col min="22" max="22" width="12" bestFit="1" customWidth="1"/>
    <col min="23" max="25" width="8" bestFit="1" customWidth="1"/>
    <col min="26" max="26" width="7" bestFit="1" customWidth="1"/>
    <col min="27" max="29" width="8" bestFit="1" customWidth="1"/>
    <col min="30" max="30" width="7" bestFit="1" customWidth="1"/>
    <col min="31" max="31" width="8" bestFit="1" customWidth="1"/>
    <col min="32" max="32" width="7" bestFit="1" customWidth="1"/>
    <col min="33" max="34" width="8" bestFit="1" customWidth="1"/>
    <col min="35" max="35" width="7" bestFit="1" customWidth="1"/>
    <col min="36" max="46" width="8" bestFit="1" customWidth="1"/>
    <col min="47" max="47" width="7" bestFit="1" customWidth="1"/>
    <col min="48" max="53" width="8" bestFit="1" customWidth="1"/>
    <col min="54" max="54" width="6" bestFit="1" customWidth="1"/>
    <col min="55" max="57" width="8" bestFit="1" customWidth="1"/>
    <col min="58" max="58" width="6" bestFit="1" customWidth="1"/>
    <col min="59" max="59" width="7" bestFit="1" customWidth="1"/>
    <col min="60" max="63" width="8" bestFit="1" customWidth="1"/>
    <col min="64" max="64" width="7" bestFit="1" customWidth="1"/>
    <col min="65" max="65" width="8" bestFit="1" customWidth="1"/>
    <col min="66" max="66" width="7" bestFit="1" customWidth="1"/>
    <col min="67" max="71" width="8" bestFit="1" customWidth="1"/>
    <col min="72" max="72" width="7" bestFit="1" customWidth="1"/>
    <col min="73" max="75" width="8" bestFit="1" customWidth="1"/>
    <col min="76" max="76" width="7" bestFit="1" customWidth="1"/>
    <col min="77" max="78" width="8" bestFit="1" customWidth="1"/>
    <col min="79" max="79" width="7" bestFit="1" customWidth="1"/>
    <col min="80" max="81" width="8" bestFit="1" customWidth="1"/>
    <col min="82" max="82" width="7" bestFit="1" customWidth="1"/>
    <col min="83" max="85" width="8" bestFit="1" customWidth="1"/>
    <col min="86" max="86" width="6" bestFit="1" customWidth="1"/>
    <col min="87" max="88" width="8" bestFit="1" customWidth="1"/>
    <col min="89" max="89" width="7" bestFit="1" customWidth="1"/>
    <col min="90" max="90" width="8" bestFit="1" customWidth="1"/>
    <col min="91" max="92" width="9" bestFit="1" customWidth="1"/>
    <col min="93" max="93" width="8" bestFit="1" customWidth="1"/>
    <col min="94" max="97" width="9" bestFit="1" customWidth="1"/>
    <col min="98" max="98" width="8" bestFit="1" customWidth="1"/>
    <col min="99" max="109" width="9" bestFit="1" customWidth="1"/>
    <col min="110" max="110" width="6" bestFit="1" customWidth="1"/>
    <col min="111" max="111" width="9" bestFit="1" customWidth="1"/>
    <col min="112" max="112" width="8" bestFit="1" customWidth="1"/>
    <col min="113" max="118" width="9" bestFit="1" customWidth="1"/>
    <col min="119" max="120" width="8" bestFit="1" customWidth="1"/>
    <col min="121" max="126" width="9" bestFit="1" customWidth="1"/>
    <col min="127" max="127" width="8" bestFit="1" customWidth="1"/>
    <col min="128" max="128" width="9" bestFit="1" customWidth="1"/>
    <col min="129" max="130" width="8" bestFit="1" customWidth="1"/>
    <col min="131" max="131" width="9" bestFit="1" customWidth="1"/>
    <col min="132" max="132" width="6" bestFit="1" customWidth="1"/>
    <col min="133" max="133" width="9" bestFit="1" customWidth="1"/>
    <col min="134" max="135" width="8" bestFit="1" customWidth="1"/>
    <col min="136" max="137" width="9" bestFit="1" customWidth="1"/>
    <col min="138" max="138" width="8" bestFit="1" customWidth="1"/>
    <col min="139" max="144" width="9" bestFit="1" customWidth="1"/>
    <col min="145" max="146" width="8" bestFit="1" customWidth="1"/>
    <col min="147" max="148" width="9" bestFit="1" customWidth="1"/>
    <col min="149" max="149" width="7" bestFit="1" customWidth="1"/>
    <col min="150" max="150" width="8" bestFit="1" customWidth="1"/>
    <col min="151" max="151" width="7" bestFit="1" customWidth="1"/>
    <col min="152" max="165" width="9" bestFit="1" customWidth="1"/>
    <col min="166" max="166" width="8" bestFit="1" customWidth="1"/>
    <col min="167" max="168" width="9" bestFit="1" customWidth="1"/>
    <col min="169" max="169" width="7" bestFit="1" customWidth="1"/>
    <col min="170" max="171" width="9" bestFit="1" customWidth="1"/>
    <col min="172" max="172" width="8" bestFit="1" customWidth="1"/>
    <col min="173" max="176" width="9" bestFit="1" customWidth="1"/>
    <col min="177" max="177" width="8" bestFit="1" customWidth="1"/>
    <col min="178" max="178" width="9" bestFit="1" customWidth="1"/>
    <col min="179" max="179" width="7" bestFit="1" customWidth="1"/>
    <col min="180" max="180" width="8" bestFit="1" customWidth="1"/>
    <col min="181" max="188" width="9" bestFit="1" customWidth="1"/>
    <col min="189" max="190" width="8" bestFit="1" customWidth="1"/>
    <col min="191" max="196" width="9" bestFit="1" customWidth="1"/>
    <col min="197" max="198" width="8" bestFit="1" customWidth="1"/>
    <col min="199" max="199" width="9" bestFit="1" customWidth="1"/>
    <col min="200" max="200" width="7" bestFit="1" customWidth="1"/>
    <col min="201" max="201" width="9" bestFit="1" customWidth="1"/>
    <col min="202" max="202" width="8" bestFit="1" customWidth="1"/>
    <col min="203" max="203" width="9" bestFit="1" customWidth="1"/>
    <col min="204" max="204" width="7" bestFit="1" customWidth="1"/>
    <col min="205" max="205" width="8" bestFit="1" customWidth="1"/>
    <col min="206" max="210" width="9" bestFit="1" customWidth="1"/>
    <col min="211" max="211" width="8" bestFit="1" customWidth="1"/>
    <col min="212" max="220" width="9" bestFit="1" customWidth="1"/>
    <col min="221" max="221" width="8" bestFit="1" customWidth="1"/>
    <col min="222" max="227" width="9" bestFit="1" customWidth="1"/>
    <col min="228" max="228" width="8" bestFit="1" customWidth="1"/>
    <col min="229" max="229" width="9" bestFit="1" customWidth="1"/>
    <col min="230" max="230" width="8" bestFit="1" customWidth="1"/>
    <col min="231" max="232" width="9" bestFit="1" customWidth="1"/>
    <col min="233" max="233" width="8" bestFit="1" customWidth="1"/>
    <col min="234" max="234" width="9" bestFit="1" customWidth="1"/>
    <col min="235" max="235" width="8" bestFit="1" customWidth="1"/>
    <col min="236" max="238" width="9" bestFit="1" customWidth="1"/>
    <col min="239" max="241" width="8" bestFit="1" customWidth="1"/>
    <col min="242" max="242" width="7" bestFit="1" customWidth="1"/>
    <col min="243" max="243" width="9" bestFit="1" customWidth="1"/>
    <col min="244" max="245" width="8" bestFit="1" customWidth="1"/>
    <col min="246" max="247" width="9" bestFit="1" customWidth="1"/>
    <col min="248" max="248" width="8" bestFit="1" customWidth="1"/>
    <col min="249" max="250" width="9" bestFit="1" customWidth="1"/>
    <col min="251" max="252" width="8" bestFit="1" customWidth="1"/>
    <col min="253" max="254" width="9" bestFit="1" customWidth="1"/>
    <col min="255" max="255" width="8" bestFit="1" customWidth="1"/>
    <col min="256" max="257" width="9" bestFit="1" customWidth="1"/>
    <col min="258" max="258" width="8" bestFit="1" customWidth="1"/>
    <col min="259" max="260" width="9" bestFit="1" customWidth="1"/>
    <col min="261" max="261" width="8" bestFit="1" customWidth="1"/>
    <col min="262" max="270" width="9" bestFit="1" customWidth="1"/>
    <col min="271" max="272" width="8" bestFit="1" customWidth="1"/>
    <col min="273" max="273" width="9" bestFit="1" customWidth="1"/>
    <col min="274" max="274" width="8" bestFit="1" customWidth="1"/>
    <col min="275" max="276" width="9" bestFit="1" customWidth="1"/>
    <col min="277" max="277" width="8" bestFit="1" customWidth="1"/>
    <col min="278" max="279" width="9" bestFit="1" customWidth="1"/>
    <col min="280" max="281" width="8" bestFit="1" customWidth="1"/>
    <col min="282" max="283" width="9" bestFit="1" customWidth="1"/>
    <col min="284" max="284" width="8" bestFit="1" customWidth="1"/>
    <col min="285" max="286" width="9" bestFit="1" customWidth="1"/>
    <col min="287" max="287" width="7" bestFit="1" customWidth="1"/>
    <col min="288" max="288" width="8" bestFit="1" customWidth="1"/>
    <col min="289" max="289" width="9" bestFit="1" customWidth="1"/>
    <col min="290" max="290" width="8" bestFit="1" customWidth="1"/>
    <col min="291" max="292" width="9" bestFit="1" customWidth="1"/>
    <col min="293" max="293" width="8" bestFit="1" customWidth="1"/>
    <col min="294" max="295" width="9" bestFit="1" customWidth="1"/>
    <col min="296" max="296" width="8" bestFit="1" customWidth="1"/>
    <col min="297" max="298" width="9" bestFit="1" customWidth="1"/>
    <col min="299" max="299" width="8" bestFit="1" customWidth="1"/>
    <col min="300" max="303" width="9" bestFit="1" customWidth="1"/>
    <col min="304" max="304" width="8" bestFit="1" customWidth="1"/>
    <col min="305" max="317" width="9" bestFit="1" customWidth="1"/>
    <col min="318" max="318" width="8" bestFit="1" customWidth="1"/>
    <col min="319" max="334" width="9" bestFit="1" customWidth="1"/>
    <col min="335" max="335" width="7" bestFit="1" customWidth="1"/>
    <col min="336" max="341" width="9" bestFit="1" customWidth="1"/>
    <col min="342" max="342" width="7" bestFit="1" customWidth="1"/>
    <col min="343" max="345" width="9" bestFit="1" customWidth="1"/>
    <col min="346" max="346" width="7" bestFit="1" customWidth="1"/>
    <col min="347" max="348" width="9" bestFit="1" customWidth="1"/>
    <col min="349" max="349" width="8" bestFit="1" customWidth="1"/>
    <col min="350" max="354" width="9" bestFit="1" customWidth="1"/>
    <col min="355" max="355" width="8" bestFit="1" customWidth="1"/>
    <col min="356" max="356" width="7" bestFit="1" customWidth="1"/>
    <col min="357" max="357" width="8" bestFit="1" customWidth="1"/>
    <col min="358" max="359" width="9" bestFit="1" customWidth="1"/>
    <col min="360" max="361" width="8" bestFit="1" customWidth="1"/>
    <col min="362" max="362" width="9" bestFit="1" customWidth="1"/>
    <col min="363" max="363" width="7" bestFit="1" customWidth="1"/>
    <col min="364" max="365" width="9" bestFit="1" customWidth="1"/>
    <col min="366" max="366" width="8" bestFit="1" customWidth="1"/>
    <col min="367" max="367" width="7" bestFit="1" customWidth="1"/>
    <col min="368" max="369" width="9" bestFit="1" customWidth="1"/>
    <col min="370" max="370" width="7" bestFit="1" customWidth="1"/>
    <col min="371" max="382" width="9" bestFit="1" customWidth="1"/>
    <col min="383" max="383" width="6" bestFit="1" customWidth="1"/>
    <col min="384" max="385" width="8" bestFit="1" customWidth="1"/>
    <col min="386" max="389" width="9" bestFit="1" customWidth="1"/>
    <col min="390" max="390" width="7" bestFit="1" customWidth="1"/>
    <col min="391" max="392" width="8" bestFit="1" customWidth="1"/>
    <col min="393" max="393" width="9" bestFit="1" customWidth="1"/>
    <col min="394" max="394" width="7" bestFit="1" customWidth="1"/>
    <col min="395" max="396" width="9" bestFit="1" customWidth="1"/>
    <col min="397" max="397" width="8" bestFit="1" customWidth="1"/>
    <col min="398" max="400" width="9" bestFit="1" customWidth="1"/>
    <col min="401" max="401" width="8" bestFit="1" customWidth="1"/>
    <col min="402" max="405" width="9" bestFit="1" customWidth="1"/>
    <col min="406" max="406" width="8" bestFit="1" customWidth="1"/>
    <col min="407" max="410" width="9" bestFit="1" customWidth="1"/>
    <col min="411" max="411" width="8" bestFit="1" customWidth="1"/>
    <col min="412" max="414" width="9" bestFit="1" customWidth="1"/>
    <col min="415" max="415" width="8" bestFit="1" customWidth="1"/>
    <col min="416" max="419" width="9" bestFit="1" customWidth="1"/>
    <col min="420" max="420" width="7" bestFit="1" customWidth="1"/>
    <col min="421" max="422" width="8" bestFit="1" customWidth="1"/>
    <col min="423" max="425" width="9" bestFit="1" customWidth="1"/>
    <col min="426" max="426" width="7" bestFit="1" customWidth="1"/>
    <col min="427" max="428" width="9" bestFit="1" customWidth="1"/>
    <col min="429" max="429" width="8" bestFit="1" customWidth="1"/>
    <col min="430" max="430" width="9" bestFit="1" customWidth="1"/>
    <col min="431" max="431" width="8" bestFit="1" customWidth="1"/>
    <col min="432" max="438" width="9" bestFit="1" customWidth="1"/>
    <col min="439" max="439" width="7" bestFit="1" customWidth="1"/>
    <col min="440" max="440" width="8" bestFit="1" customWidth="1"/>
    <col min="441" max="444" width="9" bestFit="1" customWidth="1"/>
    <col min="445" max="446" width="8" bestFit="1" customWidth="1"/>
    <col min="447" max="450" width="9" bestFit="1" customWidth="1"/>
    <col min="451" max="451" width="8" bestFit="1" customWidth="1"/>
    <col min="452" max="452" width="9" bestFit="1" customWidth="1"/>
    <col min="453" max="453" width="6" bestFit="1" customWidth="1"/>
    <col min="454" max="454" width="9" bestFit="1" customWidth="1"/>
    <col min="455" max="456" width="8" bestFit="1" customWidth="1"/>
    <col min="457" max="459" width="9" bestFit="1" customWidth="1"/>
    <col min="460" max="460" width="7" bestFit="1" customWidth="1"/>
    <col min="461" max="463" width="9" bestFit="1" customWidth="1"/>
    <col min="464" max="464" width="8" bestFit="1" customWidth="1"/>
    <col min="465" max="469" width="9" bestFit="1" customWidth="1"/>
    <col min="470" max="470" width="7" bestFit="1" customWidth="1"/>
    <col min="471" max="471" width="9" bestFit="1" customWidth="1"/>
    <col min="472" max="472" width="8" bestFit="1" customWidth="1"/>
    <col min="473" max="474" width="9" bestFit="1" customWidth="1"/>
    <col min="475" max="475" width="8" bestFit="1" customWidth="1"/>
    <col min="476" max="481" width="9" bestFit="1" customWidth="1"/>
    <col min="482" max="482" width="7" bestFit="1" customWidth="1"/>
    <col min="483" max="484" width="8" bestFit="1" customWidth="1"/>
    <col min="485" max="486" width="9" bestFit="1" customWidth="1"/>
    <col min="487" max="487" width="8" bestFit="1" customWidth="1"/>
    <col min="488" max="488" width="9" bestFit="1" customWidth="1"/>
    <col min="489" max="489" width="8" bestFit="1" customWidth="1"/>
    <col min="490" max="490" width="9" bestFit="1" customWidth="1"/>
    <col min="491" max="491" width="8" bestFit="1" customWidth="1"/>
    <col min="492" max="494" width="9" bestFit="1" customWidth="1"/>
    <col min="495" max="495" width="8" bestFit="1" customWidth="1"/>
    <col min="496" max="496" width="9" bestFit="1" customWidth="1"/>
    <col min="497" max="497" width="8" bestFit="1" customWidth="1"/>
    <col min="498" max="501" width="9" bestFit="1" customWidth="1"/>
    <col min="502" max="502" width="8" bestFit="1" customWidth="1"/>
    <col min="503" max="505" width="9" bestFit="1" customWidth="1"/>
    <col min="506" max="506" width="7" bestFit="1" customWidth="1"/>
    <col min="507" max="510" width="9" bestFit="1" customWidth="1"/>
    <col min="511" max="511" width="8" bestFit="1" customWidth="1"/>
    <col min="512" max="512" width="7" bestFit="1" customWidth="1"/>
    <col min="513" max="513" width="9" bestFit="1" customWidth="1"/>
    <col min="514" max="516" width="8" bestFit="1" customWidth="1"/>
    <col min="517" max="518" width="9" bestFit="1" customWidth="1"/>
    <col min="519" max="519" width="8" bestFit="1" customWidth="1"/>
    <col min="520" max="520" width="9" bestFit="1" customWidth="1"/>
    <col min="521" max="521" width="8" bestFit="1" customWidth="1"/>
    <col min="522" max="523" width="9" bestFit="1" customWidth="1"/>
    <col min="524" max="526" width="8" bestFit="1" customWidth="1"/>
    <col min="527" max="527" width="9" bestFit="1" customWidth="1"/>
    <col min="528" max="528" width="8" bestFit="1" customWidth="1"/>
    <col min="529" max="530" width="9" bestFit="1" customWidth="1"/>
    <col min="531" max="531" width="8" bestFit="1" customWidth="1"/>
    <col min="532" max="532" width="9" bestFit="1" customWidth="1"/>
    <col min="533" max="533" width="8" bestFit="1" customWidth="1"/>
    <col min="534" max="535" width="9" bestFit="1" customWidth="1"/>
    <col min="536" max="536" width="8" bestFit="1" customWidth="1"/>
    <col min="537" max="538" width="9" bestFit="1" customWidth="1"/>
    <col min="539" max="539" width="7" bestFit="1" customWidth="1"/>
    <col min="540" max="558" width="9" bestFit="1" customWidth="1"/>
    <col min="559" max="560" width="8" bestFit="1" customWidth="1"/>
    <col min="561" max="563" width="9" bestFit="1" customWidth="1"/>
    <col min="564" max="564" width="8" bestFit="1" customWidth="1"/>
    <col min="565" max="566" width="9" bestFit="1" customWidth="1"/>
    <col min="567" max="567" width="8" bestFit="1" customWidth="1"/>
    <col min="568" max="570" width="9" bestFit="1" customWidth="1"/>
    <col min="571" max="571" width="7" bestFit="1" customWidth="1"/>
    <col min="572" max="572" width="9" bestFit="1" customWidth="1"/>
    <col min="573" max="573" width="8" bestFit="1" customWidth="1"/>
    <col min="574" max="579" width="9" bestFit="1" customWidth="1"/>
    <col min="580" max="580" width="8" bestFit="1" customWidth="1"/>
    <col min="581" max="582" width="9" bestFit="1" customWidth="1"/>
    <col min="583" max="583" width="7" bestFit="1" customWidth="1"/>
    <col min="584" max="587" width="9" bestFit="1" customWidth="1"/>
    <col min="588" max="588" width="8" bestFit="1" customWidth="1"/>
    <col min="589" max="592" width="9" bestFit="1" customWidth="1"/>
    <col min="593" max="593" width="7" bestFit="1" customWidth="1"/>
    <col min="594" max="594" width="8" bestFit="1" customWidth="1"/>
    <col min="595" max="598" width="9" bestFit="1" customWidth="1"/>
    <col min="599" max="599" width="6" bestFit="1" customWidth="1"/>
    <col min="600" max="603" width="9" bestFit="1" customWidth="1"/>
    <col min="604" max="604" width="8" bestFit="1" customWidth="1"/>
    <col min="605" max="605" width="9" bestFit="1" customWidth="1"/>
    <col min="606" max="606" width="7" bestFit="1" customWidth="1"/>
    <col min="607" max="607" width="8" bestFit="1" customWidth="1"/>
    <col min="608" max="612" width="9" bestFit="1" customWidth="1"/>
    <col min="613" max="614" width="8" bestFit="1" customWidth="1"/>
    <col min="615" max="615" width="9" bestFit="1" customWidth="1"/>
    <col min="616" max="616" width="7" bestFit="1" customWidth="1"/>
    <col min="617" max="617" width="8" bestFit="1" customWidth="1"/>
    <col min="618" max="620" width="9" bestFit="1" customWidth="1"/>
    <col min="621" max="621" width="8" bestFit="1" customWidth="1"/>
    <col min="622" max="629" width="9" bestFit="1" customWidth="1"/>
    <col min="630" max="630" width="8" bestFit="1" customWidth="1"/>
    <col min="631" max="633" width="9" bestFit="1" customWidth="1"/>
    <col min="634" max="635" width="8" bestFit="1" customWidth="1"/>
    <col min="636" max="636" width="9" bestFit="1" customWidth="1"/>
    <col min="637" max="638" width="8" bestFit="1" customWidth="1"/>
    <col min="639" max="639" width="9" bestFit="1" customWidth="1"/>
    <col min="640" max="640" width="8" bestFit="1" customWidth="1"/>
    <col min="641" max="643" width="9" bestFit="1" customWidth="1"/>
    <col min="644" max="644" width="8" bestFit="1" customWidth="1"/>
    <col min="645" max="648" width="9" bestFit="1" customWidth="1"/>
    <col min="649" max="649" width="7" bestFit="1" customWidth="1"/>
    <col min="650" max="652" width="9" bestFit="1" customWidth="1"/>
    <col min="653" max="654" width="8" bestFit="1" customWidth="1"/>
    <col min="655" max="655" width="9" bestFit="1" customWidth="1"/>
    <col min="656" max="656" width="8" bestFit="1" customWidth="1"/>
    <col min="657" max="659" width="9" bestFit="1" customWidth="1"/>
    <col min="660" max="660" width="8" bestFit="1" customWidth="1"/>
    <col min="661" max="661" width="9" bestFit="1" customWidth="1"/>
    <col min="662" max="662" width="7" bestFit="1" customWidth="1"/>
    <col min="663" max="663" width="8" bestFit="1" customWidth="1"/>
    <col min="664" max="664" width="9" bestFit="1" customWidth="1"/>
    <col min="665" max="665" width="8" bestFit="1" customWidth="1"/>
    <col min="666" max="669" width="9" bestFit="1" customWidth="1"/>
    <col min="670" max="670" width="7" bestFit="1" customWidth="1"/>
    <col min="671" max="671" width="9" bestFit="1" customWidth="1"/>
    <col min="672" max="672" width="8" bestFit="1" customWidth="1"/>
    <col min="673" max="673" width="9" bestFit="1" customWidth="1"/>
    <col min="674" max="674" width="8" bestFit="1" customWidth="1"/>
    <col min="675" max="675" width="9" bestFit="1" customWidth="1"/>
    <col min="676" max="676" width="8" bestFit="1" customWidth="1"/>
    <col min="677" max="683" width="9" bestFit="1" customWidth="1"/>
    <col min="684" max="684" width="7" bestFit="1" customWidth="1"/>
    <col min="685" max="687" width="8" bestFit="1" customWidth="1"/>
    <col min="688" max="691" width="9" bestFit="1" customWidth="1"/>
    <col min="692" max="693" width="8" bestFit="1" customWidth="1"/>
    <col min="694" max="699" width="9" bestFit="1" customWidth="1"/>
    <col min="700" max="700" width="7" bestFit="1" customWidth="1"/>
    <col min="701" max="702" width="9" bestFit="1" customWidth="1"/>
    <col min="703" max="703" width="7" bestFit="1" customWidth="1"/>
    <col min="704" max="704" width="9" bestFit="1" customWidth="1"/>
    <col min="705" max="706" width="8" bestFit="1" customWidth="1"/>
    <col min="707" max="715" width="9" bestFit="1" customWidth="1"/>
    <col min="716" max="717" width="8" bestFit="1" customWidth="1"/>
    <col min="718" max="718" width="7" bestFit="1" customWidth="1"/>
    <col min="719" max="719" width="9" bestFit="1" customWidth="1"/>
    <col min="720" max="720" width="8" bestFit="1" customWidth="1"/>
    <col min="721" max="724" width="9" bestFit="1" customWidth="1"/>
    <col min="725" max="725" width="8" bestFit="1" customWidth="1"/>
    <col min="726" max="732" width="9" bestFit="1" customWidth="1"/>
    <col min="733" max="733" width="8" bestFit="1" customWidth="1"/>
    <col min="734" max="734" width="9" bestFit="1" customWidth="1"/>
    <col min="735" max="735" width="8" bestFit="1" customWidth="1"/>
    <col min="736" max="738" width="9" bestFit="1" customWidth="1"/>
    <col min="739" max="739" width="8" bestFit="1" customWidth="1"/>
    <col min="740" max="742" width="9" bestFit="1" customWidth="1"/>
    <col min="743" max="744" width="8" bestFit="1" customWidth="1"/>
    <col min="745" max="747" width="9" bestFit="1" customWidth="1"/>
    <col min="748" max="748" width="8" bestFit="1" customWidth="1"/>
    <col min="749" max="749" width="9" bestFit="1" customWidth="1"/>
    <col min="750" max="750" width="7" bestFit="1" customWidth="1"/>
    <col min="751" max="757" width="9" bestFit="1" customWidth="1"/>
    <col min="758" max="758" width="8" bestFit="1" customWidth="1"/>
    <col min="759" max="760" width="9" bestFit="1" customWidth="1"/>
    <col min="761" max="761" width="8" bestFit="1" customWidth="1"/>
    <col min="762" max="762" width="9" bestFit="1" customWidth="1"/>
    <col min="763" max="764" width="8" bestFit="1" customWidth="1"/>
    <col min="765" max="766" width="9" bestFit="1" customWidth="1"/>
    <col min="767" max="767" width="7" bestFit="1" customWidth="1"/>
    <col min="768" max="768" width="8" bestFit="1" customWidth="1"/>
    <col min="769" max="769" width="9" bestFit="1" customWidth="1"/>
    <col min="770" max="770" width="8" bestFit="1" customWidth="1"/>
    <col min="771" max="773" width="9" bestFit="1" customWidth="1"/>
    <col min="774" max="776" width="8" bestFit="1" customWidth="1"/>
    <col min="777" max="778" width="9" bestFit="1" customWidth="1"/>
    <col min="779" max="779" width="8" bestFit="1" customWidth="1"/>
    <col min="780" max="781" width="7" bestFit="1" customWidth="1"/>
    <col min="782" max="782" width="8" bestFit="1" customWidth="1"/>
    <col min="783" max="787" width="9" bestFit="1" customWidth="1"/>
    <col min="788" max="788" width="7" bestFit="1" customWidth="1"/>
    <col min="789" max="789" width="8" bestFit="1" customWidth="1"/>
    <col min="790" max="790" width="9" bestFit="1" customWidth="1"/>
    <col min="791" max="791" width="7" bestFit="1" customWidth="1"/>
    <col min="792" max="793" width="9" bestFit="1" customWidth="1"/>
    <col min="794" max="794" width="7" bestFit="1" customWidth="1"/>
    <col min="795" max="795" width="9" bestFit="1" customWidth="1"/>
    <col min="796" max="796" width="8" bestFit="1" customWidth="1"/>
    <col min="797" max="799" width="9" bestFit="1" customWidth="1"/>
    <col min="800" max="801" width="8" bestFit="1" customWidth="1"/>
    <col min="802" max="804" width="9" bestFit="1" customWidth="1"/>
    <col min="805" max="805" width="7" bestFit="1" customWidth="1"/>
    <col min="806" max="807" width="8" bestFit="1" customWidth="1"/>
    <col min="808" max="808" width="7" bestFit="1" customWidth="1"/>
    <col min="809" max="810" width="9" bestFit="1" customWidth="1"/>
    <col min="811" max="816" width="8" bestFit="1" customWidth="1"/>
    <col min="817" max="817" width="9" bestFit="1" customWidth="1"/>
    <col min="818" max="818" width="8" bestFit="1" customWidth="1"/>
    <col min="819" max="819" width="9" bestFit="1" customWidth="1"/>
    <col min="820" max="820" width="6" bestFit="1" customWidth="1"/>
    <col min="821" max="821" width="9" bestFit="1" customWidth="1"/>
    <col min="822" max="822" width="7" bestFit="1" customWidth="1"/>
    <col min="823" max="823" width="9" bestFit="1" customWidth="1"/>
    <col min="824" max="824" width="8" bestFit="1" customWidth="1"/>
    <col min="825" max="825" width="9" bestFit="1" customWidth="1"/>
    <col min="826" max="826" width="8" bestFit="1" customWidth="1"/>
    <col min="827" max="827" width="7" bestFit="1" customWidth="1"/>
    <col min="828" max="839" width="9" bestFit="1" customWidth="1"/>
    <col min="840" max="840" width="7" bestFit="1" customWidth="1"/>
    <col min="841" max="844" width="9" bestFit="1" customWidth="1"/>
    <col min="845" max="845" width="6" bestFit="1" customWidth="1"/>
    <col min="846" max="849" width="9" bestFit="1" customWidth="1"/>
    <col min="850" max="851" width="8" bestFit="1" customWidth="1"/>
    <col min="852" max="855" width="9" bestFit="1" customWidth="1"/>
    <col min="856" max="856" width="6" bestFit="1" customWidth="1"/>
    <col min="857" max="857" width="9" bestFit="1" customWidth="1"/>
    <col min="858" max="858" width="8" bestFit="1" customWidth="1"/>
    <col min="859" max="860" width="9" bestFit="1" customWidth="1"/>
    <col min="861" max="861" width="7" bestFit="1" customWidth="1"/>
    <col min="862" max="864" width="9" bestFit="1" customWidth="1"/>
    <col min="865" max="865" width="8" bestFit="1" customWidth="1"/>
    <col min="866" max="871" width="9" bestFit="1" customWidth="1"/>
    <col min="872" max="872" width="8" bestFit="1" customWidth="1"/>
    <col min="873" max="873" width="9" bestFit="1" customWidth="1"/>
    <col min="874" max="874" width="8" bestFit="1" customWidth="1"/>
    <col min="875" max="878" width="9" bestFit="1" customWidth="1"/>
    <col min="879" max="879" width="7" bestFit="1" customWidth="1"/>
    <col min="880" max="880" width="9" bestFit="1" customWidth="1"/>
    <col min="881" max="881" width="7" bestFit="1" customWidth="1"/>
    <col min="882" max="883" width="9" bestFit="1" customWidth="1"/>
    <col min="884" max="884" width="8" bestFit="1" customWidth="1"/>
    <col min="885" max="886" width="9" bestFit="1" customWidth="1"/>
    <col min="887" max="887" width="8" bestFit="1" customWidth="1"/>
    <col min="888" max="892" width="9" bestFit="1" customWidth="1"/>
    <col min="893" max="893" width="8" bestFit="1" customWidth="1"/>
    <col min="894" max="894" width="9" bestFit="1" customWidth="1"/>
    <col min="895" max="895" width="8" bestFit="1" customWidth="1"/>
    <col min="896" max="900" width="9" bestFit="1" customWidth="1"/>
    <col min="901" max="901" width="7" bestFit="1" customWidth="1"/>
    <col min="902" max="902" width="8" bestFit="1" customWidth="1"/>
    <col min="903" max="905" width="9" bestFit="1" customWidth="1"/>
    <col min="906" max="907" width="8" bestFit="1" customWidth="1"/>
    <col min="908" max="908" width="7" bestFit="1" customWidth="1"/>
    <col min="909" max="910" width="9" bestFit="1" customWidth="1"/>
    <col min="911" max="912" width="8" bestFit="1" customWidth="1"/>
    <col min="913" max="917" width="9" bestFit="1" customWidth="1"/>
    <col min="918" max="918" width="8" bestFit="1" customWidth="1"/>
    <col min="919" max="919" width="9" bestFit="1" customWidth="1"/>
    <col min="920" max="921" width="8" bestFit="1" customWidth="1"/>
    <col min="922" max="922" width="9" bestFit="1" customWidth="1"/>
    <col min="923" max="923" width="8" bestFit="1" customWidth="1"/>
    <col min="924" max="924" width="9" bestFit="1" customWidth="1"/>
    <col min="925" max="926" width="8" bestFit="1" customWidth="1"/>
    <col min="927" max="928" width="9" bestFit="1" customWidth="1"/>
    <col min="929" max="929" width="8" bestFit="1" customWidth="1"/>
    <col min="930" max="931" width="9" bestFit="1" customWidth="1"/>
    <col min="932" max="932" width="8" bestFit="1" customWidth="1"/>
    <col min="933" max="935" width="9" bestFit="1" customWidth="1"/>
    <col min="936" max="937" width="8" bestFit="1" customWidth="1"/>
    <col min="938" max="945" width="9" bestFit="1" customWidth="1"/>
    <col min="946" max="946" width="8" bestFit="1" customWidth="1"/>
    <col min="947" max="951" width="9" bestFit="1" customWidth="1"/>
    <col min="952" max="953" width="8" bestFit="1" customWidth="1"/>
    <col min="954" max="955" width="9" bestFit="1" customWidth="1"/>
    <col min="956" max="956" width="8" bestFit="1" customWidth="1"/>
    <col min="957" max="961" width="9" bestFit="1" customWidth="1"/>
    <col min="962" max="962" width="8" bestFit="1" customWidth="1"/>
    <col min="963" max="967" width="9" bestFit="1" customWidth="1"/>
    <col min="968" max="969" width="8" bestFit="1" customWidth="1"/>
    <col min="970" max="975" width="9" bestFit="1" customWidth="1"/>
    <col min="976" max="976" width="8" bestFit="1" customWidth="1"/>
    <col min="977" max="978" width="9" bestFit="1" customWidth="1"/>
    <col min="979" max="979" width="8" bestFit="1" customWidth="1"/>
    <col min="980" max="988" width="9" bestFit="1" customWidth="1"/>
    <col min="989" max="989" width="6" bestFit="1" customWidth="1"/>
    <col min="990" max="996" width="9" bestFit="1" customWidth="1"/>
    <col min="997" max="997" width="8" bestFit="1" customWidth="1"/>
    <col min="998" max="998" width="6" bestFit="1" customWidth="1"/>
    <col min="999" max="999" width="9" bestFit="1" customWidth="1"/>
    <col min="1000" max="1000" width="7" bestFit="1" customWidth="1"/>
    <col min="1001" max="1001" width="8" bestFit="1" customWidth="1"/>
    <col min="1002" max="1008" width="9" bestFit="1" customWidth="1"/>
    <col min="1009" max="1010" width="8" bestFit="1" customWidth="1"/>
    <col min="1011" max="1012" width="9" bestFit="1" customWidth="1"/>
    <col min="1013" max="1013" width="8" bestFit="1" customWidth="1"/>
    <col min="1014" max="1014" width="7" bestFit="1" customWidth="1"/>
    <col min="1015" max="1015" width="9" bestFit="1" customWidth="1"/>
    <col min="1016" max="1017" width="8" bestFit="1" customWidth="1"/>
    <col min="1018" max="1020" width="9" bestFit="1" customWidth="1"/>
    <col min="1021" max="1021" width="7" bestFit="1" customWidth="1"/>
    <col min="1022" max="1023" width="9" bestFit="1" customWidth="1"/>
    <col min="1024" max="1025" width="8" bestFit="1" customWidth="1"/>
    <col min="1026" max="1026" width="9" bestFit="1" customWidth="1"/>
    <col min="1027" max="1027" width="8" bestFit="1" customWidth="1"/>
    <col min="1028" max="1028" width="9" bestFit="1" customWidth="1"/>
    <col min="1029" max="1030" width="7" bestFit="1" customWidth="1"/>
    <col min="1031" max="1034" width="9" bestFit="1" customWidth="1"/>
    <col min="1035" max="1035" width="8" bestFit="1" customWidth="1"/>
    <col min="1036" max="1041" width="9" bestFit="1" customWidth="1"/>
    <col min="1042" max="1042" width="8" bestFit="1" customWidth="1"/>
    <col min="1043" max="1045" width="9" bestFit="1" customWidth="1"/>
    <col min="1046" max="1046" width="8" bestFit="1" customWidth="1"/>
    <col min="1047" max="1047" width="9" bestFit="1" customWidth="1"/>
    <col min="1048" max="1048" width="8" bestFit="1" customWidth="1"/>
    <col min="1049" max="1050" width="9" bestFit="1" customWidth="1"/>
    <col min="1051" max="1051" width="8" bestFit="1" customWidth="1"/>
    <col min="1052" max="1055" width="9" bestFit="1" customWidth="1"/>
    <col min="1056" max="1056" width="7" bestFit="1" customWidth="1"/>
    <col min="1057" max="1060" width="8" bestFit="1" customWidth="1"/>
    <col min="1061" max="1061" width="9" bestFit="1" customWidth="1"/>
    <col min="1062" max="1062" width="7" bestFit="1" customWidth="1"/>
    <col min="1063" max="1063" width="8" bestFit="1" customWidth="1"/>
    <col min="1064" max="1067" width="9" bestFit="1" customWidth="1"/>
    <col min="1068" max="1068" width="8" bestFit="1" customWidth="1"/>
    <col min="1069" max="1069" width="9" bestFit="1" customWidth="1"/>
    <col min="1070" max="1070" width="7" bestFit="1" customWidth="1"/>
    <col min="1071" max="1071" width="8" bestFit="1" customWidth="1"/>
    <col min="1072" max="1072" width="9" bestFit="1" customWidth="1"/>
    <col min="1073" max="1073" width="8" bestFit="1" customWidth="1"/>
    <col min="1074" max="1074" width="9" bestFit="1" customWidth="1"/>
    <col min="1075" max="1075" width="8" bestFit="1" customWidth="1"/>
    <col min="1076" max="1086" width="9" bestFit="1" customWidth="1"/>
    <col min="1087" max="1087" width="8" bestFit="1" customWidth="1"/>
    <col min="1088" max="1088" width="9" bestFit="1" customWidth="1"/>
    <col min="1089" max="1089" width="8" bestFit="1" customWidth="1"/>
    <col min="1090" max="1096" width="9" bestFit="1" customWidth="1"/>
    <col min="1097" max="1097" width="7" bestFit="1" customWidth="1"/>
    <col min="1098" max="1100" width="9" bestFit="1" customWidth="1"/>
    <col min="1101" max="1102" width="8" bestFit="1" customWidth="1"/>
    <col min="1103" max="1103" width="9" bestFit="1" customWidth="1"/>
    <col min="1104" max="1104" width="8" bestFit="1" customWidth="1"/>
    <col min="1105" max="1109" width="10" bestFit="1" customWidth="1"/>
    <col min="1110" max="1110" width="9" bestFit="1" customWidth="1"/>
    <col min="1111" max="1113" width="10" bestFit="1" customWidth="1"/>
    <col min="1114" max="1114" width="8" bestFit="1" customWidth="1"/>
    <col min="1115" max="1117" width="10" bestFit="1" customWidth="1"/>
    <col min="1118" max="1118" width="9" bestFit="1" customWidth="1"/>
    <col min="1119" max="1120" width="10" bestFit="1" customWidth="1"/>
    <col min="1121" max="1121" width="9" bestFit="1" customWidth="1"/>
    <col min="1122" max="1122" width="8" bestFit="1" customWidth="1"/>
    <col min="1123" max="1123" width="9" bestFit="1" customWidth="1"/>
    <col min="1124" max="1124" width="8" bestFit="1" customWidth="1"/>
    <col min="1125" max="1125" width="9" bestFit="1" customWidth="1"/>
    <col min="1126" max="1126" width="10" bestFit="1" customWidth="1"/>
    <col min="1127" max="1127" width="9" bestFit="1" customWidth="1"/>
    <col min="1128" max="1129" width="10" bestFit="1" customWidth="1"/>
    <col min="1130" max="1130" width="8" bestFit="1" customWidth="1"/>
    <col min="1131" max="1135" width="10" bestFit="1" customWidth="1"/>
    <col min="1136" max="1137" width="9" bestFit="1" customWidth="1"/>
    <col min="1138" max="1143" width="10" bestFit="1" customWidth="1"/>
    <col min="1144" max="1145" width="9" bestFit="1" customWidth="1"/>
    <col min="1146" max="1147" width="10" bestFit="1" customWidth="1"/>
    <col min="1148" max="1148" width="8" bestFit="1" customWidth="1"/>
    <col min="1149" max="1150" width="9" bestFit="1" customWidth="1"/>
    <col min="1151" max="1151" width="10" bestFit="1" customWidth="1"/>
    <col min="1152" max="1152" width="8" bestFit="1" customWidth="1"/>
    <col min="1153" max="1154" width="10" bestFit="1" customWidth="1"/>
    <col min="1155" max="1155" width="9" bestFit="1" customWidth="1"/>
    <col min="1156" max="1156" width="10" bestFit="1" customWidth="1"/>
    <col min="1157" max="1158" width="9" bestFit="1" customWidth="1"/>
    <col min="1159" max="1161" width="10" bestFit="1" customWidth="1"/>
    <col min="1162" max="1162" width="8" bestFit="1" customWidth="1"/>
    <col min="1163" max="1163" width="9" bestFit="1" customWidth="1"/>
    <col min="1164" max="1168" width="10" bestFit="1" customWidth="1"/>
    <col min="1169" max="1169" width="12" bestFit="1" customWidth="1"/>
    <col min="1170" max="1170" width="10" bestFit="1" customWidth="1"/>
    <col min="1171" max="1171" width="12" bestFit="1" customWidth="1"/>
    <col min="1172" max="1172" width="10" bestFit="1" customWidth="1"/>
    <col min="1173" max="1174" width="12" bestFit="1" customWidth="1"/>
    <col min="1175" max="1175" width="10" bestFit="1" customWidth="1"/>
    <col min="1176" max="1177" width="9" bestFit="1" customWidth="1"/>
    <col min="1178" max="1178" width="8" bestFit="1" customWidth="1"/>
    <col min="1179" max="1183" width="10" bestFit="1" customWidth="1"/>
    <col min="1184" max="1184" width="8" bestFit="1" customWidth="1"/>
    <col min="1185" max="1186" width="10" bestFit="1" customWidth="1"/>
    <col min="1187" max="1187" width="9" bestFit="1" customWidth="1"/>
    <col min="1188" max="1191" width="10" bestFit="1" customWidth="1"/>
    <col min="1192" max="1192" width="9" bestFit="1" customWidth="1"/>
    <col min="1193" max="1193" width="10" bestFit="1" customWidth="1"/>
    <col min="1194" max="1196" width="9" bestFit="1" customWidth="1"/>
    <col min="1197" max="1200" width="10" bestFit="1" customWidth="1"/>
    <col min="1201" max="1201" width="8" bestFit="1" customWidth="1"/>
    <col min="1202" max="1203" width="9" bestFit="1" customWidth="1"/>
    <col min="1204" max="1204" width="10" bestFit="1" customWidth="1"/>
    <col min="1205" max="1205" width="9" bestFit="1" customWidth="1"/>
    <col min="1206" max="1207" width="10" bestFit="1" customWidth="1"/>
    <col min="1208" max="1208" width="9" bestFit="1" customWidth="1"/>
    <col min="1209" max="1211" width="10" bestFit="1" customWidth="1"/>
    <col min="1212" max="1212" width="9" bestFit="1" customWidth="1"/>
    <col min="1213" max="1213" width="10" bestFit="1" customWidth="1"/>
    <col min="1214" max="1215" width="9" bestFit="1" customWidth="1"/>
    <col min="1216" max="1224" width="10" bestFit="1" customWidth="1"/>
    <col min="1225" max="1225" width="9" bestFit="1" customWidth="1"/>
    <col min="1226" max="1228" width="10" bestFit="1" customWidth="1"/>
    <col min="1229" max="1229" width="9" bestFit="1" customWidth="1"/>
    <col min="1230" max="1230" width="10" bestFit="1" customWidth="1"/>
    <col min="1231" max="1231" width="9" bestFit="1" customWidth="1"/>
    <col min="1232" max="1232" width="10" bestFit="1" customWidth="1"/>
    <col min="1233" max="1233" width="9" bestFit="1" customWidth="1"/>
    <col min="1234" max="1235" width="10" bestFit="1" customWidth="1"/>
    <col min="1236" max="1236" width="8" bestFit="1" customWidth="1"/>
    <col min="1237" max="1237" width="10" bestFit="1" customWidth="1"/>
    <col min="1238" max="1240" width="9" bestFit="1" customWidth="1"/>
    <col min="1241" max="1248" width="10" bestFit="1" customWidth="1"/>
    <col min="1249" max="1250" width="9" bestFit="1" customWidth="1"/>
    <col min="1251" max="1256" width="10" bestFit="1" customWidth="1"/>
    <col min="1257" max="1257" width="8" bestFit="1" customWidth="1"/>
    <col min="1258" max="1259" width="10" bestFit="1" customWidth="1"/>
    <col min="1260" max="1260" width="9" bestFit="1" customWidth="1"/>
    <col min="1261" max="1261" width="10" bestFit="1" customWidth="1"/>
    <col min="1262" max="1266" width="9" bestFit="1" customWidth="1"/>
    <col min="1267" max="1271" width="10" bestFit="1" customWidth="1"/>
    <col min="1272" max="1272" width="9" bestFit="1" customWidth="1"/>
    <col min="1273" max="1273" width="10" bestFit="1" customWidth="1"/>
    <col min="1274" max="1274" width="8" bestFit="1" customWidth="1"/>
    <col min="1275" max="1275" width="10" bestFit="1" customWidth="1"/>
    <col min="1276" max="1276" width="9" bestFit="1" customWidth="1"/>
    <col min="1277" max="1277" width="8" bestFit="1" customWidth="1"/>
    <col min="1278" max="1278" width="9" bestFit="1" customWidth="1"/>
    <col min="1279" max="1279" width="10" bestFit="1" customWidth="1"/>
    <col min="1280" max="1281" width="9" bestFit="1" customWidth="1"/>
    <col min="1282" max="1290" width="10" bestFit="1" customWidth="1"/>
    <col min="1291" max="1291" width="9" bestFit="1" customWidth="1"/>
    <col min="1292" max="1292" width="10" bestFit="1" customWidth="1"/>
    <col min="1293" max="1294" width="9" bestFit="1" customWidth="1"/>
    <col min="1295" max="1297" width="10" bestFit="1" customWidth="1"/>
    <col min="1298" max="1300" width="9" bestFit="1" customWidth="1"/>
    <col min="1301" max="1306" width="10" bestFit="1" customWidth="1"/>
    <col min="1307" max="1307" width="9" bestFit="1" customWidth="1"/>
    <col min="1308" max="1308" width="10" bestFit="1" customWidth="1"/>
    <col min="1309" max="1309" width="9" bestFit="1" customWidth="1"/>
    <col min="1310" max="1310" width="10" bestFit="1" customWidth="1"/>
    <col min="1311" max="1312" width="8" bestFit="1" customWidth="1"/>
    <col min="1313" max="1313" width="10" bestFit="1" customWidth="1"/>
    <col min="1314" max="1315" width="8" bestFit="1" customWidth="1"/>
    <col min="1316" max="1316" width="9" bestFit="1" customWidth="1"/>
    <col min="1317" max="1317" width="10" bestFit="1" customWidth="1"/>
    <col min="1318" max="1318" width="7" bestFit="1" customWidth="1"/>
    <col min="1319" max="1325" width="10" bestFit="1" customWidth="1"/>
    <col min="1326" max="1326" width="9" bestFit="1" customWidth="1"/>
    <col min="1327" max="1328" width="10" bestFit="1" customWidth="1"/>
    <col min="1329" max="1329" width="7" bestFit="1" customWidth="1"/>
    <col min="1330" max="1335" width="10" bestFit="1" customWidth="1"/>
    <col min="1336" max="1337" width="9" bestFit="1" customWidth="1"/>
    <col min="1338" max="1344" width="10" bestFit="1" customWidth="1"/>
    <col min="1345" max="1345" width="8" bestFit="1" customWidth="1"/>
    <col min="1346" max="1347" width="9" bestFit="1" customWidth="1"/>
    <col min="1348" max="1348" width="10" bestFit="1" customWidth="1"/>
    <col min="1349" max="1349" width="8" bestFit="1" customWidth="1"/>
    <col min="1350" max="1353" width="10" bestFit="1" customWidth="1"/>
    <col min="1354" max="1354" width="9" bestFit="1" customWidth="1"/>
    <col min="1355" max="1355" width="10" bestFit="1" customWidth="1"/>
    <col min="1356" max="1356" width="9" bestFit="1" customWidth="1"/>
    <col min="1357" max="1359" width="10" bestFit="1" customWidth="1"/>
    <col min="1360" max="1360" width="9" bestFit="1" customWidth="1"/>
    <col min="1361" max="1362" width="10" bestFit="1" customWidth="1"/>
    <col min="1363" max="1363" width="9" bestFit="1" customWidth="1"/>
    <col min="1364" max="1367" width="10" bestFit="1" customWidth="1"/>
    <col min="1368" max="1369" width="9" bestFit="1" customWidth="1"/>
    <col min="1370" max="1375" width="10" bestFit="1" customWidth="1"/>
    <col min="1376" max="1376" width="9" bestFit="1" customWidth="1"/>
    <col min="1377" max="1379" width="10" bestFit="1" customWidth="1"/>
    <col min="1380" max="1381" width="9" bestFit="1" customWidth="1"/>
    <col min="1382" max="1384" width="10" bestFit="1" customWidth="1"/>
    <col min="1385" max="1385" width="9" bestFit="1" customWidth="1"/>
    <col min="1386" max="1387" width="10" bestFit="1" customWidth="1"/>
    <col min="1388" max="1388" width="9" bestFit="1" customWidth="1"/>
    <col min="1389" max="1394" width="10" bestFit="1" customWidth="1"/>
    <col min="1395" max="1395" width="9" bestFit="1" customWidth="1"/>
    <col min="1396" max="1396" width="10" bestFit="1" customWidth="1"/>
    <col min="1397" max="1397" width="9" bestFit="1" customWidth="1"/>
    <col min="1398" max="1398" width="10" bestFit="1" customWidth="1"/>
    <col min="1399" max="1399" width="9" bestFit="1" customWidth="1"/>
    <col min="1400" max="1401" width="10" bestFit="1" customWidth="1"/>
    <col min="1402" max="1402" width="8" bestFit="1" customWidth="1"/>
    <col min="1403" max="1403" width="9" bestFit="1" customWidth="1"/>
    <col min="1404" max="1405" width="10" bestFit="1" customWidth="1"/>
    <col min="1406" max="1406" width="9" bestFit="1" customWidth="1"/>
    <col min="1407" max="1407" width="10" bestFit="1" customWidth="1"/>
    <col min="1408" max="1409" width="9" bestFit="1" customWidth="1"/>
    <col min="1410" max="1412" width="10" bestFit="1" customWidth="1"/>
    <col min="1413" max="1413" width="9" bestFit="1" customWidth="1"/>
    <col min="1414" max="1414" width="8" bestFit="1" customWidth="1"/>
    <col min="1415" max="1416" width="10" bestFit="1" customWidth="1"/>
    <col min="1417" max="1417" width="9" bestFit="1" customWidth="1"/>
    <col min="1418" max="1419" width="10" bestFit="1" customWidth="1"/>
    <col min="1420" max="1420" width="9" bestFit="1" customWidth="1"/>
    <col min="1421" max="1421" width="8" bestFit="1" customWidth="1"/>
    <col min="1422" max="1428" width="10" bestFit="1" customWidth="1"/>
    <col min="1429" max="1429" width="9" bestFit="1" customWidth="1"/>
    <col min="1430" max="1432" width="10" bestFit="1" customWidth="1"/>
    <col min="1433" max="1433" width="9" bestFit="1" customWidth="1"/>
    <col min="1434" max="1434" width="7" bestFit="1" customWidth="1"/>
    <col min="1435" max="1437" width="10" bestFit="1" customWidth="1"/>
    <col min="1438" max="1438" width="9" bestFit="1" customWidth="1"/>
    <col min="1439" max="1445" width="10" bestFit="1" customWidth="1"/>
    <col min="1446" max="1446" width="8" bestFit="1" customWidth="1"/>
    <col min="1447" max="1447" width="9" bestFit="1" customWidth="1"/>
    <col min="1448" max="1449" width="10" bestFit="1" customWidth="1"/>
    <col min="1450" max="1450" width="9" bestFit="1" customWidth="1"/>
    <col min="1451" max="1453" width="10" bestFit="1" customWidth="1"/>
    <col min="1454" max="1454" width="9" bestFit="1" customWidth="1"/>
    <col min="1455" max="1455" width="10" bestFit="1" customWidth="1"/>
    <col min="1456" max="1456" width="9" bestFit="1" customWidth="1"/>
    <col min="1457" max="1460" width="10" bestFit="1" customWidth="1"/>
    <col min="1461" max="1462" width="9" bestFit="1" customWidth="1"/>
    <col min="1463" max="1464" width="10" bestFit="1" customWidth="1"/>
    <col min="1465" max="1470" width="9" bestFit="1" customWidth="1"/>
    <col min="1471" max="1471" width="10" bestFit="1" customWidth="1"/>
    <col min="1472" max="1472" width="9" bestFit="1" customWidth="1"/>
    <col min="1473" max="1476" width="10" bestFit="1" customWidth="1"/>
    <col min="1477" max="1477" width="9" bestFit="1" customWidth="1"/>
    <col min="1478" max="1484" width="10" bestFit="1" customWidth="1"/>
    <col min="1485" max="1485" width="9" bestFit="1" customWidth="1"/>
    <col min="1486" max="1488" width="10" bestFit="1" customWidth="1"/>
    <col min="1489" max="1489" width="9" bestFit="1" customWidth="1"/>
    <col min="1490" max="1490" width="10" bestFit="1" customWidth="1"/>
    <col min="1491" max="1491" width="9" bestFit="1" customWidth="1"/>
    <col min="1492" max="1492" width="10" bestFit="1" customWidth="1"/>
    <col min="1493" max="1493" width="9" bestFit="1" customWidth="1"/>
    <col min="1494" max="1494" width="10" bestFit="1" customWidth="1"/>
    <col min="1495" max="1495" width="9" bestFit="1" customWidth="1"/>
    <col min="1496" max="1496" width="10" bestFit="1" customWidth="1"/>
    <col min="1497" max="1497" width="9" bestFit="1" customWidth="1"/>
    <col min="1498" max="1499" width="10" bestFit="1" customWidth="1"/>
    <col min="1500" max="1500" width="9" bestFit="1" customWidth="1"/>
    <col min="1501" max="1504" width="10" bestFit="1" customWidth="1"/>
    <col min="1505" max="1506" width="9" bestFit="1" customWidth="1"/>
    <col min="1507" max="1511" width="10" bestFit="1" customWidth="1"/>
    <col min="1512" max="1512" width="9" bestFit="1" customWidth="1"/>
    <col min="1513" max="1515" width="10" bestFit="1" customWidth="1"/>
    <col min="1516" max="1516" width="9" bestFit="1" customWidth="1"/>
    <col min="1517" max="1521" width="10" bestFit="1" customWidth="1"/>
    <col min="1522" max="1522" width="9" bestFit="1" customWidth="1"/>
    <col min="1523" max="1532" width="10" bestFit="1" customWidth="1"/>
    <col min="1533" max="1534" width="9" bestFit="1" customWidth="1"/>
    <col min="1535" max="1538" width="10" bestFit="1" customWidth="1"/>
    <col min="1539" max="1539" width="9" bestFit="1" customWidth="1"/>
    <col min="1540" max="1540" width="10" bestFit="1" customWidth="1"/>
    <col min="1541" max="1541" width="8" bestFit="1" customWidth="1"/>
    <col min="1542" max="1542" width="10" bestFit="1" customWidth="1"/>
    <col min="1543" max="1544" width="9" bestFit="1" customWidth="1"/>
    <col min="1545" max="1545" width="10" bestFit="1" customWidth="1"/>
    <col min="1546" max="1547" width="9" bestFit="1" customWidth="1"/>
    <col min="1548" max="1555" width="10" bestFit="1" customWidth="1"/>
    <col min="1556" max="1557" width="9" bestFit="1" customWidth="1"/>
    <col min="1558" max="1558" width="8" bestFit="1" customWidth="1"/>
    <col min="1559" max="1564" width="10" bestFit="1" customWidth="1"/>
    <col min="1565" max="1565" width="9" bestFit="1" customWidth="1"/>
    <col min="1566" max="1570" width="10" bestFit="1" customWidth="1"/>
    <col min="1571" max="1571" width="8" bestFit="1" customWidth="1"/>
    <col min="1572" max="1572" width="10" bestFit="1" customWidth="1"/>
    <col min="1573" max="1573" width="9" bestFit="1" customWidth="1"/>
    <col min="1574" max="1575" width="10" bestFit="1" customWidth="1"/>
    <col min="1576" max="1576" width="9" bestFit="1" customWidth="1"/>
    <col min="1577" max="1577" width="10" bestFit="1" customWidth="1"/>
    <col min="1578" max="1578" width="9" bestFit="1" customWidth="1"/>
    <col min="1579" max="1581" width="10" bestFit="1" customWidth="1"/>
    <col min="1582" max="1582" width="8" bestFit="1" customWidth="1"/>
    <col min="1583" max="1583" width="10" bestFit="1" customWidth="1"/>
    <col min="1584" max="1584" width="9" bestFit="1" customWidth="1"/>
    <col min="1585" max="1585" width="8" bestFit="1" customWidth="1"/>
    <col min="1586" max="1586" width="10" bestFit="1" customWidth="1"/>
    <col min="1587" max="1587" width="9" bestFit="1" customWidth="1"/>
    <col min="1588" max="1590" width="10" bestFit="1" customWidth="1"/>
    <col min="1591" max="1591" width="9" bestFit="1" customWidth="1"/>
    <col min="1592" max="1592" width="8" bestFit="1" customWidth="1"/>
    <col min="1593" max="1594" width="10" bestFit="1" customWidth="1"/>
    <col min="1595" max="1595" width="8" bestFit="1" customWidth="1"/>
    <col min="1596" max="1596" width="9" bestFit="1" customWidth="1"/>
    <col min="1597" max="1597" width="8" bestFit="1" customWidth="1"/>
    <col min="1598" max="1598" width="10" bestFit="1" customWidth="1"/>
    <col min="1599" max="1599" width="8" bestFit="1" customWidth="1"/>
    <col min="1600" max="1600" width="10" bestFit="1" customWidth="1"/>
    <col min="1601" max="1601" width="9" bestFit="1" customWidth="1"/>
    <col min="1602" max="1602" width="10" bestFit="1" customWidth="1"/>
    <col min="1603" max="1603" width="9" bestFit="1" customWidth="1"/>
    <col min="1604" max="1604" width="10" bestFit="1" customWidth="1"/>
    <col min="1605" max="1605" width="9" bestFit="1" customWidth="1"/>
    <col min="1606" max="1606" width="8" bestFit="1" customWidth="1"/>
    <col min="1607" max="1607" width="9" bestFit="1" customWidth="1"/>
    <col min="1608" max="1616" width="10" bestFit="1" customWidth="1"/>
    <col min="1617" max="1618" width="9" bestFit="1" customWidth="1"/>
    <col min="1619" max="1619" width="8" bestFit="1" customWidth="1"/>
    <col min="1620" max="1621" width="9" bestFit="1" customWidth="1"/>
    <col min="1622" max="1623" width="10" bestFit="1" customWidth="1"/>
    <col min="1624" max="1624" width="8" bestFit="1" customWidth="1"/>
    <col min="1625" max="1629" width="10" bestFit="1" customWidth="1"/>
    <col min="1630" max="1630" width="9" bestFit="1" customWidth="1"/>
    <col min="1631" max="1636" width="10" bestFit="1" customWidth="1"/>
    <col min="1637" max="1639" width="9" bestFit="1" customWidth="1"/>
    <col min="1640" max="1640" width="8" bestFit="1" customWidth="1"/>
    <col min="1641" max="1641" width="9" bestFit="1" customWidth="1"/>
    <col min="1642" max="1642" width="8" bestFit="1" customWidth="1"/>
    <col min="1643" max="1643" width="10" bestFit="1" customWidth="1"/>
    <col min="1644" max="1644" width="9" bestFit="1" customWidth="1"/>
    <col min="1645" max="1645" width="10" bestFit="1" customWidth="1"/>
    <col min="1646" max="1646" width="9" bestFit="1" customWidth="1"/>
    <col min="1647" max="1648" width="10" bestFit="1" customWidth="1"/>
    <col min="1649" max="1649" width="9" bestFit="1" customWidth="1"/>
    <col min="1650" max="1651" width="10" bestFit="1" customWidth="1"/>
    <col min="1652" max="1652" width="8" bestFit="1" customWidth="1"/>
    <col min="1653" max="1653" width="10" bestFit="1" customWidth="1"/>
    <col min="1654" max="1654" width="8" bestFit="1" customWidth="1"/>
    <col min="1655" max="1656" width="10" bestFit="1" customWidth="1"/>
    <col min="1657" max="1658" width="8" bestFit="1" customWidth="1"/>
    <col min="1659" max="1661" width="10" bestFit="1" customWidth="1"/>
    <col min="1662" max="1663" width="9" bestFit="1" customWidth="1"/>
    <col min="1664" max="1665" width="10" bestFit="1" customWidth="1"/>
    <col min="1666" max="1666" width="8" bestFit="1" customWidth="1"/>
    <col min="1667" max="1669" width="10" bestFit="1" customWidth="1"/>
    <col min="1670" max="1670" width="8" bestFit="1" customWidth="1"/>
    <col min="1671" max="1671" width="9" bestFit="1" customWidth="1"/>
    <col min="1672" max="1677" width="10" bestFit="1" customWidth="1"/>
    <col min="1678" max="1678" width="9" bestFit="1" customWidth="1"/>
    <col min="1679" max="1681" width="10" bestFit="1" customWidth="1"/>
    <col min="1682" max="1682" width="9" bestFit="1" customWidth="1"/>
    <col min="1683" max="1683" width="8" bestFit="1" customWidth="1"/>
    <col min="1684" max="1686" width="10" bestFit="1" customWidth="1"/>
    <col min="1687" max="1688" width="9" bestFit="1" customWidth="1"/>
    <col min="1689" max="1693" width="10" bestFit="1" customWidth="1"/>
    <col min="1694" max="1694" width="9" bestFit="1" customWidth="1"/>
    <col min="1695" max="1700" width="10" bestFit="1" customWidth="1"/>
    <col min="1701" max="1702" width="9" bestFit="1" customWidth="1"/>
    <col min="1703" max="1706" width="10" bestFit="1" customWidth="1"/>
    <col min="1707" max="1707" width="9" bestFit="1" customWidth="1"/>
    <col min="1708" max="1710" width="10" bestFit="1" customWidth="1"/>
    <col min="1711" max="1711" width="9" bestFit="1" customWidth="1"/>
    <col min="1712" max="1721" width="10" bestFit="1" customWidth="1"/>
    <col min="1722" max="1722" width="9" bestFit="1" customWidth="1"/>
    <col min="1723" max="1725" width="10" bestFit="1" customWidth="1"/>
    <col min="1726" max="1726" width="9" bestFit="1" customWidth="1"/>
    <col min="1727" max="1730" width="10" bestFit="1" customWidth="1"/>
    <col min="1731" max="1731" width="8" bestFit="1" customWidth="1"/>
    <col min="1732" max="1733" width="10" bestFit="1" customWidth="1"/>
    <col min="1734" max="1734" width="8" bestFit="1" customWidth="1"/>
    <col min="1735" max="1735" width="10" bestFit="1" customWidth="1"/>
    <col min="1736" max="1736" width="9" bestFit="1" customWidth="1"/>
    <col min="1737" max="1738" width="10" bestFit="1" customWidth="1"/>
    <col min="1739" max="1739" width="9" bestFit="1" customWidth="1"/>
    <col min="1740" max="1748" width="10" bestFit="1" customWidth="1"/>
    <col min="1749" max="1749" width="8" bestFit="1" customWidth="1"/>
    <col min="1750" max="1750" width="9" bestFit="1" customWidth="1"/>
    <col min="1751" max="1751" width="10" bestFit="1" customWidth="1"/>
    <col min="1752" max="1753" width="9" bestFit="1" customWidth="1"/>
    <col min="1754" max="1754" width="10" bestFit="1" customWidth="1"/>
    <col min="1755" max="1756" width="9" bestFit="1" customWidth="1"/>
    <col min="1757" max="1757" width="8" bestFit="1" customWidth="1"/>
    <col min="1758" max="1758" width="9" bestFit="1" customWidth="1"/>
    <col min="1759" max="1759" width="10" bestFit="1" customWidth="1"/>
    <col min="1760" max="1761" width="9" bestFit="1" customWidth="1"/>
    <col min="1762" max="1767" width="10" bestFit="1" customWidth="1"/>
    <col min="1768" max="1768" width="8" bestFit="1" customWidth="1"/>
    <col min="1769" max="1770" width="9" bestFit="1" customWidth="1"/>
    <col min="1771" max="1773" width="10" bestFit="1" customWidth="1"/>
    <col min="1774" max="1774" width="9" bestFit="1" customWidth="1"/>
    <col min="1775" max="1779" width="10" bestFit="1" customWidth="1"/>
    <col min="1780" max="1780" width="9" bestFit="1" customWidth="1"/>
    <col min="1781" max="1782" width="10" bestFit="1" customWidth="1"/>
    <col min="1783" max="1783" width="8" bestFit="1" customWidth="1"/>
    <col min="1784" max="1790" width="10" bestFit="1" customWidth="1"/>
    <col min="1791" max="1791" width="8" bestFit="1" customWidth="1"/>
    <col min="1792" max="1795" width="10" bestFit="1" customWidth="1"/>
    <col min="1796" max="1796" width="9" bestFit="1" customWidth="1"/>
    <col min="1797" max="1800" width="10" bestFit="1" customWidth="1"/>
    <col min="1801" max="1801" width="9" bestFit="1" customWidth="1"/>
    <col min="1802" max="1802" width="10" bestFit="1" customWidth="1"/>
    <col min="1803" max="1804" width="8" bestFit="1" customWidth="1"/>
    <col min="1805" max="1808" width="10" bestFit="1" customWidth="1"/>
    <col min="1809" max="1809" width="9" bestFit="1" customWidth="1"/>
    <col min="1810" max="1810" width="8" bestFit="1" customWidth="1"/>
    <col min="1811" max="1813" width="9" bestFit="1" customWidth="1"/>
    <col min="1814" max="1814" width="10" bestFit="1" customWidth="1"/>
    <col min="1815" max="1815" width="9" bestFit="1" customWidth="1"/>
    <col min="1816" max="1818" width="10" bestFit="1" customWidth="1"/>
    <col min="1819" max="1819" width="9" bestFit="1" customWidth="1"/>
    <col min="1820" max="1827" width="10" bestFit="1" customWidth="1"/>
    <col min="1828" max="1828" width="9" bestFit="1" customWidth="1"/>
    <col min="1829" max="1830" width="10" bestFit="1" customWidth="1"/>
    <col min="1831" max="1831" width="8" bestFit="1" customWidth="1"/>
    <col min="1832" max="1832" width="10" bestFit="1" customWidth="1"/>
    <col min="1833" max="1833" width="8" bestFit="1" customWidth="1"/>
    <col min="1834" max="1836" width="10" bestFit="1" customWidth="1"/>
    <col min="1837" max="1837" width="9" bestFit="1" customWidth="1"/>
    <col min="1838" max="1838" width="10" bestFit="1" customWidth="1"/>
    <col min="1839" max="1839" width="9" bestFit="1" customWidth="1"/>
    <col min="1840" max="1840" width="8" bestFit="1" customWidth="1"/>
    <col min="1841" max="1841" width="10" bestFit="1" customWidth="1"/>
    <col min="1842" max="1842" width="8" bestFit="1" customWidth="1"/>
    <col min="1843" max="1845" width="9" bestFit="1" customWidth="1"/>
    <col min="1846" max="1846" width="10" bestFit="1" customWidth="1"/>
    <col min="1847" max="1847" width="9" bestFit="1" customWidth="1"/>
    <col min="1848" max="1848" width="10" bestFit="1" customWidth="1"/>
    <col min="1849" max="1849" width="9" bestFit="1" customWidth="1"/>
    <col min="1850" max="1850" width="7" bestFit="1" customWidth="1"/>
    <col min="1851" max="1854" width="10" bestFit="1" customWidth="1"/>
    <col min="1855" max="1855" width="9" bestFit="1" customWidth="1"/>
    <col min="1856" max="1856" width="8" bestFit="1" customWidth="1"/>
    <col min="1857" max="1857" width="10" bestFit="1" customWidth="1"/>
    <col min="1858" max="1858" width="9" bestFit="1" customWidth="1"/>
    <col min="1859" max="1860" width="10" bestFit="1" customWidth="1"/>
    <col min="1861" max="1861" width="8" bestFit="1" customWidth="1"/>
    <col min="1862" max="1862" width="10" bestFit="1" customWidth="1"/>
    <col min="1863" max="1863" width="5" bestFit="1" customWidth="1"/>
    <col min="1864" max="1864" width="9" bestFit="1" customWidth="1"/>
    <col min="1865" max="1874" width="10" bestFit="1" customWidth="1"/>
    <col min="1875" max="1876" width="9" bestFit="1" customWidth="1"/>
    <col min="1877" max="1877" width="10" bestFit="1" customWidth="1"/>
    <col min="1878" max="1878" width="9" bestFit="1" customWidth="1"/>
    <col min="1879" max="1879" width="10" bestFit="1" customWidth="1"/>
    <col min="1880" max="1881" width="8" bestFit="1" customWidth="1"/>
    <col min="1882" max="1883" width="9" bestFit="1" customWidth="1"/>
    <col min="1884" max="1885" width="10" bestFit="1" customWidth="1"/>
    <col min="1886" max="1886" width="9" bestFit="1" customWidth="1"/>
    <col min="1887" max="1891" width="10" bestFit="1" customWidth="1"/>
    <col min="1892" max="1892" width="8" bestFit="1" customWidth="1"/>
    <col min="1893" max="1893" width="10" bestFit="1" customWidth="1"/>
    <col min="1894" max="1894" width="8" bestFit="1" customWidth="1"/>
    <col min="1895" max="1898" width="10" bestFit="1" customWidth="1"/>
    <col min="1899" max="1899" width="8" bestFit="1" customWidth="1"/>
    <col min="1900" max="1901" width="10" bestFit="1" customWidth="1"/>
    <col min="1902" max="1903" width="9" bestFit="1" customWidth="1"/>
    <col min="1904" max="1906" width="10" bestFit="1" customWidth="1"/>
    <col min="1907" max="1907" width="9" bestFit="1" customWidth="1"/>
    <col min="1908" max="1913" width="10" bestFit="1" customWidth="1"/>
    <col min="1914" max="1914" width="9" bestFit="1" customWidth="1"/>
    <col min="1915" max="1915" width="8" bestFit="1" customWidth="1"/>
    <col min="1916" max="1916" width="9" bestFit="1" customWidth="1"/>
    <col min="1917" max="1919" width="10" bestFit="1" customWidth="1"/>
    <col min="1920" max="1920" width="9" bestFit="1" customWidth="1"/>
    <col min="1921" max="1921" width="10" bestFit="1" customWidth="1"/>
    <col min="1922" max="1922" width="9" bestFit="1" customWidth="1"/>
    <col min="1923" max="1929" width="10" bestFit="1" customWidth="1"/>
    <col min="1930" max="1935" width="9" bestFit="1" customWidth="1"/>
    <col min="1936" max="1936" width="10" bestFit="1" customWidth="1"/>
    <col min="1937" max="1937" width="8" bestFit="1" customWidth="1"/>
    <col min="1938" max="1943" width="10" bestFit="1" customWidth="1"/>
    <col min="1944" max="1944" width="8" bestFit="1" customWidth="1"/>
    <col min="1945" max="1947" width="10" bestFit="1" customWidth="1"/>
    <col min="1948" max="1949" width="9" bestFit="1" customWidth="1"/>
    <col min="1950" max="1954" width="10" bestFit="1" customWidth="1"/>
    <col min="1955" max="1955" width="9" bestFit="1" customWidth="1"/>
    <col min="1956" max="1956" width="10" bestFit="1" customWidth="1"/>
    <col min="1957" max="1957" width="9" bestFit="1" customWidth="1"/>
    <col min="1958" max="1963" width="10" bestFit="1" customWidth="1"/>
    <col min="1964" max="1964" width="9" bestFit="1" customWidth="1"/>
    <col min="1965" max="1965" width="10" bestFit="1" customWidth="1"/>
    <col min="1966" max="1966" width="9" bestFit="1" customWidth="1"/>
    <col min="1967" max="1967" width="10" bestFit="1" customWidth="1"/>
    <col min="1968" max="1968" width="8" bestFit="1" customWidth="1"/>
    <col min="1969" max="1971" width="10" bestFit="1" customWidth="1"/>
    <col min="1972" max="1972" width="9" bestFit="1" customWidth="1"/>
    <col min="1973" max="1974" width="10" bestFit="1" customWidth="1"/>
    <col min="1975" max="1975" width="9" bestFit="1" customWidth="1"/>
    <col min="1976" max="1976" width="10" bestFit="1" customWidth="1"/>
    <col min="1977" max="1977" width="9" bestFit="1" customWidth="1"/>
    <col min="1978" max="1978" width="10" bestFit="1" customWidth="1"/>
    <col min="1979" max="1979" width="9" bestFit="1" customWidth="1"/>
    <col min="1980" max="1980" width="10" bestFit="1" customWidth="1"/>
    <col min="1981" max="1981" width="9" bestFit="1" customWidth="1"/>
    <col min="1982" max="1984" width="10" bestFit="1" customWidth="1"/>
    <col min="1985" max="1985" width="8" bestFit="1" customWidth="1"/>
    <col min="1986" max="1987" width="10" bestFit="1" customWidth="1"/>
    <col min="1988" max="1988" width="8" bestFit="1" customWidth="1"/>
    <col min="1989" max="1990" width="9" bestFit="1" customWidth="1"/>
    <col min="1991" max="1992" width="10" bestFit="1" customWidth="1"/>
    <col min="1993" max="1993" width="9" bestFit="1" customWidth="1"/>
    <col min="1994" max="1996" width="10" bestFit="1" customWidth="1"/>
    <col min="1997" max="1997" width="8" bestFit="1" customWidth="1"/>
    <col min="1998" max="1999" width="10" bestFit="1" customWidth="1"/>
    <col min="2000" max="2000" width="9" bestFit="1" customWidth="1"/>
    <col min="2001" max="2001" width="10" bestFit="1" customWidth="1"/>
    <col min="2002" max="2002" width="10.77734375" bestFit="1" customWidth="1"/>
  </cols>
  <sheetData>
    <row r="3" spans="1:5" x14ac:dyDescent="0.3">
      <c r="A3" s="10" t="s">
        <v>4005</v>
      </c>
      <c r="B3" s="10" t="s">
        <v>4004</v>
      </c>
    </row>
    <row r="4" spans="1:5" x14ac:dyDescent="0.3">
      <c r="A4" s="10" t="s">
        <v>3990</v>
      </c>
      <c r="B4">
        <v>2023</v>
      </c>
      <c r="C4">
        <v>2024</v>
      </c>
      <c r="D4">
        <v>2025</v>
      </c>
      <c r="E4" t="s">
        <v>4003</v>
      </c>
    </row>
    <row r="5" spans="1:5" x14ac:dyDescent="0.3">
      <c r="A5" s="11" t="s">
        <v>3991</v>
      </c>
      <c r="C5">
        <v>4889.3897999999999</v>
      </c>
      <c r="D5">
        <v>6057.9152000000004</v>
      </c>
      <c r="E5">
        <v>10947.305</v>
      </c>
    </row>
    <row r="6" spans="1:5" x14ac:dyDescent="0.3">
      <c r="A6" s="11" t="s">
        <v>3992</v>
      </c>
      <c r="C6">
        <v>3410.4234999999999</v>
      </c>
      <c r="D6">
        <v>1511.3323</v>
      </c>
      <c r="E6">
        <v>4921.7557999999999</v>
      </c>
    </row>
    <row r="7" spans="1:5" x14ac:dyDescent="0.3">
      <c r="A7" s="11" t="s">
        <v>3993</v>
      </c>
      <c r="B7">
        <v>1139.2544</v>
      </c>
      <c r="C7">
        <v>5384.6058000000003</v>
      </c>
      <c r="E7">
        <v>6523.8602000000001</v>
      </c>
    </row>
    <row r="8" spans="1:5" x14ac:dyDescent="0.3">
      <c r="A8" s="11" t="s">
        <v>3994</v>
      </c>
      <c r="C8">
        <v>3561.8303999999998</v>
      </c>
      <c r="D8">
        <v>1034.7036000000001</v>
      </c>
      <c r="E8">
        <v>4596.5339999999997</v>
      </c>
    </row>
    <row r="9" spans="1:5" x14ac:dyDescent="0.3">
      <c r="A9" s="11" t="s">
        <v>3995</v>
      </c>
      <c r="C9">
        <v>3271.7152000000006</v>
      </c>
      <c r="D9">
        <v>10234.722900000001</v>
      </c>
      <c r="E9">
        <v>13506.438100000001</v>
      </c>
    </row>
    <row r="10" spans="1:5" x14ac:dyDescent="0.3">
      <c r="A10" s="11" t="s">
        <v>3996</v>
      </c>
      <c r="C10">
        <v>4931.6650000000009</v>
      </c>
      <c r="D10">
        <v>3308.7959999999998</v>
      </c>
      <c r="E10">
        <v>8240.4609999999993</v>
      </c>
    </row>
    <row r="11" spans="1:5" x14ac:dyDescent="0.3">
      <c r="A11" s="11" t="s">
        <v>3997</v>
      </c>
      <c r="C11">
        <v>3819.8172999999997</v>
      </c>
      <c r="E11">
        <v>3819.8172999999997</v>
      </c>
    </row>
    <row r="12" spans="1:5" x14ac:dyDescent="0.3">
      <c r="A12" s="11" t="s">
        <v>3998</v>
      </c>
      <c r="C12">
        <v>2691.3326000000002</v>
      </c>
      <c r="D12">
        <v>4921.7572</v>
      </c>
      <c r="E12">
        <v>7613.0897999999997</v>
      </c>
    </row>
    <row r="13" spans="1:5" x14ac:dyDescent="0.3">
      <c r="A13" s="11" t="s">
        <v>3999</v>
      </c>
      <c r="C13">
        <v>4006.7942999999996</v>
      </c>
      <c r="D13">
        <v>4045.018</v>
      </c>
      <c r="E13">
        <v>8051.8123000000005</v>
      </c>
    </row>
    <row r="14" spans="1:5" x14ac:dyDescent="0.3">
      <c r="A14" s="11" t="s">
        <v>4000</v>
      </c>
      <c r="B14">
        <v>2638.8926999999999</v>
      </c>
      <c r="C14">
        <v>5205.7253000000001</v>
      </c>
      <c r="E14">
        <v>7844.6180000000004</v>
      </c>
    </row>
    <row r="15" spans="1:5" x14ac:dyDescent="0.3">
      <c r="A15" s="11" t="s">
        <v>4001</v>
      </c>
      <c r="B15">
        <v>1180.6390000000001</v>
      </c>
      <c r="C15">
        <v>5455.2694000000001</v>
      </c>
      <c r="D15">
        <v>2017.5011999999999</v>
      </c>
      <c r="E15">
        <v>8653.409599999999</v>
      </c>
    </row>
    <row r="16" spans="1:5" x14ac:dyDescent="0.3">
      <c r="A16" s="11" t="s">
        <v>4002</v>
      </c>
      <c r="C16">
        <v>7697.3256000000001</v>
      </c>
      <c r="D16">
        <v>631.71379999999999</v>
      </c>
      <c r="E16">
        <v>8329.0394000000015</v>
      </c>
    </row>
    <row r="17" spans="1:11" x14ac:dyDescent="0.3">
      <c r="A17" s="11" t="s">
        <v>4003</v>
      </c>
      <c r="B17">
        <v>4958.7860999999994</v>
      </c>
      <c r="C17">
        <v>54325.894199999995</v>
      </c>
      <c r="D17">
        <v>33763.460199999994</v>
      </c>
      <c r="E17">
        <v>93048.140500000009</v>
      </c>
    </row>
    <row r="21" spans="1:11" x14ac:dyDescent="0.3">
      <c r="F21" t="s">
        <v>4011</v>
      </c>
      <c r="K21" t="s">
        <v>4012</v>
      </c>
    </row>
    <row r="22" spans="1:11" x14ac:dyDescent="0.3">
      <c r="G22" t="s">
        <v>4013</v>
      </c>
    </row>
    <row r="23" spans="1:11" x14ac:dyDescent="0.3">
      <c r="G23" t="s">
        <v>4014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88A3C-12D3-4EC4-BFC6-CECFF4736DC0}">
  <dimension ref="A3:D104"/>
  <sheetViews>
    <sheetView zoomScale="86" workbookViewId="0">
      <selection activeCell="H29" sqref="H29"/>
    </sheetView>
  </sheetViews>
  <sheetFormatPr defaultRowHeight="14.4" x14ac:dyDescent="0.3"/>
  <cols>
    <col min="1" max="1" width="35.21875" bestFit="1" customWidth="1"/>
    <col min="2" max="3" width="19.5546875" bestFit="1" customWidth="1"/>
    <col min="4" max="4" width="20.5546875" bestFit="1" customWidth="1"/>
    <col min="5" max="5" width="19.5546875" bestFit="1" customWidth="1"/>
    <col min="6" max="6" width="20.5546875" bestFit="1" customWidth="1"/>
    <col min="7" max="7" width="19.5546875" bestFit="1" customWidth="1"/>
    <col min="8" max="8" width="25.44140625" bestFit="1" customWidth="1"/>
    <col min="9" max="9" width="24.33203125" bestFit="1" customWidth="1"/>
    <col min="10" max="14" width="12" bestFit="1" customWidth="1"/>
  </cols>
  <sheetData>
    <row r="3" spans="1:4" x14ac:dyDescent="0.3">
      <c r="A3" s="10" t="s">
        <v>3990</v>
      </c>
      <c r="B3" t="s">
        <v>4005</v>
      </c>
    </row>
    <row r="4" spans="1:4" x14ac:dyDescent="0.3">
      <c r="A4" s="11" t="s">
        <v>3876</v>
      </c>
      <c r="B4">
        <v>7948.3904999999995</v>
      </c>
    </row>
    <row r="5" spans="1:4" x14ac:dyDescent="0.3">
      <c r="A5" s="11" t="s">
        <v>3861</v>
      </c>
      <c r="B5">
        <v>9681.9318999999996</v>
      </c>
    </row>
    <row r="6" spans="1:4" x14ac:dyDescent="0.3">
      <c r="A6" s="11" t="s">
        <v>3835</v>
      </c>
      <c r="B6">
        <v>9937.0897999999997</v>
      </c>
      <c r="D6" t="s">
        <v>4015</v>
      </c>
    </row>
    <row r="7" spans="1:4" x14ac:dyDescent="0.3">
      <c r="A7" s="11" t="s">
        <v>3919</v>
      </c>
      <c r="B7">
        <v>12127.249300000001</v>
      </c>
    </row>
    <row r="8" spans="1:4" x14ac:dyDescent="0.3">
      <c r="A8" s="11" t="s">
        <v>3924</v>
      </c>
      <c r="B8">
        <v>12301.1638</v>
      </c>
    </row>
    <row r="9" spans="1:4" x14ac:dyDescent="0.3">
      <c r="A9" s="11" t="s">
        <v>3858</v>
      </c>
      <c r="B9">
        <v>12665.900800000001</v>
      </c>
    </row>
    <row r="10" spans="1:4" x14ac:dyDescent="0.3">
      <c r="A10" s="11" t="s">
        <v>3852</v>
      </c>
      <c r="B10">
        <v>12949.498600000001</v>
      </c>
    </row>
    <row r="11" spans="1:4" x14ac:dyDescent="0.3">
      <c r="A11" s="11" t="s">
        <v>3838</v>
      </c>
      <c r="B11">
        <v>13115.581300000002</v>
      </c>
    </row>
    <row r="12" spans="1:4" x14ac:dyDescent="0.3">
      <c r="A12" s="11" t="s">
        <v>3881</v>
      </c>
      <c r="B12">
        <v>13834.3925</v>
      </c>
    </row>
    <row r="13" spans="1:4" x14ac:dyDescent="0.3">
      <c r="A13" s="11" t="s">
        <v>3859</v>
      </c>
      <c r="B13">
        <v>14029.912799999998</v>
      </c>
    </row>
    <row r="14" spans="1:4" x14ac:dyDescent="0.3">
      <c r="A14" s="11" t="s">
        <v>3873</v>
      </c>
      <c r="B14">
        <v>14177.2243</v>
      </c>
    </row>
    <row r="15" spans="1:4" x14ac:dyDescent="0.3">
      <c r="A15" s="11" t="s">
        <v>3882</v>
      </c>
      <c r="B15">
        <v>14300.936834006214</v>
      </c>
    </row>
    <row r="16" spans="1:4" x14ac:dyDescent="0.3">
      <c r="A16" s="11" t="s">
        <v>3847</v>
      </c>
      <c r="B16">
        <v>15084.943699999998</v>
      </c>
    </row>
    <row r="17" spans="1:2" x14ac:dyDescent="0.3">
      <c r="A17" s="11" t="s">
        <v>3857</v>
      </c>
      <c r="B17">
        <v>15145.864700000002</v>
      </c>
    </row>
    <row r="18" spans="1:2" x14ac:dyDescent="0.3">
      <c r="A18" s="11" t="s">
        <v>3865</v>
      </c>
      <c r="B18">
        <v>15635.989799999999</v>
      </c>
    </row>
    <row r="19" spans="1:2" x14ac:dyDescent="0.3">
      <c r="A19" s="11" t="s">
        <v>3833</v>
      </c>
      <c r="B19">
        <v>15665.8534</v>
      </c>
    </row>
    <row r="20" spans="1:2" x14ac:dyDescent="0.3">
      <c r="A20" s="11" t="s">
        <v>3831</v>
      </c>
      <c r="B20">
        <v>15827.992100000003</v>
      </c>
    </row>
    <row r="21" spans="1:2" x14ac:dyDescent="0.3">
      <c r="A21" s="11" t="s">
        <v>3884</v>
      </c>
      <c r="B21">
        <v>16043.662899999999</v>
      </c>
    </row>
    <row r="22" spans="1:2" x14ac:dyDescent="0.3">
      <c r="A22" s="11" t="s">
        <v>3897</v>
      </c>
      <c r="B22">
        <v>16188.908100000001</v>
      </c>
    </row>
    <row r="23" spans="1:2" x14ac:dyDescent="0.3">
      <c r="A23" s="11" t="s">
        <v>3870</v>
      </c>
      <c r="B23">
        <v>16290.265399999998</v>
      </c>
    </row>
    <row r="24" spans="1:2" x14ac:dyDescent="0.3">
      <c r="A24" s="11" t="s">
        <v>3887</v>
      </c>
      <c r="B24">
        <v>16393.105299999999</v>
      </c>
    </row>
    <row r="25" spans="1:2" x14ac:dyDescent="0.3">
      <c r="A25" s="11" t="s">
        <v>3901</v>
      </c>
      <c r="B25">
        <v>16436.947500000002</v>
      </c>
    </row>
    <row r="26" spans="1:2" x14ac:dyDescent="0.3">
      <c r="A26" s="11" t="s">
        <v>3837</v>
      </c>
      <c r="B26">
        <v>16812.359</v>
      </c>
    </row>
    <row r="27" spans="1:2" x14ac:dyDescent="0.3">
      <c r="A27" s="11" t="s">
        <v>3908</v>
      </c>
      <c r="B27">
        <v>16841.748500000002</v>
      </c>
    </row>
    <row r="28" spans="1:2" x14ac:dyDescent="0.3">
      <c r="A28" s="11" t="s">
        <v>3829</v>
      </c>
      <c r="B28">
        <v>17024.962299999996</v>
      </c>
    </row>
    <row r="29" spans="1:2" x14ac:dyDescent="0.3">
      <c r="A29" s="11" t="s">
        <v>3830</v>
      </c>
      <c r="B29">
        <v>17226.441000000003</v>
      </c>
    </row>
    <row r="30" spans="1:2" x14ac:dyDescent="0.3">
      <c r="A30" s="11" t="s">
        <v>3916</v>
      </c>
      <c r="B30">
        <v>17258.751699999997</v>
      </c>
    </row>
    <row r="31" spans="1:2" x14ac:dyDescent="0.3">
      <c r="A31" s="11" t="s">
        <v>3874</v>
      </c>
      <c r="B31">
        <v>17393.791499999999</v>
      </c>
    </row>
    <row r="32" spans="1:2" x14ac:dyDescent="0.3">
      <c r="A32" s="11" t="s">
        <v>3880</v>
      </c>
      <c r="B32">
        <v>17640.506999999998</v>
      </c>
    </row>
    <row r="33" spans="1:2" x14ac:dyDescent="0.3">
      <c r="A33" s="11" t="s">
        <v>3879</v>
      </c>
      <c r="B33">
        <v>18013.097199999997</v>
      </c>
    </row>
    <row r="34" spans="1:2" x14ac:dyDescent="0.3">
      <c r="A34" s="11" t="s">
        <v>3869</v>
      </c>
      <c r="B34">
        <v>18128.390500000001</v>
      </c>
    </row>
    <row r="35" spans="1:2" x14ac:dyDescent="0.3">
      <c r="A35" s="11" t="s">
        <v>3839</v>
      </c>
      <c r="B35">
        <v>18539.250700000004</v>
      </c>
    </row>
    <row r="36" spans="1:2" x14ac:dyDescent="0.3">
      <c r="A36" s="11" t="s">
        <v>3915</v>
      </c>
      <c r="B36">
        <v>19064.629400000005</v>
      </c>
    </row>
    <row r="37" spans="1:2" x14ac:dyDescent="0.3">
      <c r="A37" s="11" t="s">
        <v>3864</v>
      </c>
      <c r="B37">
        <v>19072.819499999998</v>
      </c>
    </row>
    <row r="38" spans="1:2" x14ac:dyDescent="0.3">
      <c r="A38" s="11" t="s">
        <v>3912</v>
      </c>
      <c r="B38">
        <v>19732.2281</v>
      </c>
    </row>
    <row r="39" spans="1:2" x14ac:dyDescent="0.3">
      <c r="A39" s="11" t="s">
        <v>3836</v>
      </c>
      <c r="B39">
        <v>19869.9244</v>
      </c>
    </row>
    <row r="40" spans="1:2" x14ac:dyDescent="0.3">
      <c r="A40" s="11" t="s">
        <v>3894</v>
      </c>
      <c r="B40">
        <v>20005.736199999999</v>
      </c>
    </row>
    <row r="41" spans="1:2" x14ac:dyDescent="0.3">
      <c r="A41" s="11" t="s">
        <v>3850</v>
      </c>
      <c r="B41">
        <v>20080.040700000001</v>
      </c>
    </row>
    <row r="42" spans="1:2" x14ac:dyDescent="0.3">
      <c r="A42" s="11" t="s">
        <v>3890</v>
      </c>
      <c r="B42">
        <v>20156.957999999999</v>
      </c>
    </row>
    <row r="43" spans="1:2" x14ac:dyDescent="0.3">
      <c r="A43" s="11" t="s">
        <v>3834</v>
      </c>
      <c r="B43">
        <v>20514.303500000002</v>
      </c>
    </row>
    <row r="44" spans="1:2" x14ac:dyDescent="0.3">
      <c r="A44" s="11" t="s">
        <v>3914</v>
      </c>
      <c r="B44">
        <v>20593.471700000006</v>
      </c>
    </row>
    <row r="45" spans="1:2" x14ac:dyDescent="0.3">
      <c r="A45" s="11" t="s">
        <v>3851</v>
      </c>
      <c r="B45">
        <v>20744.228499999997</v>
      </c>
    </row>
    <row r="46" spans="1:2" x14ac:dyDescent="0.3">
      <c r="A46" s="11" t="s">
        <v>3921</v>
      </c>
      <c r="B46">
        <v>20853.689100000003</v>
      </c>
    </row>
    <row r="47" spans="1:2" x14ac:dyDescent="0.3">
      <c r="A47" s="11" t="s">
        <v>3842</v>
      </c>
      <c r="B47">
        <v>20960.034099999997</v>
      </c>
    </row>
    <row r="48" spans="1:2" x14ac:dyDescent="0.3">
      <c r="A48" s="11" t="s">
        <v>3853</v>
      </c>
      <c r="B48">
        <v>21414.865900000004</v>
      </c>
    </row>
    <row r="49" spans="1:2" x14ac:dyDescent="0.3">
      <c r="A49" s="11" t="s">
        <v>3886</v>
      </c>
      <c r="B49">
        <v>21426.5304</v>
      </c>
    </row>
    <row r="50" spans="1:2" x14ac:dyDescent="0.3">
      <c r="A50" s="11" t="s">
        <v>3843</v>
      </c>
      <c r="B50">
        <v>21570.414100000002</v>
      </c>
    </row>
    <row r="51" spans="1:2" x14ac:dyDescent="0.3">
      <c r="A51" s="11" t="s">
        <v>3903</v>
      </c>
      <c r="B51">
        <v>21716.854200000002</v>
      </c>
    </row>
    <row r="52" spans="1:2" x14ac:dyDescent="0.3">
      <c r="A52" s="11" t="s">
        <v>3841</v>
      </c>
      <c r="B52">
        <v>21726.542899999997</v>
      </c>
    </row>
    <row r="53" spans="1:2" x14ac:dyDescent="0.3">
      <c r="A53" s="11" t="s">
        <v>3845</v>
      </c>
      <c r="B53">
        <v>21748.588199999998</v>
      </c>
    </row>
    <row r="54" spans="1:2" x14ac:dyDescent="0.3">
      <c r="A54" s="11" t="s">
        <v>3913</v>
      </c>
      <c r="B54">
        <v>21919.366900000005</v>
      </c>
    </row>
    <row r="55" spans="1:2" x14ac:dyDescent="0.3">
      <c r="A55" s="11" t="s">
        <v>3889</v>
      </c>
      <c r="B55">
        <v>22021.710008251164</v>
      </c>
    </row>
    <row r="56" spans="1:2" x14ac:dyDescent="0.3">
      <c r="A56" s="11" t="s">
        <v>3855</v>
      </c>
      <c r="B56">
        <v>22098.5396</v>
      </c>
    </row>
    <row r="57" spans="1:2" x14ac:dyDescent="0.3">
      <c r="A57" s="11" t="s">
        <v>3898</v>
      </c>
      <c r="B57">
        <v>22117.245699999999</v>
      </c>
    </row>
    <row r="58" spans="1:2" x14ac:dyDescent="0.3">
      <c r="A58" s="11" t="s">
        <v>3928</v>
      </c>
      <c r="B58">
        <v>22240.831300000002</v>
      </c>
    </row>
    <row r="59" spans="1:2" x14ac:dyDescent="0.3">
      <c r="A59" s="11" t="s">
        <v>3911</v>
      </c>
      <c r="B59">
        <v>22406.273699999998</v>
      </c>
    </row>
    <row r="60" spans="1:2" x14ac:dyDescent="0.3">
      <c r="A60" s="11" t="s">
        <v>3885</v>
      </c>
      <c r="B60">
        <v>22446.9908</v>
      </c>
    </row>
    <row r="61" spans="1:2" x14ac:dyDescent="0.3">
      <c r="A61" s="11" t="s">
        <v>3872</v>
      </c>
      <c r="B61">
        <v>22487.498899999999</v>
      </c>
    </row>
    <row r="62" spans="1:2" x14ac:dyDescent="0.3">
      <c r="A62" s="11" t="s">
        <v>3871</v>
      </c>
      <c r="B62">
        <v>22545.827099999999</v>
      </c>
    </row>
    <row r="63" spans="1:2" x14ac:dyDescent="0.3">
      <c r="A63" s="11" t="s">
        <v>3892</v>
      </c>
      <c r="B63">
        <v>22597.401899999997</v>
      </c>
    </row>
    <row r="64" spans="1:2" x14ac:dyDescent="0.3">
      <c r="A64" s="11" t="s">
        <v>3854</v>
      </c>
      <c r="B64">
        <v>22692.827600000001</v>
      </c>
    </row>
    <row r="65" spans="1:2" x14ac:dyDescent="0.3">
      <c r="A65" s="11" t="s">
        <v>3877</v>
      </c>
      <c r="B65">
        <v>22759.252900000007</v>
      </c>
    </row>
    <row r="66" spans="1:2" x14ac:dyDescent="0.3">
      <c r="A66" s="11" t="s">
        <v>3895</v>
      </c>
      <c r="B66">
        <v>23114.123000000007</v>
      </c>
    </row>
    <row r="67" spans="1:2" x14ac:dyDescent="0.3">
      <c r="A67" s="11" t="s">
        <v>3922</v>
      </c>
      <c r="B67">
        <v>23129.715300000003</v>
      </c>
    </row>
    <row r="68" spans="1:2" x14ac:dyDescent="0.3">
      <c r="A68" s="11" t="s">
        <v>3904</v>
      </c>
      <c r="B68">
        <v>23180.129899999996</v>
      </c>
    </row>
    <row r="69" spans="1:2" x14ac:dyDescent="0.3">
      <c r="A69" s="11" t="s">
        <v>3910</v>
      </c>
      <c r="B69">
        <v>23216.062099999996</v>
      </c>
    </row>
    <row r="70" spans="1:2" x14ac:dyDescent="0.3">
      <c r="A70" s="11" t="s">
        <v>3832</v>
      </c>
      <c r="B70">
        <v>24311.581899999997</v>
      </c>
    </row>
    <row r="71" spans="1:2" x14ac:dyDescent="0.3">
      <c r="A71" s="11" t="s">
        <v>3926</v>
      </c>
      <c r="B71">
        <v>24529.867111338586</v>
      </c>
    </row>
    <row r="72" spans="1:2" x14ac:dyDescent="0.3">
      <c r="A72" s="11" t="s">
        <v>3875</v>
      </c>
      <c r="B72">
        <v>24683.7744237722</v>
      </c>
    </row>
    <row r="73" spans="1:2" x14ac:dyDescent="0.3">
      <c r="A73" s="11" t="s">
        <v>3906</v>
      </c>
      <c r="B73">
        <v>24731.530699999999</v>
      </c>
    </row>
    <row r="74" spans="1:2" x14ac:dyDescent="0.3">
      <c r="A74" s="11" t="s">
        <v>3909</v>
      </c>
      <c r="B74">
        <v>24913.183399999998</v>
      </c>
    </row>
    <row r="75" spans="1:2" x14ac:dyDescent="0.3">
      <c r="A75" s="11" t="s">
        <v>3878</v>
      </c>
      <c r="B75">
        <v>24992.870800000001</v>
      </c>
    </row>
    <row r="76" spans="1:2" x14ac:dyDescent="0.3">
      <c r="A76" s="11" t="s">
        <v>3856</v>
      </c>
      <c r="B76">
        <v>25205.890399999997</v>
      </c>
    </row>
    <row r="77" spans="1:2" x14ac:dyDescent="0.3">
      <c r="A77" s="11" t="s">
        <v>3891</v>
      </c>
      <c r="B77">
        <v>25329.428499999998</v>
      </c>
    </row>
    <row r="78" spans="1:2" x14ac:dyDescent="0.3">
      <c r="A78" s="11" t="s">
        <v>3862</v>
      </c>
      <c r="B78">
        <v>25370.047999999995</v>
      </c>
    </row>
    <row r="79" spans="1:2" x14ac:dyDescent="0.3">
      <c r="A79" s="11" t="s">
        <v>3899</v>
      </c>
      <c r="B79">
        <v>25370.643899999995</v>
      </c>
    </row>
    <row r="80" spans="1:2" x14ac:dyDescent="0.3">
      <c r="A80" s="11" t="s">
        <v>3840</v>
      </c>
      <c r="B80">
        <v>25384.637600000002</v>
      </c>
    </row>
    <row r="81" spans="1:2" x14ac:dyDescent="0.3">
      <c r="A81" s="11" t="s">
        <v>3893</v>
      </c>
      <c r="B81">
        <v>25460.920099999996</v>
      </c>
    </row>
    <row r="82" spans="1:2" x14ac:dyDescent="0.3">
      <c r="A82" s="11" t="s">
        <v>3917</v>
      </c>
      <c r="B82">
        <v>25580.167899999997</v>
      </c>
    </row>
    <row r="83" spans="1:2" x14ac:dyDescent="0.3">
      <c r="A83" s="11" t="s">
        <v>3927</v>
      </c>
      <c r="B83">
        <v>25681.6548</v>
      </c>
    </row>
    <row r="84" spans="1:2" x14ac:dyDescent="0.3">
      <c r="A84" s="11" t="s">
        <v>3848</v>
      </c>
      <c r="B84">
        <v>25910.406999999996</v>
      </c>
    </row>
    <row r="85" spans="1:2" x14ac:dyDescent="0.3">
      <c r="A85" s="11" t="s">
        <v>3900</v>
      </c>
      <c r="B85">
        <v>26919.444600000003</v>
      </c>
    </row>
    <row r="86" spans="1:2" x14ac:dyDescent="0.3">
      <c r="A86" s="11" t="s">
        <v>3867</v>
      </c>
      <c r="B86">
        <v>27231.04719999999</v>
      </c>
    </row>
    <row r="87" spans="1:2" x14ac:dyDescent="0.3">
      <c r="A87" s="11" t="s">
        <v>3883</v>
      </c>
      <c r="B87">
        <v>27344.748299999996</v>
      </c>
    </row>
    <row r="88" spans="1:2" x14ac:dyDescent="0.3">
      <c r="A88" s="11" t="s">
        <v>3896</v>
      </c>
      <c r="B88">
        <v>27348.155800000004</v>
      </c>
    </row>
    <row r="89" spans="1:2" x14ac:dyDescent="0.3">
      <c r="A89" s="11" t="s">
        <v>3849</v>
      </c>
      <c r="B89">
        <v>27622.9617</v>
      </c>
    </row>
    <row r="90" spans="1:2" x14ac:dyDescent="0.3">
      <c r="A90" s="11" t="s">
        <v>3907</v>
      </c>
      <c r="B90">
        <v>27749.196199999995</v>
      </c>
    </row>
    <row r="91" spans="1:2" x14ac:dyDescent="0.3">
      <c r="A91" s="11" t="s">
        <v>3923</v>
      </c>
      <c r="B91">
        <v>28094.216900000003</v>
      </c>
    </row>
    <row r="92" spans="1:2" x14ac:dyDescent="0.3">
      <c r="A92" s="11" t="s">
        <v>3918</v>
      </c>
      <c r="B92">
        <v>28237.930799999998</v>
      </c>
    </row>
    <row r="93" spans="1:2" x14ac:dyDescent="0.3">
      <c r="A93" s="11" t="s">
        <v>3844</v>
      </c>
      <c r="B93">
        <v>28285.614399999999</v>
      </c>
    </row>
    <row r="94" spans="1:2" x14ac:dyDescent="0.3">
      <c r="A94" s="11" t="s">
        <v>3846</v>
      </c>
      <c r="B94">
        <v>28324.048999999999</v>
      </c>
    </row>
    <row r="95" spans="1:2" x14ac:dyDescent="0.3">
      <c r="A95" s="11" t="s">
        <v>3925</v>
      </c>
      <c r="B95">
        <v>28572.692399999996</v>
      </c>
    </row>
    <row r="96" spans="1:2" x14ac:dyDescent="0.3">
      <c r="A96" s="11" t="s">
        <v>3888</v>
      </c>
      <c r="B96">
        <v>30236.698199999992</v>
      </c>
    </row>
    <row r="97" spans="1:2" x14ac:dyDescent="0.3">
      <c r="A97" s="11" t="s">
        <v>3860</v>
      </c>
      <c r="B97">
        <v>31070.455699999995</v>
      </c>
    </row>
    <row r="98" spans="1:2" x14ac:dyDescent="0.3">
      <c r="A98" s="11" t="s">
        <v>3905</v>
      </c>
      <c r="B98">
        <v>33566.799899999998</v>
      </c>
    </row>
    <row r="99" spans="1:2" x14ac:dyDescent="0.3">
      <c r="A99" s="11" t="s">
        <v>3920</v>
      </c>
      <c r="B99">
        <v>33993.659399999997</v>
      </c>
    </row>
    <row r="100" spans="1:2" x14ac:dyDescent="0.3">
      <c r="A100" s="11" t="s">
        <v>3863</v>
      </c>
      <c r="B100">
        <v>34699.832699999999</v>
      </c>
    </row>
    <row r="101" spans="1:2" x14ac:dyDescent="0.3">
      <c r="A101" s="11" t="s">
        <v>3866</v>
      </c>
      <c r="B101">
        <v>35489.619799999993</v>
      </c>
    </row>
    <row r="102" spans="1:2" x14ac:dyDescent="0.3">
      <c r="A102" s="11" t="s">
        <v>3902</v>
      </c>
      <c r="B102">
        <v>38281.015300000006</v>
      </c>
    </row>
    <row r="103" spans="1:2" x14ac:dyDescent="0.3">
      <c r="A103" s="11" t="s">
        <v>3868</v>
      </c>
      <c r="B103">
        <v>41852.503400000001</v>
      </c>
    </row>
    <row r="104" spans="1:2" x14ac:dyDescent="0.3">
      <c r="A104" s="11" t="s">
        <v>4003</v>
      </c>
      <c r="B104">
        <v>2175265.0085773687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219EC-FEFE-45D1-A13F-BE4800CCF972}">
  <dimension ref="A3:F24"/>
  <sheetViews>
    <sheetView zoomScale="70" workbookViewId="0">
      <selection activeCell="H32" sqref="H32"/>
    </sheetView>
  </sheetViews>
  <sheetFormatPr defaultRowHeight="14.4" x14ac:dyDescent="0.3"/>
  <cols>
    <col min="1" max="1" width="33.33203125" bestFit="1" customWidth="1"/>
    <col min="2" max="2" width="19.5546875" bestFit="1" customWidth="1"/>
    <col min="3" max="3" width="16.21875" bestFit="1" customWidth="1"/>
  </cols>
  <sheetData>
    <row r="3" spans="1:3" x14ac:dyDescent="0.3">
      <c r="A3" s="10" t="s">
        <v>3990</v>
      </c>
      <c r="B3" t="s">
        <v>4005</v>
      </c>
      <c r="C3" t="s">
        <v>4006</v>
      </c>
    </row>
    <row r="4" spans="1:3" x14ac:dyDescent="0.3">
      <c r="A4" s="11" t="s">
        <v>3946</v>
      </c>
      <c r="B4">
        <v>93048.140500000009</v>
      </c>
      <c r="C4">
        <v>88</v>
      </c>
    </row>
    <row r="5" spans="1:3" x14ac:dyDescent="0.3">
      <c r="A5" s="11" t="s">
        <v>3939</v>
      </c>
      <c r="B5">
        <v>118814.11569999999</v>
      </c>
      <c r="C5">
        <v>102</v>
      </c>
    </row>
    <row r="6" spans="1:3" x14ac:dyDescent="0.3">
      <c r="A6" s="11" t="s">
        <v>3943</v>
      </c>
      <c r="B6">
        <v>158971.46239999999</v>
      </c>
      <c r="C6">
        <v>127</v>
      </c>
    </row>
    <row r="7" spans="1:3" x14ac:dyDescent="0.3">
      <c r="A7" s="11" t="s">
        <v>3941</v>
      </c>
      <c r="B7">
        <v>114533.79660000003</v>
      </c>
      <c r="C7">
        <v>106</v>
      </c>
    </row>
    <row r="8" spans="1:3" x14ac:dyDescent="0.3">
      <c r="A8" s="11" t="s">
        <v>3937</v>
      </c>
      <c r="B8">
        <v>98960.807799999995</v>
      </c>
      <c r="C8">
        <v>92</v>
      </c>
    </row>
    <row r="9" spans="1:3" x14ac:dyDescent="0.3">
      <c r="A9" s="11" t="s">
        <v>3951</v>
      </c>
      <c r="B9">
        <v>111704.9436</v>
      </c>
      <c r="C9">
        <v>106</v>
      </c>
    </row>
    <row r="10" spans="1:3" x14ac:dyDescent="0.3">
      <c r="A10" s="11" t="s">
        <v>3948</v>
      </c>
      <c r="B10">
        <v>114401.4715</v>
      </c>
      <c r="C10">
        <v>95</v>
      </c>
    </row>
    <row r="11" spans="1:3" x14ac:dyDescent="0.3">
      <c r="A11" s="11" t="s">
        <v>3940</v>
      </c>
      <c r="B11">
        <v>82232.348308251167</v>
      </c>
      <c r="C11">
        <v>83</v>
      </c>
    </row>
    <row r="12" spans="1:3" x14ac:dyDescent="0.3">
      <c r="A12" s="11" t="s">
        <v>3953</v>
      </c>
      <c r="B12">
        <v>104313.05449999998</v>
      </c>
      <c r="C12">
        <v>105</v>
      </c>
    </row>
    <row r="13" spans="1:3" x14ac:dyDescent="0.3">
      <c r="A13" s="11" t="s">
        <v>3945</v>
      </c>
      <c r="B13">
        <v>109454.57413400616</v>
      </c>
      <c r="C13">
        <v>97</v>
      </c>
    </row>
    <row r="14" spans="1:3" x14ac:dyDescent="0.3">
      <c r="A14" s="11" t="s">
        <v>3952</v>
      </c>
      <c r="B14">
        <v>122531.71142377218</v>
      </c>
      <c r="C14">
        <v>110</v>
      </c>
    </row>
    <row r="15" spans="1:3" x14ac:dyDescent="0.3">
      <c r="A15" s="11" t="s">
        <v>3938</v>
      </c>
      <c r="B15">
        <v>125011.8285</v>
      </c>
      <c r="C15">
        <v>114</v>
      </c>
    </row>
    <row r="16" spans="1:3" x14ac:dyDescent="0.3">
      <c r="A16" s="11" t="s">
        <v>3954</v>
      </c>
      <c r="B16">
        <v>94189.250911338531</v>
      </c>
      <c r="C16">
        <v>94</v>
      </c>
    </row>
    <row r="17" spans="1:6" x14ac:dyDescent="0.3">
      <c r="A17" s="11" t="s">
        <v>3936</v>
      </c>
      <c r="B17">
        <v>101060.60920000002</v>
      </c>
      <c r="C17">
        <v>94</v>
      </c>
    </row>
    <row r="18" spans="1:6" x14ac:dyDescent="0.3">
      <c r="A18" s="11" t="s">
        <v>3942</v>
      </c>
      <c r="B18">
        <v>108039.34940000001</v>
      </c>
      <c r="C18">
        <v>108</v>
      </c>
    </row>
    <row r="19" spans="1:6" x14ac:dyDescent="0.3">
      <c r="A19" s="11" t="s">
        <v>3949</v>
      </c>
      <c r="B19">
        <v>106248.28329999997</v>
      </c>
      <c r="C19">
        <v>95</v>
      </c>
    </row>
    <row r="20" spans="1:6" x14ac:dyDescent="0.3">
      <c r="A20" s="11" t="s">
        <v>3944</v>
      </c>
      <c r="B20">
        <v>110102.39899999999</v>
      </c>
      <c r="C20">
        <v>96</v>
      </c>
    </row>
    <row r="21" spans="1:6" x14ac:dyDescent="0.3">
      <c r="A21" s="11" t="s">
        <v>3935</v>
      </c>
      <c r="B21">
        <v>85138.555199999988</v>
      </c>
      <c r="C21">
        <v>93</v>
      </c>
      <c r="F21" t="s">
        <v>4016</v>
      </c>
    </row>
    <row r="22" spans="1:6" x14ac:dyDescent="0.3">
      <c r="A22" s="11" t="s">
        <v>3950</v>
      </c>
      <c r="B22">
        <v>99679.086000000025</v>
      </c>
      <c r="C22">
        <v>95</v>
      </c>
      <c r="F22" t="s">
        <v>4017</v>
      </c>
    </row>
    <row r="23" spans="1:6" x14ac:dyDescent="0.3">
      <c r="A23" s="11" t="s">
        <v>3947</v>
      </c>
      <c r="B23">
        <v>116829.22059999997</v>
      </c>
      <c r="C23">
        <v>100</v>
      </c>
      <c r="F23" t="s">
        <v>4018</v>
      </c>
    </row>
    <row r="24" spans="1:6" x14ac:dyDescent="0.3">
      <c r="A24" s="11" t="s">
        <v>4003</v>
      </c>
      <c r="B24">
        <v>2175265.0085773687</v>
      </c>
      <c r="C24">
        <v>2000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D08F5-4373-49B5-85EA-84453237AA6D}">
  <dimension ref="A3:E13"/>
  <sheetViews>
    <sheetView zoomScale="61" workbookViewId="0">
      <selection activeCell="S7" sqref="S7"/>
    </sheetView>
  </sheetViews>
  <sheetFormatPr defaultRowHeight="14.4" x14ac:dyDescent="0.3"/>
  <cols>
    <col min="1" max="1" width="19.5546875" bestFit="1" customWidth="1"/>
    <col min="2" max="2" width="15.5546875" bestFit="1" customWidth="1"/>
    <col min="3" max="5" width="12" bestFit="1" customWidth="1"/>
  </cols>
  <sheetData>
    <row r="3" spans="1:5" x14ac:dyDescent="0.3">
      <c r="A3" s="10" t="s">
        <v>4005</v>
      </c>
      <c r="B3" s="10" t="s">
        <v>4004</v>
      </c>
    </row>
    <row r="4" spans="1:5" x14ac:dyDescent="0.3">
      <c r="A4" s="10" t="s">
        <v>3990</v>
      </c>
      <c r="B4">
        <v>2023</v>
      </c>
      <c r="C4">
        <v>2024</v>
      </c>
      <c r="D4">
        <v>2025</v>
      </c>
      <c r="E4" t="s">
        <v>4003</v>
      </c>
    </row>
    <row r="5" spans="1:5" x14ac:dyDescent="0.3">
      <c r="A5" s="11" t="s">
        <v>1777</v>
      </c>
      <c r="B5">
        <v>67845.314923772181</v>
      </c>
      <c r="C5">
        <v>358305.66469999991</v>
      </c>
      <c r="D5">
        <v>277552.3598082512</v>
      </c>
      <c r="E5">
        <v>703703.33943202347</v>
      </c>
    </row>
    <row r="6" spans="1:5" x14ac:dyDescent="0.3">
      <c r="A6" s="11" t="s">
        <v>1772</v>
      </c>
      <c r="B6">
        <v>84467.031199999998</v>
      </c>
      <c r="C6">
        <v>319429.08030000009</v>
      </c>
      <c r="D6">
        <v>310947.45843400614</v>
      </c>
      <c r="E6">
        <v>714843.56993400666</v>
      </c>
    </row>
    <row r="7" spans="1:5" x14ac:dyDescent="0.3">
      <c r="A7" s="11" t="s">
        <v>1774</v>
      </c>
      <c r="B7">
        <v>71855.542699999962</v>
      </c>
      <c r="C7">
        <v>416140.57801133872</v>
      </c>
      <c r="D7">
        <v>268721.97849999997</v>
      </c>
      <c r="E7">
        <v>756718.09921133844</v>
      </c>
    </row>
    <row r="8" spans="1:5" x14ac:dyDescent="0.3">
      <c r="A8" s="11" t="s">
        <v>4003</v>
      </c>
      <c r="B8">
        <v>224167.88882377226</v>
      </c>
      <c r="C8">
        <v>1093875.323011338</v>
      </c>
      <c r="D8">
        <v>857221.79674225789</v>
      </c>
      <c r="E8">
        <v>2175265.0085773687</v>
      </c>
    </row>
    <row r="12" spans="1:5" x14ac:dyDescent="0.3">
      <c r="A12" t="s">
        <v>4019</v>
      </c>
    </row>
    <row r="13" spans="1:5" x14ac:dyDescent="0.3">
      <c r="A13" t="s">
        <v>4020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2A59E-CFF7-4537-9809-F4A749FC5773}">
  <dimension ref="A3:B10"/>
  <sheetViews>
    <sheetView zoomScale="64" workbookViewId="0">
      <selection activeCell="D20" sqref="D20"/>
    </sheetView>
  </sheetViews>
  <sheetFormatPr defaultRowHeight="14.4" x14ac:dyDescent="0.3"/>
  <cols>
    <col min="1" max="1" width="13" bestFit="1" customWidth="1"/>
    <col min="2" max="2" width="19.88671875" bestFit="1" customWidth="1"/>
    <col min="3" max="3" width="21" bestFit="1" customWidth="1"/>
    <col min="4" max="4" width="24" bestFit="1" customWidth="1"/>
    <col min="5" max="5" width="16.88671875" bestFit="1" customWidth="1"/>
    <col min="6" max="6" width="16" bestFit="1" customWidth="1"/>
    <col min="7" max="7" width="20.109375" bestFit="1" customWidth="1"/>
    <col min="8" max="8" width="34.6640625" bestFit="1" customWidth="1"/>
    <col min="9" max="9" width="13.6640625" bestFit="1" customWidth="1"/>
    <col min="10" max="10" width="19.88671875" bestFit="1" customWidth="1"/>
    <col min="11" max="11" width="25.5546875" bestFit="1" customWidth="1"/>
    <col min="12" max="12" width="17.6640625" bestFit="1" customWidth="1"/>
    <col min="13" max="13" width="20.109375" bestFit="1" customWidth="1"/>
    <col min="14" max="14" width="16.21875" bestFit="1" customWidth="1"/>
    <col min="15" max="15" width="32.33203125" bestFit="1" customWidth="1"/>
    <col min="16" max="16" width="21.109375" bestFit="1" customWidth="1"/>
    <col min="17" max="17" width="18.44140625" bestFit="1" customWidth="1"/>
    <col min="18" max="18" width="28.44140625" bestFit="1" customWidth="1"/>
    <col min="19" max="19" width="17.44140625" bestFit="1" customWidth="1"/>
    <col min="20" max="20" width="16.6640625" bestFit="1" customWidth="1"/>
    <col min="21" max="21" width="29.77734375" bestFit="1" customWidth="1"/>
    <col min="22" max="22" width="12" bestFit="1" customWidth="1"/>
    <col min="23" max="23" width="12.109375" bestFit="1" customWidth="1"/>
    <col min="24" max="24" width="10.88671875" bestFit="1" customWidth="1"/>
    <col min="25" max="25" width="11.33203125" bestFit="1" customWidth="1"/>
    <col min="26" max="26" width="12.5546875" bestFit="1" customWidth="1"/>
    <col min="27" max="27" width="11.5546875" bestFit="1" customWidth="1"/>
    <col min="28" max="28" width="12" bestFit="1" customWidth="1"/>
    <col min="29" max="29" width="10.5546875" bestFit="1" customWidth="1"/>
    <col min="30" max="31" width="11.44140625" bestFit="1" customWidth="1"/>
    <col min="32" max="32" width="10" bestFit="1" customWidth="1"/>
    <col min="33" max="33" width="10.44140625" bestFit="1" customWidth="1"/>
    <col min="34" max="34" width="11.5546875" bestFit="1" customWidth="1"/>
    <col min="35" max="36" width="10" bestFit="1" customWidth="1"/>
    <col min="37" max="37" width="11.33203125" bestFit="1" customWidth="1"/>
    <col min="38" max="38" width="10" bestFit="1" customWidth="1"/>
    <col min="39" max="39" width="10.109375" bestFit="1" customWidth="1"/>
    <col min="40" max="40" width="13.33203125" bestFit="1" customWidth="1"/>
    <col min="41" max="41" width="12.5546875" bestFit="1" customWidth="1"/>
    <col min="42" max="42" width="16.77734375" bestFit="1" customWidth="1"/>
    <col min="43" max="43" width="11.88671875" bestFit="1" customWidth="1"/>
    <col min="44" max="44" width="14.5546875" bestFit="1" customWidth="1"/>
    <col min="45" max="45" width="12.109375" bestFit="1" customWidth="1"/>
    <col min="46" max="50" width="10" bestFit="1" customWidth="1"/>
    <col min="51" max="51" width="10.33203125" bestFit="1" customWidth="1"/>
    <col min="52" max="52" width="10" bestFit="1" customWidth="1"/>
    <col min="53" max="53" width="11.5546875" bestFit="1" customWidth="1"/>
    <col min="54" max="54" width="13.88671875" bestFit="1" customWidth="1"/>
    <col min="55" max="55" width="12" bestFit="1" customWidth="1"/>
    <col min="56" max="56" width="15.5546875" bestFit="1" customWidth="1"/>
    <col min="57" max="57" width="10.33203125" bestFit="1" customWidth="1"/>
    <col min="58" max="58" width="13.44140625" bestFit="1" customWidth="1"/>
    <col min="59" max="59" width="14.44140625" bestFit="1" customWidth="1"/>
    <col min="60" max="60" width="10" bestFit="1" customWidth="1"/>
    <col min="61" max="61" width="13.5546875" bestFit="1" customWidth="1"/>
    <col min="62" max="62" width="17.88671875" bestFit="1" customWidth="1"/>
    <col min="63" max="63" width="10" bestFit="1" customWidth="1"/>
    <col min="64" max="65" width="11" bestFit="1" customWidth="1"/>
    <col min="66" max="66" width="20.109375" bestFit="1" customWidth="1"/>
    <col min="67" max="67" width="13.5546875" bestFit="1" customWidth="1"/>
    <col min="68" max="68" width="15.44140625" bestFit="1" customWidth="1"/>
    <col min="69" max="69" width="13.6640625" bestFit="1" customWidth="1"/>
    <col min="70" max="70" width="10.44140625" bestFit="1" customWidth="1"/>
    <col min="71" max="72" width="10" bestFit="1" customWidth="1"/>
    <col min="73" max="73" width="11.5546875" bestFit="1" customWidth="1"/>
    <col min="74" max="74" width="10.77734375" bestFit="1" customWidth="1"/>
    <col min="75" max="75" width="17.88671875" bestFit="1" customWidth="1"/>
    <col min="76" max="76" width="13.33203125" bestFit="1" customWidth="1"/>
    <col min="77" max="77" width="14.109375" bestFit="1" customWidth="1"/>
    <col min="78" max="78" width="10" bestFit="1" customWidth="1"/>
    <col min="79" max="79" width="9.6640625" bestFit="1" customWidth="1"/>
    <col min="80" max="81" width="10" bestFit="1" customWidth="1"/>
    <col min="82" max="82" width="12.5546875" bestFit="1" customWidth="1"/>
    <col min="83" max="83" width="14.5546875" bestFit="1" customWidth="1"/>
    <col min="84" max="84" width="17.88671875" bestFit="1" customWidth="1"/>
    <col min="85" max="85" width="14.33203125" bestFit="1" customWidth="1"/>
    <col min="86" max="86" width="13.33203125" bestFit="1" customWidth="1"/>
    <col min="87" max="87" width="11.21875" bestFit="1" customWidth="1"/>
    <col min="88" max="88" width="11.33203125" bestFit="1" customWidth="1"/>
    <col min="89" max="89" width="14.6640625" bestFit="1" customWidth="1"/>
    <col min="90" max="90" width="10.21875" bestFit="1" customWidth="1"/>
    <col min="91" max="91" width="14.6640625" bestFit="1" customWidth="1"/>
    <col min="92" max="92" width="11" bestFit="1" customWidth="1"/>
    <col min="93" max="93" width="11.21875" bestFit="1" customWidth="1"/>
    <col min="94" max="95" width="10" bestFit="1" customWidth="1"/>
    <col min="96" max="96" width="12.109375" bestFit="1" customWidth="1"/>
    <col min="97" max="97" width="10.5546875" bestFit="1" customWidth="1"/>
    <col min="98" max="98" width="14.109375" bestFit="1" customWidth="1"/>
    <col min="99" max="99" width="10" bestFit="1" customWidth="1"/>
    <col min="100" max="100" width="11.77734375" bestFit="1" customWidth="1"/>
    <col min="101" max="101" width="10.77734375" bestFit="1" customWidth="1"/>
    <col min="102" max="102" width="13.5546875" bestFit="1" customWidth="1"/>
    <col min="103" max="103" width="11.88671875" bestFit="1" customWidth="1"/>
    <col min="104" max="104" width="10.109375" bestFit="1" customWidth="1"/>
    <col min="105" max="105" width="11" bestFit="1" customWidth="1"/>
    <col min="106" max="107" width="10" bestFit="1" customWidth="1"/>
    <col min="108" max="108" width="12.33203125" bestFit="1" customWidth="1"/>
    <col min="109" max="109" width="11.5546875" bestFit="1" customWidth="1"/>
    <col min="110" max="110" width="10.77734375" bestFit="1" customWidth="1"/>
    <col min="111" max="111" width="11.21875" bestFit="1" customWidth="1"/>
    <col min="112" max="112" width="11.5546875" bestFit="1" customWidth="1"/>
    <col min="113" max="113" width="12" bestFit="1" customWidth="1"/>
    <col min="114" max="114" width="12.109375" bestFit="1" customWidth="1"/>
    <col min="115" max="115" width="11.6640625" bestFit="1" customWidth="1"/>
    <col min="116" max="116" width="10.21875" bestFit="1" customWidth="1"/>
    <col min="117" max="117" width="10" bestFit="1" customWidth="1"/>
    <col min="118" max="118" width="11" bestFit="1" customWidth="1"/>
    <col min="119" max="119" width="15.6640625" bestFit="1" customWidth="1"/>
    <col min="120" max="120" width="10.5546875" bestFit="1" customWidth="1"/>
    <col min="121" max="121" width="11.109375" bestFit="1" customWidth="1"/>
    <col min="122" max="122" width="14" bestFit="1" customWidth="1"/>
    <col min="123" max="123" width="10" bestFit="1" customWidth="1"/>
    <col min="124" max="124" width="12" bestFit="1" customWidth="1"/>
    <col min="125" max="125" width="13.44140625" bestFit="1" customWidth="1"/>
    <col min="126" max="126" width="12" bestFit="1" customWidth="1"/>
    <col min="127" max="127" width="10.21875" bestFit="1" customWidth="1"/>
    <col min="128" max="128" width="10.109375" bestFit="1" customWidth="1"/>
    <col min="129" max="129" width="10" bestFit="1" customWidth="1"/>
    <col min="130" max="130" width="11.88671875" bestFit="1" customWidth="1"/>
    <col min="131" max="131" width="11.6640625" bestFit="1" customWidth="1"/>
    <col min="132" max="132" width="12" bestFit="1" customWidth="1"/>
    <col min="133" max="133" width="11.33203125" bestFit="1" customWidth="1"/>
    <col min="134" max="134" width="9.33203125" bestFit="1" customWidth="1"/>
    <col min="135" max="136" width="10" bestFit="1" customWidth="1"/>
    <col min="137" max="137" width="12.88671875" bestFit="1" customWidth="1"/>
    <col min="138" max="138" width="12.44140625" bestFit="1" customWidth="1"/>
    <col min="139" max="139" width="10" bestFit="1" customWidth="1"/>
    <col min="140" max="140" width="11" bestFit="1" customWidth="1"/>
    <col min="141" max="141" width="11.5546875" bestFit="1" customWidth="1"/>
    <col min="142" max="142" width="12" bestFit="1" customWidth="1"/>
    <col min="143" max="143" width="11.21875" bestFit="1" customWidth="1"/>
    <col min="144" max="144" width="11.5546875" bestFit="1" customWidth="1"/>
    <col min="145" max="145" width="11.77734375" bestFit="1" customWidth="1"/>
    <col min="146" max="148" width="10" bestFit="1" customWidth="1"/>
    <col min="149" max="149" width="10.21875" bestFit="1" customWidth="1"/>
    <col min="150" max="151" width="10" bestFit="1" customWidth="1"/>
    <col min="152" max="152" width="11" bestFit="1" customWidth="1"/>
    <col min="153" max="153" width="10" bestFit="1" customWidth="1"/>
    <col min="154" max="154" width="13.88671875" bestFit="1" customWidth="1"/>
    <col min="155" max="155" width="10" bestFit="1" customWidth="1"/>
    <col min="156" max="156" width="18.33203125" bestFit="1" customWidth="1"/>
    <col min="157" max="157" width="15.6640625" bestFit="1" customWidth="1"/>
    <col min="158" max="158" width="10" bestFit="1" customWidth="1"/>
    <col min="159" max="159" width="12.88671875" bestFit="1" customWidth="1"/>
    <col min="160" max="160" width="12.77734375" bestFit="1" customWidth="1"/>
    <col min="161" max="161" width="17" bestFit="1" customWidth="1"/>
    <col min="162" max="162" width="11.33203125" bestFit="1" customWidth="1"/>
    <col min="163" max="163" width="9.44140625" bestFit="1" customWidth="1"/>
    <col min="164" max="164" width="11.77734375" bestFit="1" customWidth="1"/>
    <col min="165" max="165" width="13.21875" bestFit="1" customWidth="1"/>
    <col min="166" max="166" width="15.21875" bestFit="1" customWidth="1"/>
    <col min="167" max="167" width="15" bestFit="1" customWidth="1"/>
    <col min="168" max="168" width="14.21875" bestFit="1" customWidth="1"/>
    <col min="169" max="169" width="10.109375" bestFit="1" customWidth="1"/>
    <col min="170" max="170" width="16.33203125" bestFit="1" customWidth="1"/>
    <col min="171" max="171" width="15.77734375" bestFit="1" customWidth="1"/>
    <col min="172" max="172" width="10.44140625" bestFit="1" customWidth="1"/>
    <col min="173" max="173" width="12.6640625" bestFit="1" customWidth="1"/>
    <col min="174" max="174" width="14.77734375" bestFit="1" customWidth="1"/>
    <col min="175" max="175" width="15.21875" bestFit="1" customWidth="1"/>
    <col min="176" max="176" width="15.77734375" bestFit="1" customWidth="1"/>
    <col min="177" max="177" width="12.109375" bestFit="1" customWidth="1"/>
    <col min="178" max="178" width="10" bestFit="1" customWidth="1"/>
    <col min="179" max="179" width="14.88671875" bestFit="1" customWidth="1"/>
    <col min="180" max="180" width="15.6640625" bestFit="1" customWidth="1"/>
    <col min="181" max="181" width="12" bestFit="1" customWidth="1"/>
    <col min="182" max="182" width="13.109375" bestFit="1" customWidth="1"/>
    <col min="183" max="183" width="14.77734375" bestFit="1" customWidth="1"/>
    <col min="184" max="184" width="10.5546875" bestFit="1" customWidth="1"/>
    <col min="185" max="185" width="16.33203125" bestFit="1" customWidth="1"/>
    <col min="186" max="186" width="17.21875" bestFit="1" customWidth="1"/>
    <col min="187" max="187" width="14.77734375" bestFit="1" customWidth="1"/>
    <col min="188" max="188" width="15.6640625" bestFit="1" customWidth="1"/>
    <col min="189" max="189" width="14.33203125" bestFit="1" customWidth="1"/>
    <col min="190" max="190" width="12" bestFit="1" customWidth="1"/>
    <col min="191" max="191" width="12.33203125" bestFit="1" customWidth="1"/>
    <col min="192" max="192" width="11.77734375" bestFit="1" customWidth="1"/>
    <col min="193" max="193" width="12.5546875" bestFit="1" customWidth="1"/>
    <col min="194" max="194" width="10.6640625" bestFit="1" customWidth="1"/>
    <col min="195" max="195" width="10" bestFit="1" customWidth="1"/>
    <col min="196" max="196" width="9" bestFit="1" customWidth="1"/>
    <col min="197" max="198" width="10" bestFit="1" customWidth="1"/>
    <col min="199" max="199" width="14.5546875" bestFit="1" customWidth="1"/>
    <col min="200" max="200" width="11" bestFit="1" customWidth="1"/>
    <col min="201" max="201" width="16" bestFit="1" customWidth="1"/>
    <col min="202" max="202" width="12.5546875" bestFit="1" customWidth="1"/>
    <col min="203" max="203" width="10" bestFit="1" customWidth="1"/>
    <col min="204" max="204" width="11.5546875" bestFit="1" customWidth="1"/>
    <col min="205" max="205" width="11.88671875" bestFit="1" customWidth="1"/>
    <col min="206" max="206" width="15.44140625" bestFit="1" customWidth="1"/>
    <col min="207" max="207" width="11.21875" bestFit="1" customWidth="1"/>
    <col min="208" max="208" width="9.6640625" bestFit="1" customWidth="1"/>
    <col min="209" max="209" width="10.77734375" bestFit="1" customWidth="1"/>
    <col min="210" max="210" width="10.5546875" bestFit="1" customWidth="1"/>
    <col min="211" max="211" width="10.44140625" bestFit="1" customWidth="1"/>
    <col min="212" max="213" width="10" bestFit="1" customWidth="1"/>
    <col min="214" max="214" width="10.77734375" bestFit="1" customWidth="1"/>
    <col min="215" max="215" width="10" bestFit="1" customWidth="1"/>
    <col min="216" max="216" width="11.21875" bestFit="1" customWidth="1"/>
    <col min="217" max="217" width="12.109375" bestFit="1" customWidth="1"/>
    <col min="218" max="218" width="11.44140625" bestFit="1" customWidth="1"/>
    <col min="219" max="219" width="11" bestFit="1" customWidth="1"/>
    <col min="220" max="220" width="12.109375" bestFit="1" customWidth="1"/>
    <col min="221" max="221" width="10" bestFit="1" customWidth="1"/>
    <col min="222" max="222" width="10.88671875" bestFit="1" customWidth="1"/>
    <col min="223" max="223" width="12.109375" bestFit="1" customWidth="1"/>
    <col min="224" max="224" width="11.21875" bestFit="1" customWidth="1"/>
    <col min="225" max="226" width="10" bestFit="1" customWidth="1"/>
    <col min="227" max="227" width="12.6640625" bestFit="1" customWidth="1"/>
    <col min="228" max="228" width="10" bestFit="1" customWidth="1"/>
    <col min="229" max="229" width="13.21875" bestFit="1" customWidth="1"/>
    <col min="230" max="230" width="15.77734375" bestFit="1" customWidth="1"/>
    <col min="231" max="231" width="10.21875" bestFit="1" customWidth="1"/>
    <col min="232" max="232" width="13.33203125" bestFit="1" customWidth="1"/>
    <col min="233" max="233" width="10" bestFit="1" customWidth="1"/>
    <col min="234" max="234" width="15.77734375" bestFit="1" customWidth="1"/>
    <col min="235" max="235" width="10.44140625" bestFit="1" customWidth="1"/>
    <col min="236" max="237" width="10" bestFit="1" customWidth="1"/>
    <col min="238" max="238" width="12.88671875" bestFit="1" customWidth="1"/>
    <col min="239" max="239" width="14" bestFit="1" customWidth="1"/>
    <col min="240" max="240" width="14.77734375" bestFit="1" customWidth="1"/>
    <col min="241" max="241" width="11.5546875" bestFit="1" customWidth="1"/>
    <col min="242" max="242" width="16" bestFit="1" customWidth="1"/>
    <col min="243" max="243" width="14.33203125" bestFit="1" customWidth="1"/>
    <col min="244" max="244" width="15.6640625" bestFit="1" customWidth="1"/>
    <col min="245" max="245" width="10.88671875" bestFit="1" customWidth="1"/>
    <col min="246" max="246" width="17" bestFit="1" customWidth="1"/>
    <col min="247" max="247" width="15.6640625" bestFit="1" customWidth="1"/>
    <col min="248" max="248" width="11" bestFit="1" customWidth="1"/>
    <col min="249" max="249" width="15.44140625" bestFit="1" customWidth="1"/>
    <col min="250" max="250" width="10" bestFit="1" customWidth="1"/>
    <col min="251" max="251" width="14.6640625" bestFit="1" customWidth="1"/>
    <col min="252" max="252" width="13.44140625" bestFit="1" customWidth="1"/>
    <col min="253" max="253" width="15.6640625" bestFit="1" customWidth="1"/>
    <col min="254" max="254" width="10" bestFit="1" customWidth="1"/>
    <col min="255" max="255" width="12.33203125" bestFit="1" customWidth="1"/>
    <col min="256" max="256" width="10.33203125" bestFit="1" customWidth="1"/>
    <col min="257" max="257" width="10.109375" bestFit="1" customWidth="1"/>
    <col min="258" max="258" width="16" bestFit="1" customWidth="1"/>
    <col min="259" max="259" width="12.44140625" bestFit="1" customWidth="1"/>
    <col min="260" max="262" width="10" bestFit="1" customWidth="1"/>
    <col min="263" max="263" width="11.44140625" bestFit="1" customWidth="1"/>
    <col min="264" max="264" width="12.109375" bestFit="1" customWidth="1"/>
    <col min="265" max="265" width="12.44140625" bestFit="1" customWidth="1"/>
    <col min="266" max="266" width="13.5546875" bestFit="1" customWidth="1"/>
    <col min="267" max="267" width="20" bestFit="1" customWidth="1"/>
    <col min="268" max="268" width="15.33203125" bestFit="1" customWidth="1"/>
    <col min="269" max="269" width="18.6640625" bestFit="1" customWidth="1"/>
    <col min="270" max="270" width="16" bestFit="1" customWidth="1"/>
    <col min="271" max="271" width="19.5546875" bestFit="1" customWidth="1"/>
    <col min="272" max="272" width="14.33203125" bestFit="1" customWidth="1"/>
    <col min="273" max="273" width="17.44140625" bestFit="1" customWidth="1"/>
    <col min="274" max="274" width="17.33203125" bestFit="1" customWidth="1"/>
    <col min="275" max="275" width="11.5546875" bestFit="1" customWidth="1"/>
    <col min="276" max="276" width="14.77734375" bestFit="1" customWidth="1"/>
    <col min="277" max="277" width="15.6640625" bestFit="1" customWidth="1"/>
    <col min="278" max="278" width="14.33203125" bestFit="1" customWidth="1"/>
    <col min="279" max="279" width="13.5546875" bestFit="1" customWidth="1"/>
    <col min="280" max="280" width="14.33203125" bestFit="1" customWidth="1"/>
    <col min="281" max="281" width="14.21875" bestFit="1" customWidth="1"/>
    <col min="282" max="282" width="14.33203125" bestFit="1" customWidth="1"/>
    <col min="283" max="283" width="13.33203125" bestFit="1" customWidth="1"/>
    <col min="284" max="284" width="15.88671875" bestFit="1" customWidth="1"/>
    <col min="285" max="285" width="11.109375" bestFit="1" customWidth="1"/>
    <col min="286" max="286" width="14.5546875" bestFit="1" customWidth="1"/>
    <col min="287" max="287" width="13.109375" bestFit="1" customWidth="1"/>
    <col min="288" max="288" width="15.6640625" bestFit="1" customWidth="1"/>
    <col min="289" max="289" width="14.21875" bestFit="1" customWidth="1"/>
    <col min="290" max="290" width="13.77734375" bestFit="1" customWidth="1"/>
    <col min="291" max="291" width="14.21875" bestFit="1" customWidth="1"/>
    <col min="292" max="292" width="14" bestFit="1" customWidth="1"/>
    <col min="293" max="293" width="14.109375" bestFit="1" customWidth="1"/>
    <col min="294" max="294" width="13.109375" bestFit="1" customWidth="1"/>
    <col min="295" max="295" width="20.44140625" bestFit="1" customWidth="1"/>
    <col min="296" max="296" width="16.21875" bestFit="1" customWidth="1"/>
    <col min="297" max="297" width="17.21875" bestFit="1" customWidth="1"/>
    <col min="298" max="298" width="18.109375" bestFit="1" customWidth="1"/>
    <col min="299" max="299" width="13.5546875" bestFit="1" customWidth="1"/>
    <col min="300" max="300" width="11.5546875" bestFit="1" customWidth="1"/>
    <col min="301" max="301" width="12.6640625" bestFit="1" customWidth="1"/>
    <col min="302" max="302" width="12" bestFit="1" customWidth="1"/>
    <col min="303" max="303" width="9.5546875" bestFit="1" customWidth="1"/>
    <col min="304" max="304" width="12.6640625" bestFit="1" customWidth="1"/>
    <col min="305" max="305" width="12.5546875" bestFit="1" customWidth="1"/>
    <col min="306" max="306" width="14.33203125" bestFit="1" customWidth="1"/>
    <col min="307" max="307" width="13.6640625" bestFit="1" customWidth="1"/>
    <col min="308" max="308" width="14.88671875" bestFit="1" customWidth="1"/>
    <col min="309" max="309" width="12.88671875" bestFit="1" customWidth="1"/>
    <col min="310" max="310" width="18" bestFit="1" customWidth="1"/>
    <col min="311" max="311" width="10" bestFit="1" customWidth="1"/>
    <col min="312" max="312" width="11" bestFit="1" customWidth="1"/>
    <col min="313" max="313" width="10" bestFit="1" customWidth="1"/>
    <col min="314" max="314" width="10.5546875" bestFit="1" customWidth="1"/>
    <col min="315" max="315" width="10.77734375" bestFit="1" customWidth="1"/>
    <col min="316" max="316" width="10.33203125" bestFit="1" customWidth="1"/>
    <col min="317" max="317" width="10" bestFit="1" customWidth="1"/>
    <col min="318" max="318" width="10.77734375" bestFit="1" customWidth="1"/>
    <col min="319" max="319" width="9" bestFit="1" customWidth="1"/>
    <col min="320" max="321" width="10" bestFit="1" customWidth="1"/>
    <col min="322" max="322" width="13.109375" bestFit="1" customWidth="1"/>
    <col min="323" max="323" width="12.5546875" bestFit="1" customWidth="1"/>
    <col min="324" max="324" width="10" bestFit="1" customWidth="1"/>
    <col min="325" max="325" width="9.77734375" bestFit="1" customWidth="1"/>
    <col min="326" max="326" width="12.109375" bestFit="1" customWidth="1"/>
    <col min="327" max="327" width="12.33203125" bestFit="1" customWidth="1"/>
    <col min="328" max="328" width="10" bestFit="1" customWidth="1"/>
    <col min="329" max="329" width="9.33203125" bestFit="1" customWidth="1"/>
    <col min="330" max="330" width="10.33203125" bestFit="1" customWidth="1"/>
    <col min="331" max="331" width="13.109375" bestFit="1" customWidth="1"/>
    <col min="332" max="332" width="11" bestFit="1" customWidth="1"/>
    <col min="333" max="333" width="14.5546875" bestFit="1" customWidth="1"/>
    <col min="334" max="334" width="10.5546875" bestFit="1" customWidth="1"/>
    <col min="335" max="335" width="17.21875" bestFit="1" customWidth="1"/>
    <col min="336" max="336" width="15.44140625" bestFit="1" customWidth="1"/>
    <col min="337" max="337" width="15.21875" bestFit="1" customWidth="1"/>
    <col min="338" max="338" width="10.109375" bestFit="1" customWidth="1"/>
    <col min="339" max="339" width="14.6640625" bestFit="1" customWidth="1"/>
    <col min="340" max="340" width="17" bestFit="1" customWidth="1"/>
    <col min="341" max="341" width="14.21875" bestFit="1" customWidth="1"/>
    <col min="342" max="342" width="17" bestFit="1" customWidth="1"/>
    <col min="343" max="344" width="10" bestFit="1" customWidth="1"/>
    <col min="345" max="345" width="12.109375" bestFit="1" customWidth="1"/>
    <col min="346" max="346" width="13.5546875" bestFit="1" customWidth="1"/>
    <col min="347" max="347" width="16.77734375" bestFit="1" customWidth="1"/>
    <col min="348" max="348" width="11.33203125" bestFit="1" customWidth="1"/>
    <col min="349" max="349" width="15.44140625" bestFit="1" customWidth="1"/>
    <col min="350" max="351" width="14.44140625" bestFit="1" customWidth="1"/>
    <col min="352" max="352" width="14.109375" bestFit="1" customWidth="1"/>
    <col min="353" max="353" width="12.33203125" bestFit="1" customWidth="1"/>
    <col min="354" max="354" width="10" bestFit="1" customWidth="1"/>
    <col min="355" max="355" width="13.5546875" bestFit="1" customWidth="1"/>
    <col min="356" max="356" width="11.44140625" bestFit="1" customWidth="1"/>
    <col min="357" max="357" width="11.21875" bestFit="1" customWidth="1"/>
    <col min="358" max="358" width="12.33203125" bestFit="1" customWidth="1"/>
    <col min="359" max="359" width="12.44140625" bestFit="1" customWidth="1"/>
    <col min="360" max="360" width="11.6640625" bestFit="1" customWidth="1"/>
    <col min="361" max="361" width="10.44140625" bestFit="1" customWidth="1"/>
    <col min="362" max="362" width="11" bestFit="1" customWidth="1"/>
    <col min="363" max="363" width="13.21875" bestFit="1" customWidth="1"/>
    <col min="364" max="364" width="12" bestFit="1" customWidth="1"/>
    <col min="365" max="365" width="15.109375" bestFit="1" customWidth="1"/>
    <col min="366" max="366" width="12.21875" bestFit="1" customWidth="1"/>
    <col min="367" max="367" width="13.77734375" bestFit="1" customWidth="1"/>
    <col min="368" max="368" width="12.77734375" bestFit="1" customWidth="1"/>
    <col min="369" max="369" width="9" bestFit="1" customWidth="1"/>
    <col min="370" max="370" width="10.21875" bestFit="1" customWidth="1"/>
    <col min="371" max="371" width="10" bestFit="1" customWidth="1"/>
    <col min="372" max="372" width="10.5546875" bestFit="1" customWidth="1"/>
    <col min="373" max="373" width="10.44140625" bestFit="1" customWidth="1"/>
    <col min="374" max="374" width="10" bestFit="1" customWidth="1"/>
    <col min="375" max="375" width="11.44140625" bestFit="1" customWidth="1"/>
    <col min="376" max="376" width="14.109375" bestFit="1" customWidth="1"/>
    <col min="377" max="377" width="12.44140625" bestFit="1" customWidth="1"/>
    <col min="378" max="378" width="11.33203125" bestFit="1" customWidth="1"/>
    <col min="379" max="379" width="14.6640625" bestFit="1" customWidth="1"/>
    <col min="380" max="380" width="10.88671875" bestFit="1" customWidth="1"/>
    <col min="381" max="382" width="10" bestFit="1" customWidth="1"/>
    <col min="383" max="383" width="12" bestFit="1" customWidth="1"/>
    <col min="384" max="384" width="10" bestFit="1" customWidth="1"/>
    <col min="385" max="385" width="15" bestFit="1" customWidth="1"/>
    <col min="386" max="386" width="19" bestFit="1" customWidth="1"/>
    <col min="387" max="387" width="16.6640625" bestFit="1" customWidth="1"/>
    <col min="388" max="388" width="12.21875" bestFit="1" customWidth="1"/>
    <col min="389" max="389" width="15.88671875" bestFit="1" customWidth="1"/>
    <col min="390" max="390" width="15" bestFit="1" customWidth="1"/>
    <col min="391" max="391" width="13.109375" bestFit="1" customWidth="1"/>
    <col min="392" max="392" width="12.44140625" bestFit="1" customWidth="1"/>
    <col min="393" max="393" width="21.44140625" bestFit="1" customWidth="1"/>
    <col min="394" max="394" width="16.33203125" bestFit="1" customWidth="1"/>
    <col min="395" max="395" width="15.88671875" bestFit="1" customWidth="1"/>
    <col min="396" max="396" width="11.21875" bestFit="1" customWidth="1"/>
    <col min="397" max="397" width="14.88671875" bestFit="1" customWidth="1"/>
    <col min="398" max="398" width="11.77734375" bestFit="1" customWidth="1"/>
    <col min="399" max="399" width="11.5546875" bestFit="1" customWidth="1"/>
    <col min="400" max="400" width="11" bestFit="1" customWidth="1"/>
    <col min="401" max="401" width="10.21875" bestFit="1" customWidth="1"/>
    <col min="402" max="402" width="15.5546875" bestFit="1" customWidth="1"/>
    <col min="403" max="403" width="16.5546875" bestFit="1" customWidth="1"/>
    <col min="404" max="404" width="10.44140625" bestFit="1" customWidth="1"/>
    <col min="405" max="405" width="19" bestFit="1" customWidth="1"/>
    <col min="406" max="406" width="11.109375" bestFit="1" customWidth="1"/>
    <col min="407" max="407" width="16.33203125" bestFit="1" customWidth="1"/>
    <col min="408" max="408" width="17.6640625" bestFit="1" customWidth="1"/>
    <col min="409" max="409" width="12.6640625" bestFit="1" customWidth="1"/>
    <col min="410" max="411" width="12.109375" bestFit="1" customWidth="1"/>
    <col min="412" max="412" width="11.77734375" bestFit="1" customWidth="1"/>
    <col min="413" max="413" width="14" bestFit="1" customWidth="1"/>
    <col min="414" max="414" width="12.6640625" bestFit="1" customWidth="1"/>
    <col min="415" max="415" width="19.44140625" bestFit="1" customWidth="1"/>
    <col min="416" max="416" width="13.5546875" bestFit="1" customWidth="1"/>
    <col min="417" max="417" width="11.44140625" bestFit="1" customWidth="1"/>
    <col min="418" max="418" width="12.6640625" bestFit="1" customWidth="1"/>
    <col min="419" max="419" width="11.5546875" bestFit="1" customWidth="1"/>
    <col min="420" max="420" width="13.6640625" bestFit="1" customWidth="1"/>
    <col min="421" max="421" width="10" bestFit="1" customWidth="1"/>
    <col min="422" max="422" width="10.21875" bestFit="1" customWidth="1"/>
    <col min="423" max="424" width="10" bestFit="1" customWidth="1"/>
    <col min="425" max="425" width="12" bestFit="1" customWidth="1"/>
    <col min="426" max="426" width="10.88671875" bestFit="1" customWidth="1"/>
    <col min="427" max="427" width="13.109375" bestFit="1" customWidth="1"/>
    <col min="428" max="428" width="10" bestFit="1" customWidth="1"/>
    <col min="429" max="429" width="10.77734375" bestFit="1" customWidth="1"/>
    <col min="430" max="430" width="10" bestFit="1" customWidth="1"/>
    <col min="431" max="431" width="12.33203125" bestFit="1" customWidth="1"/>
    <col min="432" max="432" width="10.77734375" bestFit="1" customWidth="1"/>
    <col min="433" max="433" width="13.77734375" bestFit="1" customWidth="1"/>
    <col min="434" max="434" width="10.109375" bestFit="1" customWidth="1"/>
    <col min="435" max="435" width="12.21875" bestFit="1" customWidth="1"/>
    <col min="436" max="436" width="17.77734375" bestFit="1" customWidth="1"/>
    <col min="437" max="437" width="15.21875" bestFit="1" customWidth="1"/>
    <col min="438" max="438" width="12.88671875" bestFit="1" customWidth="1"/>
    <col min="439" max="439" width="17.5546875" bestFit="1" customWidth="1"/>
    <col min="440" max="440" width="10.44140625" bestFit="1" customWidth="1"/>
    <col min="441" max="441" width="15.5546875" bestFit="1" customWidth="1"/>
    <col min="442" max="442" width="10" bestFit="1" customWidth="1"/>
    <col min="443" max="443" width="10.88671875" bestFit="1" customWidth="1"/>
    <col min="444" max="444" width="13.77734375" bestFit="1" customWidth="1"/>
    <col min="445" max="445" width="14.109375" bestFit="1" customWidth="1"/>
    <col min="446" max="446" width="16.44140625" bestFit="1" customWidth="1"/>
    <col min="447" max="447" width="10" bestFit="1" customWidth="1"/>
    <col min="448" max="448" width="15.88671875" bestFit="1" customWidth="1"/>
    <col min="449" max="449" width="15.44140625" bestFit="1" customWidth="1"/>
    <col min="450" max="450" width="10.109375" bestFit="1" customWidth="1"/>
    <col min="451" max="451" width="11.44140625" bestFit="1" customWidth="1"/>
    <col min="452" max="452" width="10" bestFit="1" customWidth="1"/>
    <col min="453" max="453" width="14.88671875" bestFit="1" customWidth="1"/>
    <col min="454" max="454" width="11.44140625" bestFit="1" customWidth="1"/>
    <col min="455" max="455" width="10.6640625" bestFit="1" customWidth="1"/>
    <col min="456" max="456" width="15.44140625" bestFit="1" customWidth="1"/>
    <col min="457" max="457" width="13.77734375" bestFit="1" customWidth="1"/>
    <col min="458" max="458" width="13.109375" bestFit="1" customWidth="1"/>
    <col min="459" max="459" width="12.6640625" bestFit="1" customWidth="1"/>
    <col min="460" max="460" width="16.109375" bestFit="1" customWidth="1"/>
    <col min="461" max="461" width="15.109375" bestFit="1" customWidth="1"/>
    <col min="462" max="462" width="15.88671875" bestFit="1" customWidth="1"/>
    <col min="463" max="463" width="12.6640625" bestFit="1" customWidth="1"/>
    <col min="464" max="464" width="12" bestFit="1" customWidth="1"/>
    <col min="465" max="465" width="16.33203125" bestFit="1" customWidth="1"/>
    <col min="466" max="466" width="10.44140625" bestFit="1" customWidth="1"/>
    <col min="467" max="467" width="16.109375" bestFit="1" customWidth="1"/>
    <col min="468" max="468" width="20.109375" bestFit="1" customWidth="1"/>
    <col min="469" max="469" width="12.88671875" bestFit="1" customWidth="1"/>
    <col min="470" max="470" width="19.5546875" bestFit="1" customWidth="1"/>
    <col min="471" max="472" width="10" bestFit="1" customWidth="1"/>
    <col min="473" max="473" width="10.88671875" bestFit="1" customWidth="1"/>
    <col min="474" max="474" width="11.77734375" bestFit="1" customWidth="1"/>
    <col min="475" max="475" width="14" bestFit="1" customWidth="1"/>
    <col min="476" max="476" width="10" bestFit="1" customWidth="1"/>
    <col min="477" max="477" width="11.77734375" bestFit="1" customWidth="1"/>
    <col min="478" max="478" width="14.77734375" bestFit="1" customWidth="1"/>
    <col min="479" max="479" width="12" bestFit="1" customWidth="1"/>
  </cols>
  <sheetData>
    <row r="3" spans="1:2" x14ac:dyDescent="0.3">
      <c r="A3" s="10" t="s">
        <v>3990</v>
      </c>
      <c r="B3" t="s">
        <v>4005</v>
      </c>
    </row>
    <row r="4" spans="1:2" x14ac:dyDescent="0.3">
      <c r="A4" s="11" t="s">
        <v>4007</v>
      </c>
      <c r="B4">
        <v>540227.60110000032</v>
      </c>
    </row>
    <row r="5" spans="1:2" x14ac:dyDescent="0.3">
      <c r="A5" s="11" t="s">
        <v>4008</v>
      </c>
      <c r="B5">
        <v>502016.01469999983</v>
      </c>
    </row>
    <row r="6" spans="1:2" x14ac:dyDescent="0.3">
      <c r="A6" s="11" t="s">
        <v>4009</v>
      </c>
      <c r="B6">
        <v>575956.87095359573</v>
      </c>
    </row>
    <row r="7" spans="1:2" x14ac:dyDescent="0.3">
      <c r="A7" s="11" t="s">
        <v>4010</v>
      </c>
      <c r="B7">
        <v>557064.52182377258</v>
      </c>
    </row>
    <row r="8" spans="1:2" x14ac:dyDescent="0.3">
      <c r="A8" s="11" t="s">
        <v>4003</v>
      </c>
      <c r="B8">
        <v>2175265.0085773687</v>
      </c>
    </row>
    <row r="10" spans="1:2" x14ac:dyDescent="0.3">
      <c r="A10" s="11" t="s">
        <v>4021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2001"/>
  <sheetViews>
    <sheetView tabSelected="1" topLeftCell="E7" zoomScale="81" workbookViewId="0">
      <selection activeCell="M23" sqref="M23"/>
    </sheetView>
  </sheetViews>
  <sheetFormatPr defaultRowHeight="14.4" x14ac:dyDescent="0.3"/>
  <cols>
    <col min="1" max="1" width="9.88671875" customWidth="1"/>
    <col min="2" max="2" width="11" customWidth="1"/>
    <col min="3" max="3" width="14.109375" customWidth="1"/>
    <col min="4" max="4" width="17" customWidth="1"/>
    <col min="5" max="5" width="17.109375" customWidth="1"/>
    <col min="6" max="6" width="35.33203125" customWidth="1"/>
    <col min="7" max="7" width="11.6640625" customWidth="1"/>
    <col min="8" max="8" width="32.77734375" customWidth="1"/>
    <col min="9" max="9" width="14.44140625" customWidth="1"/>
    <col min="10" max="10" width="9" customWidth="1"/>
    <col min="11" max="11" width="21.109375" customWidth="1"/>
    <col min="12" max="12" width="10.88671875" customWidth="1"/>
    <col min="13" max="13" width="15" customWidth="1"/>
    <col min="14" max="14" width="13.33203125" customWidth="1"/>
    <col min="16" max="16" width="10.6640625" customWidth="1"/>
    <col min="17" max="17" width="11.5546875" customWidth="1"/>
    <col min="20" max="20" width="19" customWidth="1"/>
    <col min="23" max="23" width="12.88671875" customWidth="1"/>
  </cols>
  <sheetData>
    <row r="1" spans="1:25" x14ac:dyDescent="0.3">
      <c r="A1" s="5" t="s">
        <v>1765</v>
      </c>
      <c r="B1" s="6" t="s">
        <v>3989</v>
      </c>
      <c r="C1" s="6" t="s">
        <v>3988</v>
      </c>
      <c r="D1" s="6" t="s">
        <v>3987</v>
      </c>
      <c r="E1" s="5" t="s">
        <v>1766</v>
      </c>
      <c r="F1" s="6" t="s">
        <v>3828</v>
      </c>
      <c r="G1" s="6" t="s">
        <v>3956</v>
      </c>
      <c r="H1" s="5" t="s">
        <v>0</v>
      </c>
      <c r="I1" s="6" t="s">
        <v>3955</v>
      </c>
      <c r="J1" s="5" t="s">
        <v>1519</v>
      </c>
      <c r="K1" s="6" t="s">
        <v>3934</v>
      </c>
      <c r="L1" s="5" t="s">
        <v>1723</v>
      </c>
      <c r="M1" s="6" t="s">
        <v>1767</v>
      </c>
      <c r="N1" s="5" t="s">
        <v>1768</v>
      </c>
      <c r="O1" s="5" t="s">
        <v>1769</v>
      </c>
      <c r="P1" s="5" t="s">
        <v>1770</v>
      </c>
      <c r="Q1" s="5" t="s">
        <v>3827</v>
      </c>
    </row>
    <row r="2" spans="1:25" x14ac:dyDescent="0.3">
      <c r="A2" t="s">
        <v>1771</v>
      </c>
      <c r="B2" t="str">
        <f t="shared" ref="B2:B65" si="0">"Q" &amp;ROUNDUP(MONTH(E2)/3,0)</f>
        <v>Q3</v>
      </c>
      <c r="C2" t="str">
        <f>TEXT(Table1[[#This Row],[Order_Date]],"mmmm")</f>
        <v>July</v>
      </c>
      <c r="D2">
        <f>YEAR(Table1[[#This Row],[Order_Date]])</f>
        <v>2024</v>
      </c>
      <c r="E2" s="7">
        <v>45480</v>
      </c>
      <c r="F2" s="2" t="str">
        <f>VLOOKUP(Table1[[#This Row],[Customer_ID]],Customer_Dim!$A$2:$H$501,2,FALSE)</f>
        <v>Sarah Smith</v>
      </c>
      <c r="G2" s="2" t="str">
        <f>_xlfn.XLOOKUP(Table1[[#This Row],[Customer_ID]],Customer_Dim!$A$2:$A$501,Customer_Dim!$E$2:$E$501)</f>
        <v>Kathleenport</v>
      </c>
      <c r="H2" t="s">
        <v>1258</v>
      </c>
      <c r="I2" t="str">
        <f>VLOOKUP(Table1[[#This Row],[Product_ID]],Product_Dim!$A$2:$G$101,2,FALSE)</f>
        <v>Cricket Bat-Sports</v>
      </c>
      <c r="J2" t="s">
        <v>1717</v>
      </c>
      <c r="K2" t="str">
        <f>VLOOKUP(Table1[[#This Row],[Store_ID]],Store_Dim!$A$3:$D$22,2,FALSE)</f>
        <v>Johnson-Wright-North</v>
      </c>
      <c r="L2" t="s">
        <v>1733</v>
      </c>
      <c r="M2">
        <v>1</v>
      </c>
      <c r="N2" s="3">
        <v>218.04</v>
      </c>
      <c r="O2" s="4">
        <v>0.09</v>
      </c>
      <c r="P2" t="s">
        <v>1772</v>
      </c>
      <c r="Q2" s="4">
        <v>198.41640000000001</v>
      </c>
    </row>
    <row r="3" spans="1:25" x14ac:dyDescent="0.3">
      <c r="A3" t="s">
        <v>1773</v>
      </c>
      <c r="B3" t="str">
        <f t="shared" si="0"/>
        <v>Q4</v>
      </c>
      <c r="C3" t="str">
        <f>TEXT(Table1[[#This Row],[Order_Date]],"mmmm")</f>
        <v>December</v>
      </c>
      <c r="D3">
        <f>YEAR(Table1[[#This Row],[Order_Date]])</f>
        <v>2023</v>
      </c>
      <c r="E3" s="7">
        <v>45285</v>
      </c>
      <c r="F3" s="2" t="str">
        <f>VLOOKUP(Table1[[#This Row],[Customer_ID]],Customer_Dim!$A$2:$H$501,2,FALSE)</f>
        <v>Michael Foley</v>
      </c>
      <c r="G3" s="2" t="str">
        <f>_xlfn.XLOOKUP(Table1[[#This Row],[Customer_ID]],Customer_Dim!$A$2:$A$501,Customer_Dim!$E$2:$E$501)</f>
        <v>Oneillfurt</v>
      </c>
      <c r="H3" t="s">
        <v>1424</v>
      </c>
      <c r="I3" t="str">
        <f>VLOOKUP(Table1[[#This Row],[Product_ID]],Product_Dim!$A$2:$G$101,2,FALSE)</f>
        <v>Bluetooth Car Audio System-Electronics</v>
      </c>
      <c r="J3" t="s">
        <v>1671</v>
      </c>
      <c r="K3" t="str">
        <f>VLOOKUP(Table1[[#This Row],[Store_ID]],Store_Dim!$A$3:$D$22,2,FALSE)</f>
        <v>Holloway Ltd-North</v>
      </c>
      <c r="L3" t="s">
        <v>1759</v>
      </c>
      <c r="M3">
        <v>1</v>
      </c>
      <c r="N3" s="3">
        <v>104.47</v>
      </c>
      <c r="O3" s="4">
        <v>0.27</v>
      </c>
      <c r="P3" t="s">
        <v>1774</v>
      </c>
      <c r="Q3" s="4">
        <v>228.7893</v>
      </c>
      <c r="V3" t="s">
        <v>3961</v>
      </c>
      <c r="W3" s="4">
        <f>SUM(Q2:Q2001)</f>
        <v>2175265.0085773687</v>
      </c>
    </row>
    <row r="4" spans="1:25" x14ac:dyDescent="0.3">
      <c r="A4" t="s">
        <v>1775</v>
      </c>
      <c r="B4" t="str">
        <f t="shared" si="0"/>
        <v>Q2</v>
      </c>
      <c r="C4" t="str">
        <f>TEXT(Table1[[#This Row],[Order_Date]],"mmmm")</f>
        <v>June</v>
      </c>
      <c r="D4">
        <f>YEAR(Table1[[#This Row],[Order_Date]])</f>
        <v>2024</v>
      </c>
      <c r="E4" s="7">
        <v>45446</v>
      </c>
      <c r="F4" s="2" t="str">
        <f>VLOOKUP(Table1[[#This Row],[Customer_ID]],Customer_Dim!$A$2:$H$501,2,FALSE)</f>
        <v>Christopher Sutton</v>
      </c>
      <c r="G4" s="2" t="str">
        <f>_xlfn.XLOOKUP(Table1[[#This Row],[Customer_ID]],Customer_Dim!$A$2:$A$501,Customer_Dim!$E$2:$E$501)</f>
        <v>Deborahberg</v>
      </c>
      <c r="H4" t="s">
        <v>208</v>
      </c>
      <c r="I4" t="str">
        <f>VLOOKUP(Table1[[#This Row],[Product_ID]],Product_Dim!$A$2:$G$101,2,FALSE)</f>
        <v>Men's Roll-On Perfume-Beauty</v>
      </c>
      <c r="J4" t="s">
        <v>1621</v>
      </c>
      <c r="K4" t="str">
        <f>VLOOKUP(Table1[[#This Row],[Store_ID]],Store_Dim!$A$3:$D$22,2,FALSE)</f>
        <v>Bean, Jones and Park-West</v>
      </c>
      <c r="L4" t="s">
        <v>1744</v>
      </c>
      <c r="M4">
        <v>1</v>
      </c>
      <c r="N4" s="3">
        <v>914.05</v>
      </c>
      <c r="O4" s="4">
        <v>0.25</v>
      </c>
      <c r="P4" t="s">
        <v>1772</v>
      </c>
      <c r="Q4" s="4">
        <v>2742.15</v>
      </c>
      <c r="V4" t="s">
        <v>3962</v>
      </c>
      <c r="W4">
        <f>W3/2000</f>
        <v>1087.6325042886842</v>
      </c>
    </row>
    <row r="5" spans="1:25" ht="15" thickBot="1" x14ac:dyDescent="0.35">
      <c r="A5" t="s">
        <v>1776</v>
      </c>
      <c r="B5" t="str">
        <f t="shared" si="0"/>
        <v>Q4</v>
      </c>
      <c r="C5" t="str">
        <f>TEXT(Table1[[#This Row],[Order_Date]],"mmmm")</f>
        <v>November</v>
      </c>
      <c r="D5">
        <f>YEAR(Table1[[#This Row],[Order_Date]])</f>
        <v>2023</v>
      </c>
      <c r="E5" s="7">
        <v>45259</v>
      </c>
      <c r="F5" s="2" t="str">
        <f>VLOOKUP(Table1[[#This Row],[Customer_ID]],Customer_Dim!$A$2:$H$501,2,FALSE)</f>
        <v>John Jordan</v>
      </c>
      <c r="G5" s="2" t="str">
        <f>_xlfn.XLOOKUP(Table1[[#This Row],[Customer_ID]],Customer_Dim!$A$2:$A$501,Customer_Dim!$E$2:$E$501)</f>
        <v>Port Crystalberg</v>
      </c>
      <c r="H5" t="s">
        <v>1075</v>
      </c>
      <c r="I5" t="str">
        <f>VLOOKUP(Table1[[#This Row],[Product_ID]],Product_Dim!$A$2:$G$101,2,FALSE)</f>
        <v>Wireless Mouse-Electronics</v>
      </c>
      <c r="J5" t="s">
        <v>1675</v>
      </c>
      <c r="K5" t="str">
        <f>VLOOKUP(Table1[[#This Row],[Store_ID]],Store_Dim!$A$3:$D$22,2,FALSE)</f>
        <v>Bean, Jones and Park-West</v>
      </c>
      <c r="L5" t="s">
        <v>1744</v>
      </c>
      <c r="M5">
        <v>1</v>
      </c>
      <c r="N5" s="3">
        <v>921.51</v>
      </c>
      <c r="O5" s="4">
        <v>0.16</v>
      </c>
      <c r="P5" t="s">
        <v>1777</v>
      </c>
      <c r="Q5" s="4">
        <v>774.0684</v>
      </c>
    </row>
    <row r="6" spans="1:25" x14ac:dyDescent="0.3">
      <c r="A6" t="s">
        <v>1778</v>
      </c>
      <c r="B6" t="str">
        <f t="shared" si="0"/>
        <v>Q1</v>
      </c>
      <c r="C6" t="str">
        <f>TEXT(Table1[[#This Row],[Order_Date]],"mmmm")</f>
        <v>January</v>
      </c>
      <c r="D6">
        <f>YEAR(Table1[[#This Row],[Order_Date]])</f>
        <v>2024</v>
      </c>
      <c r="E6" s="7">
        <v>45297</v>
      </c>
      <c r="F6" s="2" t="str">
        <f>VLOOKUP(Table1[[#This Row],[Customer_ID]],Customer_Dim!$A$2:$H$501,2,FALSE)</f>
        <v>Amanda Powell</v>
      </c>
      <c r="G6" s="2" t="str">
        <f>_xlfn.XLOOKUP(Table1[[#This Row],[Customer_ID]],Customer_Dim!$A$2:$A$501,Customer_Dim!$E$2:$E$501)</f>
        <v>South William</v>
      </c>
      <c r="H6" t="s">
        <v>1499</v>
      </c>
      <c r="I6" t="str">
        <f>VLOOKUP(Table1[[#This Row],[Product_ID]],Product_Dim!$A$2:$G$101,2,FALSE)</f>
        <v>Men's Hair Styling Gel-Beauty</v>
      </c>
      <c r="J6" t="s">
        <v>1641</v>
      </c>
      <c r="K6" t="str">
        <f>VLOOKUP(Table1[[#This Row],[Store_ID]],Store_Dim!$A$3:$D$22,2,FALSE)</f>
        <v>Gray Ltd-North</v>
      </c>
      <c r="L6" t="s">
        <v>1738</v>
      </c>
      <c r="M6">
        <v>1</v>
      </c>
      <c r="N6" s="3">
        <v>745.3</v>
      </c>
      <c r="O6" s="4">
        <v>0.18</v>
      </c>
      <c r="P6" t="s">
        <v>1772</v>
      </c>
      <c r="Q6" s="4">
        <v>1833.4380000000001</v>
      </c>
      <c r="V6" t="s">
        <v>4022</v>
      </c>
      <c r="W6" s="9"/>
      <c r="X6" s="9"/>
    </row>
    <row r="7" spans="1:25" x14ac:dyDescent="0.3">
      <c r="A7" t="s">
        <v>1779</v>
      </c>
      <c r="B7" t="str">
        <f t="shared" si="0"/>
        <v>Q3</v>
      </c>
      <c r="C7" t="str">
        <f>TEXT(Table1[[#This Row],[Order_Date]],"mmmm")</f>
        <v>July</v>
      </c>
      <c r="D7">
        <f>YEAR(Table1[[#This Row],[Order_Date]])</f>
        <v>2024</v>
      </c>
      <c r="E7" s="7">
        <v>45499</v>
      </c>
      <c r="F7" s="2" t="str">
        <f>VLOOKUP(Table1[[#This Row],[Customer_ID]],Customer_Dim!$A$2:$H$501,2,FALSE)</f>
        <v>Anthony Phillips</v>
      </c>
      <c r="G7" s="2" t="str">
        <f>_xlfn.XLOOKUP(Table1[[#This Row],[Customer_ID]],Customer_Dim!$A$2:$A$501,Customer_Dim!$E$2:$E$501)</f>
        <v>North Davidport</v>
      </c>
      <c r="H7" t="s">
        <v>400</v>
      </c>
      <c r="I7" t="str">
        <f>VLOOKUP(Table1[[#This Row],[Product_ID]],Product_Dim!$A$2:$G$101,2,FALSE)</f>
        <v>4K Home Projector-Electronics</v>
      </c>
      <c r="J7" t="s">
        <v>1553</v>
      </c>
      <c r="K7" t="str">
        <f>VLOOKUP(Table1[[#This Row],[Store_ID]],Store_Dim!$A$3:$D$22,2,FALSE)</f>
        <v>Martinez-Mullins-South</v>
      </c>
      <c r="L7" t="s">
        <v>1742</v>
      </c>
      <c r="M7">
        <v>1</v>
      </c>
      <c r="N7" s="3">
        <v>147.01</v>
      </c>
      <c r="O7" s="4">
        <v>0.19</v>
      </c>
      <c r="P7" t="s">
        <v>1777</v>
      </c>
      <c r="Q7" s="4">
        <v>357.23430000000002</v>
      </c>
    </row>
    <row r="8" spans="1:25" x14ac:dyDescent="0.3">
      <c r="A8" t="s">
        <v>1780</v>
      </c>
      <c r="B8" t="str">
        <f t="shared" si="0"/>
        <v>Q3</v>
      </c>
      <c r="C8" t="str">
        <f>TEXT(Table1[[#This Row],[Order_Date]],"mmmm")</f>
        <v>July</v>
      </c>
      <c r="D8">
        <f>YEAR(Table1[[#This Row],[Order_Date]])</f>
        <v>2025</v>
      </c>
      <c r="E8" s="7">
        <v>45850</v>
      </c>
      <c r="F8" s="2" t="str">
        <f>VLOOKUP(Table1[[#This Row],[Customer_ID]],Customer_Dim!$A$2:$H$501,2,FALSE)</f>
        <v>John Scott</v>
      </c>
      <c r="G8" s="2" t="str">
        <f>_xlfn.XLOOKUP(Table1[[#This Row],[Customer_ID]],Customer_Dim!$A$2:$A$501,Customer_Dim!$E$2:$E$501)</f>
        <v>South Christopher</v>
      </c>
      <c r="H8" t="s">
        <v>75</v>
      </c>
      <c r="I8" t="str">
        <f>VLOOKUP(Table1[[#This Row],[Product_ID]],Product_Dim!$A$2:$G$101,2,FALSE)</f>
        <v>Premium Blanket Throw-Home</v>
      </c>
      <c r="J8" t="s">
        <v>1635</v>
      </c>
      <c r="K8" t="str">
        <f>VLOOKUP(Table1[[#This Row],[Store_ID]],Store_Dim!$A$3:$D$22,2,FALSE)</f>
        <v>Alexander Group-South</v>
      </c>
      <c r="L8" t="s">
        <v>1735</v>
      </c>
      <c r="M8">
        <v>1</v>
      </c>
      <c r="N8" s="3">
        <v>785.31</v>
      </c>
      <c r="O8" s="4">
        <v>0.15</v>
      </c>
      <c r="P8" t="s">
        <v>1774</v>
      </c>
      <c r="Q8" s="4">
        <v>1335.027</v>
      </c>
      <c r="W8" t="s">
        <v>3963</v>
      </c>
      <c r="X8">
        <v>1088.0773347560623</v>
      </c>
    </row>
    <row r="9" spans="1:25" x14ac:dyDescent="0.3">
      <c r="A9" t="s">
        <v>1781</v>
      </c>
      <c r="B9" t="str">
        <f t="shared" si="0"/>
        <v>Q4</v>
      </c>
      <c r="C9" t="str">
        <f>TEXT(Table1[[#This Row],[Order_Date]],"mmmm")</f>
        <v>November</v>
      </c>
      <c r="D9">
        <f>YEAR(Table1[[#This Row],[Order_Date]])</f>
        <v>2023</v>
      </c>
      <c r="E9" s="7">
        <v>45248</v>
      </c>
      <c r="F9" s="2" t="str">
        <f>VLOOKUP(Table1[[#This Row],[Customer_ID]],Customer_Dim!$A$2:$H$501,2,FALSE)</f>
        <v>Patrick Roberts</v>
      </c>
      <c r="G9" s="2" t="str">
        <f>_xlfn.XLOOKUP(Table1[[#This Row],[Customer_ID]],Customer_Dim!$A$2:$A$501,Customer_Dim!$E$2:$E$501)</f>
        <v>Jaredville</v>
      </c>
      <c r="H9" t="s">
        <v>506</v>
      </c>
      <c r="I9" t="str">
        <f>VLOOKUP(Table1[[#This Row],[Product_ID]],Product_Dim!$A$2:$G$101,2,FALSE)</f>
        <v>Kitchen Storage Rack-Home</v>
      </c>
      <c r="J9" t="s">
        <v>1663</v>
      </c>
      <c r="K9" t="str">
        <f>VLOOKUP(Table1[[#This Row],[Store_ID]],Store_Dim!$A$3:$D$22,2,FALSE)</f>
        <v>Bean, Jones and Park-West</v>
      </c>
      <c r="L9" t="s">
        <v>1744</v>
      </c>
      <c r="M9">
        <v>1</v>
      </c>
      <c r="N9" s="3">
        <v>342.39</v>
      </c>
      <c r="O9" s="4">
        <v>0.23</v>
      </c>
      <c r="P9" t="s">
        <v>1774</v>
      </c>
      <c r="Q9" s="4">
        <v>1054.5612000000001</v>
      </c>
      <c r="W9" t="s">
        <v>3964</v>
      </c>
      <c r="X9">
        <v>18.323975831180409</v>
      </c>
    </row>
    <row r="10" spans="1:25" x14ac:dyDescent="0.3">
      <c r="A10" t="s">
        <v>1782</v>
      </c>
      <c r="B10" t="str">
        <f t="shared" si="0"/>
        <v>Q2</v>
      </c>
      <c r="C10" t="str">
        <f>TEXT(Table1[[#This Row],[Order_Date]],"mmmm")</f>
        <v>May</v>
      </c>
      <c r="D10">
        <f>YEAR(Table1[[#This Row],[Order_Date]])</f>
        <v>2025</v>
      </c>
      <c r="E10" s="7">
        <v>45781</v>
      </c>
      <c r="F10" s="2" t="str">
        <f>VLOOKUP(Table1[[#This Row],[Customer_ID]],Customer_Dim!$A$2:$H$501,2,FALSE)</f>
        <v>Dr. Suzanne Bullock</v>
      </c>
      <c r="G10" s="2" t="str">
        <f>_xlfn.XLOOKUP(Table1[[#This Row],[Customer_ID]],Customer_Dim!$A$2:$A$501,Customer_Dim!$E$2:$E$501)</f>
        <v>Lake Blaketon</v>
      </c>
      <c r="H10" t="s">
        <v>610</v>
      </c>
      <c r="I10" t="str">
        <f>VLOOKUP(Table1[[#This Row],[Product_ID]],Product_Dim!$A$2:$G$101,2,FALSE)</f>
        <v>Stainless Steel Cookware Set-Home</v>
      </c>
      <c r="J10" t="s">
        <v>1721</v>
      </c>
      <c r="K10" t="str">
        <f>VLOOKUP(Table1[[#This Row],[Store_ID]],Store_Dim!$A$3:$D$22,2,FALSE)</f>
        <v>Gray Ltd-North</v>
      </c>
      <c r="L10" t="s">
        <v>1738</v>
      </c>
      <c r="M10">
        <v>1</v>
      </c>
      <c r="N10" s="3">
        <v>448.25</v>
      </c>
      <c r="O10" s="4">
        <v>7.0000000000000007E-2</v>
      </c>
      <c r="P10" t="s">
        <v>1774</v>
      </c>
      <c r="Q10" s="4">
        <v>1250.6175000000001</v>
      </c>
      <c r="W10" t="s">
        <v>3965</v>
      </c>
      <c r="X10">
        <v>871.41929999999991</v>
      </c>
    </row>
    <row r="11" spans="1:25" x14ac:dyDescent="0.3">
      <c r="A11" t="s">
        <v>1783</v>
      </c>
      <c r="B11" t="str">
        <f t="shared" si="0"/>
        <v>Q3</v>
      </c>
      <c r="C11" t="str">
        <f>TEXT(Table1[[#This Row],[Order_Date]],"mmmm")</f>
        <v>July</v>
      </c>
      <c r="D11">
        <f>YEAR(Table1[[#This Row],[Order_Date]])</f>
        <v>2025</v>
      </c>
      <c r="E11" s="7">
        <v>45869</v>
      </c>
      <c r="F11" s="2" t="s">
        <v>3826</v>
      </c>
      <c r="G11" s="2" t="s">
        <v>3826</v>
      </c>
      <c r="H11" t="s">
        <v>1415</v>
      </c>
      <c r="I11" t="str">
        <f>VLOOKUP(Table1[[#This Row],[Product_ID]],Product_Dim!$A$2:$G$101,2,FALSE)</f>
        <v>Modern Wall Clock-Home</v>
      </c>
      <c r="J11" t="s">
        <v>1589</v>
      </c>
      <c r="K11" t="str">
        <f>VLOOKUP(Table1[[#This Row],[Store_ID]],Store_Dim!$A$3:$D$22,2,FALSE)</f>
        <v>Rivera-Warner-East</v>
      </c>
      <c r="L11" t="s">
        <v>1725</v>
      </c>
      <c r="M11">
        <v>1</v>
      </c>
      <c r="N11" s="3">
        <v>873.17</v>
      </c>
      <c r="O11" s="4">
        <v>0.23</v>
      </c>
      <c r="P11" t="s">
        <v>1774</v>
      </c>
      <c r="Q11" s="4">
        <v>1344.6818000000001</v>
      </c>
      <c r="W11" t="s">
        <v>3966</v>
      </c>
      <c r="X11" t="e">
        <v>#N/A</v>
      </c>
    </row>
    <row r="12" spans="1:25" x14ac:dyDescent="0.3">
      <c r="A12" t="s">
        <v>1784</v>
      </c>
      <c r="B12" t="str">
        <f t="shared" si="0"/>
        <v>Q1</v>
      </c>
      <c r="C12" t="str">
        <f>TEXT(Table1[[#This Row],[Order_Date]],"mmmm")</f>
        <v>February</v>
      </c>
      <c r="D12">
        <f>YEAR(Table1[[#This Row],[Order_Date]])</f>
        <v>2024</v>
      </c>
      <c r="E12" s="7">
        <v>45335</v>
      </c>
      <c r="F12" s="2" t="str">
        <f>VLOOKUP(Table1[[#This Row],[Customer_ID]],Customer_Dim!$A$2:$H$501,2,FALSE)</f>
        <v>Michael Thomas</v>
      </c>
      <c r="G12" s="2" t="str">
        <f>_xlfn.XLOOKUP(Table1[[#This Row],[Customer_ID]],Customer_Dim!$A$2:$A$501,Customer_Dim!$E$2:$E$501)</f>
        <v>Woodmouth</v>
      </c>
      <c r="H12" t="s">
        <v>238</v>
      </c>
      <c r="I12" t="str">
        <f>VLOOKUP(Table1[[#This Row],[Product_ID]],Product_Dim!$A$2:$G$101,2,FALSE)</f>
        <v>Foldable Camping Chair-Sports</v>
      </c>
      <c r="J12" t="s">
        <v>1571</v>
      </c>
      <c r="K12" t="str">
        <f>VLOOKUP(Table1[[#This Row],[Store_ID]],Store_Dim!$A$3:$D$22,2,FALSE)</f>
        <v>Mcdonald Inc-South</v>
      </c>
      <c r="L12" t="s">
        <v>1754</v>
      </c>
      <c r="M12">
        <v>1</v>
      </c>
      <c r="N12" s="3">
        <v>278.63</v>
      </c>
      <c r="O12" s="4">
        <v>7.0000000000000007E-2</v>
      </c>
      <c r="P12" t="s">
        <v>1772</v>
      </c>
      <c r="Q12" s="4">
        <v>259.1259</v>
      </c>
      <c r="W12" t="s">
        <v>3967</v>
      </c>
      <c r="X12">
        <v>819.26821763883038</v>
      </c>
    </row>
    <row r="13" spans="1:25" x14ac:dyDescent="0.3">
      <c r="A13" t="s">
        <v>1785</v>
      </c>
      <c r="B13" t="str">
        <f t="shared" si="0"/>
        <v>Q2</v>
      </c>
      <c r="C13" t="str">
        <f>TEXT(Table1[[#This Row],[Order_Date]],"mmmm")</f>
        <v>May</v>
      </c>
      <c r="D13">
        <f>YEAR(Table1[[#This Row],[Order_Date]])</f>
        <v>2025</v>
      </c>
      <c r="E13" s="7">
        <v>45801</v>
      </c>
      <c r="F13" s="2" t="str">
        <f>VLOOKUP(Table1[[#This Row],[Customer_ID]],Customer_Dim!$A$2:$H$501,2,FALSE)</f>
        <v>Jessica Gonzalez</v>
      </c>
      <c r="G13" s="2" t="str">
        <f>_xlfn.XLOOKUP(Table1[[#This Row],[Customer_ID]],Customer_Dim!$A$2:$A$501,Customer_Dim!$E$2:$E$501)</f>
        <v>South Darrenland</v>
      </c>
      <c r="H13" t="s">
        <v>998</v>
      </c>
      <c r="I13" t="str">
        <f>VLOOKUP(Table1[[#This Row],[Product_ID]],Product_Dim!$A$2:$G$101,2,FALSE)</f>
        <v>Portable Power Bank-Electronics</v>
      </c>
      <c r="J13" t="s">
        <v>1601</v>
      </c>
      <c r="K13" t="str">
        <f>VLOOKUP(Table1[[#This Row],[Store_ID]],Store_Dim!$A$3:$D$22,2,FALSE)</f>
        <v>Martinez, Adkins and Johnson-North</v>
      </c>
      <c r="L13" t="s">
        <v>1728</v>
      </c>
      <c r="M13">
        <v>1</v>
      </c>
      <c r="N13" s="3">
        <v>286.92</v>
      </c>
      <c r="O13" s="4">
        <v>0.17</v>
      </c>
      <c r="P13" t="s">
        <v>1772</v>
      </c>
      <c r="Q13" s="4">
        <v>952.57439999999997</v>
      </c>
      <c r="W13" t="s">
        <v>3968</v>
      </c>
      <c r="X13">
        <v>671200.41243310587</v>
      </c>
    </row>
    <row r="14" spans="1:25" x14ac:dyDescent="0.3">
      <c r="A14" t="s">
        <v>1786</v>
      </c>
      <c r="B14" t="str">
        <f t="shared" si="0"/>
        <v>Q3</v>
      </c>
      <c r="C14" t="str">
        <f>TEXT(Table1[[#This Row],[Order_Date]],"mmmm")</f>
        <v>August</v>
      </c>
      <c r="D14">
        <f>YEAR(Table1[[#This Row],[Order_Date]])</f>
        <v>2024</v>
      </c>
      <c r="E14" s="7">
        <v>45528</v>
      </c>
      <c r="F14" s="2" t="str">
        <f>VLOOKUP(Table1[[#This Row],[Customer_ID]],Customer_Dim!$A$2:$H$501,2,FALSE)</f>
        <v>Wesley Short</v>
      </c>
      <c r="G14" s="2" t="str">
        <f>_xlfn.XLOOKUP(Table1[[#This Row],[Customer_ID]],Customer_Dim!$A$2:$A$501,Customer_Dim!$E$2:$E$501)</f>
        <v>Susanstad</v>
      </c>
      <c r="H14" t="s">
        <v>755</v>
      </c>
      <c r="I14" t="str">
        <f>VLOOKUP(Table1[[#This Row],[Product_ID]],Product_Dim!$A$2:$G$101,2,FALSE)</f>
        <v>Sports Wrist Sweatbands-Sports</v>
      </c>
      <c r="J14" t="s">
        <v>1699</v>
      </c>
      <c r="K14" t="str">
        <f>VLOOKUP(Table1[[#This Row],[Store_ID]],Store_Dim!$A$3:$D$22,2,FALSE)</f>
        <v>Alexander Group-South</v>
      </c>
      <c r="L14" t="s">
        <v>1735</v>
      </c>
      <c r="M14">
        <v>1</v>
      </c>
      <c r="N14" s="3">
        <v>644.58000000000004</v>
      </c>
      <c r="O14" s="4">
        <v>0.01</v>
      </c>
      <c r="P14" t="s">
        <v>1772</v>
      </c>
      <c r="Q14" s="4">
        <v>2552.5367999999999</v>
      </c>
      <c r="W14" t="s">
        <v>3969</v>
      </c>
      <c r="X14">
        <v>4.7375244982066356E-2</v>
      </c>
      <c r="Y14" t="s">
        <v>3976</v>
      </c>
    </row>
    <row r="15" spans="1:25" x14ac:dyDescent="0.3">
      <c r="A15" t="s">
        <v>1787</v>
      </c>
      <c r="B15" t="str">
        <f t="shared" si="0"/>
        <v>Q3</v>
      </c>
      <c r="C15" t="str">
        <f>TEXT(Table1[[#This Row],[Order_Date]],"mmmm")</f>
        <v>August</v>
      </c>
      <c r="D15">
        <f>YEAR(Table1[[#This Row],[Order_Date]])</f>
        <v>2025</v>
      </c>
      <c r="E15" s="7">
        <v>45875</v>
      </c>
      <c r="F15" s="2" t="str">
        <f>VLOOKUP(Table1[[#This Row],[Customer_ID]],Customer_Dim!$A$2:$H$501,2,FALSE)</f>
        <v>Adam Castro</v>
      </c>
      <c r="G15" s="2" t="str">
        <f>_xlfn.XLOOKUP(Table1[[#This Row],[Customer_ID]],Customer_Dim!$A$2:$A$501,Customer_Dim!$E$2:$E$501)</f>
        <v>New Donnabury</v>
      </c>
      <c r="H15" t="s">
        <v>1355</v>
      </c>
      <c r="I15" t="str">
        <f>VLOOKUP(Table1[[#This Row],[Product_ID]],Product_Dim!$A$2:$G$101,2,FALSE)</f>
        <v>Gaming Mechanical Keyboard-Electronics</v>
      </c>
      <c r="J15" t="s">
        <v>1591</v>
      </c>
      <c r="K15" t="str">
        <f>VLOOKUP(Table1[[#This Row],[Store_ID]],Store_Dim!$A$3:$D$22,2,FALSE)</f>
        <v>Frederick-Wright-West</v>
      </c>
      <c r="L15" t="s">
        <v>1757</v>
      </c>
      <c r="M15">
        <v>1</v>
      </c>
      <c r="N15" s="3">
        <v>316.89999999999998</v>
      </c>
      <c r="O15" s="4">
        <v>0.3</v>
      </c>
      <c r="P15" t="s">
        <v>1774</v>
      </c>
      <c r="Q15" s="4">
        <v>443.66</v>
      </c>
      <c r="W15" t="s">
        <v>3970</v>
      </c>
      <c r="X15">
        <v>0.8786738999892808</v>
      </c>
      <c r="Y15" t="s">
        <v>3975</v>
      </c>
    </row>
    <row r="16" spans="1:25" x14ac:dyDescent="0.3">
      <c r="A16" t="s">
        <v>1788</v>
      </c>
      <c r="B16" t="str">
        <f t="shared" si="0"/>
        <v>Q2</v>
      </c>
      <c r="C16" t="str">
        <f>TEXT(Table1[[#This Row],[Order_Date]],"mmmm")</f>
        <v>June</v>
      </c>
      <c r="D16">
        <f>YEAR(Table1[[#This Row],[Order_Date]])</f>
        <v>2025</v>
      </c>
      <c r="E16" s="7">
        <v>45829</v>
      </c>
      <c r="F16" s="2" t="str">
        <f>VLOOKUP(Table1[[#This Row],[Customer_ID]],Customer_Dim!$A$2:$H$501,2,FALSE)</f>
        <v>Sherry Cabrera</v>
      </c>
      <c r="G16" s="2" t="str">
        <f>_xlfn.XLOOKUP(Table1[[#This Row],[Customer_ID]],Customer_Dim!$A$2:$A$501,Customer_Dim!$E$2:$E$501)</f>
        <v>Shannonview</v>
      </c>
      <c r="H16" t="s">
        <v>1080</v>
      </c>
      <c r="I16" t="str">
        <f>VLOOKUP(Table1[[#This Row],[Product_ID]],Product_Dim!$A$2:$G$101,2,FALSE)</f>
        <v>Foldable Camping Chair-Sports</v>
      </c>
      <c r="J16" t="s">
        <v>1571</v>
      </c>
      <c r="K16" t="str">
        <f>VLOOKUP(Table1[[#This Row],[Store_ID]],Store_Dim!$A$3:$D$22,2,FALSE)</f>
        <v>Shelton PLC-North</v>
      </c>
      <c r="L16" t="s">
        <v>1755</v>
      </c>
      <c r="M16">
        <v>1</v>
      </c>
      <c r="N16" s="3">
        <v>403.47</v>
      </c>
      <c r="O16" s="4">
        <v>0.28999999999999998</v>
      </c>
      <c r="P16" t="s">
        <v>1774</v>
      </c>
      <c r="Q16" s="4">
        <v>1145.8548000000001</v>
      </c>
      <c r="W16" t="s">
        <v>3971</v>
      </c>
      <c r="X16">
        <v>3889.7838000000002</v>
      </c>
    </row>
    <row r="17" spans="1:24" x14ac:dyDescent="0.3">
      <c r="A17" t="s">
        <v>1789</v>
      </c>
      <c r="B17" t="str">
        <f t="shared" si="0"/>
        <v>Q4</v>
      </c>
      <c r="C17" t="str">
        <f>TEXT(Table1[[#This Row],[Order_Date]],"mmmm")</f>
        <v>December</v>
      </c>
      <c r="D17">
        <f>YEAR(Table1[[#This Row],[Order_Date]])</f>
        <v>2024</v>
      </c>
      <c r="E17" s="7">
        <v>45636</v>
      </c>
      <c r="F17" s="2" t="str">
        <f>VLOOKUP(Table1[[#This Row],[Customer_ID]],Customer_Dim!$A$2:$H$501,2,FALSE)</f>
        <v>Lindsay Beasley</v>
      </c>
      <c r="G17" s="2" t="str">
        <f>_xlfn.XLOOKUP(Table1[[#This Row],[Customer_ID]],Customer_Dim!$A$2:$A$501,Customer_Dim!$E$2:$E$501)</f>
        <v>Wesleyhaven</v>
      </c>
      <c r="H17" t="s">
        <v>1333</v>
      </c>
      <c r="I17" t="str">
        <f>VLOOKUP(Table1[[#This Row],[Product_ID]],Product_Dim!$A$2:$G$101,2,FALSE)</f>
        <v>Women's Summer Dress-Clothing</v>
      </c>
      <c r="J17" t="s">
        <v>1595</v>
      </c>
      <c r="K17" t="str">
        <f>VLOOKUP(Table1[[#This Row],[Store_ID]],Store_Dim!$A$3:$D$22,2,FALSE)</f>
        <v>Moore, Padilla and Butler-South</v>
      </c>
      <c r="L17" t="s">
        <v>1746</v>
      </c>
      <c r="M17">
        <v>1</v>
      </c>
      <c r="N17" s="3">
        <v>871.34</v>
      </c>
      <c r="O17" s="4">
        <v>0.04</v>
      </c>
      <c r="P17" t="s">
        <v>1777</v>
      </c>
      <c r="Q17" s="4">
        <v>2509.4591999999998</v>
      </c>
      <c r="W17" t="s">
        <v>3972</v>
      </c>
      <c r="X17">
        <v>18.459</v>
      </c>
    </row>
    <row r="18" spans="1:24" x14ac:dyDescent="0.3">
      <c r="A18" t="s">
        <v>1790</v>
      </c>
      <c r="B18" t="str">
        <f t="shared" si="0"/>
        <v>Q3</v>
      </c>
      <c r="C18" t="str">
        <f>TEXT(Table1[[#This Row],[Order_Date]],"mmmm")</f>
        <v>September</v>
      </c>
      <c r="D18">
        <f>YEAR(Table1[[#This Row],[Order_Date]])</f>
        <v>2025</v>
      </c>
      <c r="E18" s="7">
        <v>45913</v>
      </c>
      <c r="F18" s="2" t="str">
        <f>VLOOKUP(Table1[[#This Row],[Customer_ID]],Customer_Dim!$A$2:$H$501,2,FALSE)</f>
        <v>Arthur Warren</v>
      </c>
      <c r="G18" s="2" t="str">
        <f>_xlfn.XLOOKUP(Table1[[#This Row],[Customer_ID]],Customer_Dim!$A$2:$A$501,Customer_Dim!$E$2:$E$501)</f>
        <v>Ericshire</v>
      </c>
      <c r="H18" t="s">
        <v>870</v>
      </c>
      <c r="I18" t="str">
        <f>VLOOKUP(Table1[[#This Row],[Product_ID]],Product_Dim!$A$2:$G$101,2,FALSE)</f>
        <v>Adjustable Dumbbells 20kg-Sports</v>
      </c>
      <c r="J18" t="s">
        <v>1653</v>
      </c>
      <c r="K18" t="str">
        <f>VLOOKUP(Table1[[#This Row],[Store_ID]],Store_Dim!$A$3:$D$22,2,FALSE)</f>
        <v>Mann-Austin-East</v>
      </c>
      <c r="L18" t="s">
        <v>1763</v>
      </c>
      <c r="M18">
        <v>1</v>
      </c>
      <c r="N18" s="3">
        <v>451.98</v>
      </c>
      <c r="O18" s="4">
        <v>0.25</v>
      </c>
      <c r="P18" t="s">
        <v>1772</v>
      </c>
      <c r="Q18" s="4">
        <v>677.97</v>
      </c>
      <c r="W18" t="s">
        <v>3973</v>
      </c>
      <c r="X18">
        <v>3908.2428</v>
      </c>
    </row>
    <row r="19" spans="1:24" x14ac:dyDescent="0.3">
      <c r="A19" t="s">
        <v>1791</v>
      </c>
      <c r="B19" t="str">
        <f t="shared" si="0"/>
        <v>Q4</v>
      </c>
      <c r="C19" t="str">
        <f>TEXT(Table1[[#This Row],[Order_Date]],"mmmm")</f>
        <v>December</v>
      </c>
      <c r="D19">
        <f>YEAR(Table1[[#This Row],[Order_Date]])</f>
        <v>2024</v>
      </c>
      <c r="E19" s="7">
        <v>45637</v>
      </c>
      <c r="F19" s="2" t="str">
        <f>VLOOKUP(Table1[[#This Row],[Customer_ID]],Customer_Dim!$A$2:$H$501,2,FALSE)</f>
        <v>Molly Gardner</v>
      </c>
      <c r="G19" s="2" t="str">
        <f>_xlfn.XLOOKUP(Table1[[#This Row],[Customer_ID]],Customer_Dim!$A$2:$A$501,Customer_Dim!$E$2:$E$501)</f>
        <v>Nicoleborough</v>
      </c>
      <c r="H19" t="s">
        <v>285</v>
      </c>
      <c r="I19" t="str">
        <f>VLOOKUP(Table1[[#This Row],[Product_ID]],Product_Dim!$A$2:$G$101,2,FALSE)</f>
        <v>Decorative Floor Vase-Home</v>
      </c>
      <c r="J19" t="s">
        <v>1577</v>
      </c>
      <c r="K19" t="str">
        <f>VLOOKUP(Table1[[#This Row],[Store_ID]],Store_Dim!$A$3:$D$22,2,FALSE)</f>
        <v>Alexander Group-South</v>
      </c>
      <c r="L19" t="s">
        <v>1735</v>
      </c>
      <c r="M19">
        <v>1</v>
      </c>
      <c r="N19" s="3">
        <v>502.69</v>
      </c>
      <c r="O19" s="4">
        <v>0.23</v>
      </c>
      <c r="P19" t="s">
        <v>1772</v>
      </c>
      <c r="Q19" s="4">
        <v>774.14260000000002</v>
      </c>
      <c r="W19" t="s">
        <v>3961</v>
      </c>
      <c r="X19">
        <v>2175066.5921773687</v>
      </c>
    </row>
    <row r="20" spans="1:24" ht="15" thickBot="1" x14ac:dyDescent="0.35">
      <c r="A20" t="s">
        <v>1792</v>
      </c>
      <c r="B20" t="str">
        <f t="shared" si="0"/>
        <v>Q3</v>
      </c>
      <c r="C20" t="str">
        <f>TEXT(Table1[[#This Row],[Order_Date]],"mmmm")</f>
        <v>August</v>
      </c>
      <c r="D20">
        <f>YEAR(Table1[[#This Row],[Order_Date]])</f>
        <v>2024</v>
      </c>
      <c r="E20" s="7">
        <v>45517</v>
      </c>
      <c r="F20" s="2" t="str">
        <f>VLOOKUP(Table1[[#This Row],[Customer_ID]],Customer_Dim!$A$2:$H$501,2,FALSE)</f>
        <v>David Patterson</v>
      </c>
      <c r="G20" s="2" t="str">
        <f>_xlfn.XLOOKUP(Table1[[#This Row],[Customer_ID]],Customer_Dim!$A$2:$A$501,Customer_Dim!$E$2:$E$501)</f>
        <v>New Amyport</v>
      </c>
      <c r="H20" t="s">
        <v>333</v>
      </c>
      <c r="I20" t="str">
        <f>VLOOKUP(Table1[[#This Row],[Product_ID]],Product_Dim!$A$2:$G$101,2,FALSE)</f>
        <v>Portable Power Bank-Electronics</v>
      </c>
      <c r="J20" t="s">
        <v>1601</v>
      </c>
      <c r="K20" t="str">
        <f>VLOOKUP(Table1[[#This Row],[Store_ID]],Store_Dim!$A$3:$D$22,2,FALSE)</f>
        <v>Alexander Group-South</v>
      </c>
      <c r="L20" t="s">
        <v>1735</v>
      </c>
      <c r="M20">
        <v>1</v>
      </c>
      <c r="N20" s="3">
        <v>559.23</v>
      </c>
      <c r="O20" s="4">
        <v>0.25</v>
      </c>
      <c r="P20" t="s">
        <v>1777</v>
      </c>
      <c r="Q20" s="4">
        <v>838.84500000000003</v>
      </c>
      <c r="W20" s="8" t="s">
        <v>3974</v>
      </c>
      <c r="X20" s="8">
        <v>1999</v>
      </c>
    </row>
    <row r="21" spans="1:24" x14ac:dyDescent="0.3">
      <c r="A21" t="s">
        <v>1793</v>
      </c>
      <c r="B21" t="str">
        <f t="shared" si="0"/>
        <v>Q1</v>
      </c>
      <c r="C21" t="str">
        <f>TEXT(Table1[[#This Row],[Order_Date]],"mmmm")</f>
        <v>March</v>
      </c>
      <c r="D21">
        <f>YEAR(Table1[[#This Row],[Order_Date]])</f>
        <v>2024</v>
      </c>
      <c r="E21" s="7">
        <v>45369</v>
      </c>
      <c r="F21" s="2" t="str">
        <f>VLOOKUP(Table1[[#This Row],[Customer_ID]],Customer_Dim!$A$2:$H$501,2,FALSE)</f>
        <v>Maria Hill</v>
      </c>
      <c r="G21" s="2" t="str">
        <f>_xlfn.XLOOKUP(Table1[[#This Row],[Customer_ID]],Customer_Dim!$A$2:$A$501,Customer_Dim!$E$2:$E$501)</f>
        <v>Zamoraborough</v>
      </c>
      <c r="H21" t="s">
        <v>761</v>
      </c>
      <c r="I21" t="str">
        <f>VLOOKUP(Table1[[#This Row],[Product_ID]],Product_Dim!$A$2:$G$101,2,FALSE)</f>
        <v>Luxury Perfume Spray-Beauty</v>
      </c>
      <c r="J21" t="s">
        <v>1643</v>
      </c>
      <c r="K21" t="str">
        <f>VLOOKUP(Table1[[#This Row],[Store_ID]],Store_Dim!$A$3:$D$22,2,FALSE)</f>
        <v>Gardner, Humphrey and Contreras-East</v>
      </c>
      <c r="L21" t="s">
        <v>1753</v>
      </c>
      <c r="M21">
        <v>1</v>
      </c>
      <c r="N21" s="3">
        <v>513.95973205257826</v>
      </c>
      <c r="O21" s="4">
        <v>0.04</v>
      </c>
      <c r="P21" t="s">
        <v>1777</v>
      </c>
      <c r="Q21" s="4">
        <v>1782.4512</v>
      </c>
    </row>
    <row r="22" spans="1:24" x14ac:dyDescent="0.3">
      <c r="A22" t="s">
        <v>1794</v>
      </c>
      <c r="B22" t="str">
        <f t="shared" si="0"/>
        <v>Q3</v>
      </c>
      <c r="C22" t="str">
        <f>TEXT(Table1[[#This Row],[Order_Date]],"mmmm")</f>
        <v>July</v>
      </c>
      <c r="D22">
        <f>YEAR(Table1[[#This Row],[Order_Date]])</f>
        <v>2025</v>
      </c>
      <c r="E22" s="7">
        <v>45843</v>
      </c>
      <c r="F22" s="2" t="str">
        <f>VLOOKUP(Table1[[#This Row],[Customer_ID]],Customer_Dim!$A$2:$H$501,2,FALSE)</f>
        <v>Justin Cross</v>
      </c>
      <c r="G22" s="2" t="str">
        <f>_xlfn.XLOOKUP(Table1[[#This Row],[Customer_ID]],Customer_Dim!$A$2:$A$501,Customer_Dim!$E$2:$E$501)</f>
        <v>North Anthonychester</v>
      </c>
      <c r="H22" t="s">
        <v>482</v>
      </c>
      <c r="I22" t="str">
        <f>VLOOKUP(Table1[[#This Row],[Product_ID]],Product_Dim!$A$2:$G$101,2,FALSE)</f>
        <v>Professional Jump Rope-Sports</v>
      </c>
      <c r="J22" t="s">
        <v>1667</v>
      </c>
      <c r="K22" t="str">
        <f>VLOOKUP(Table1[[#This Row],[Store_ID]],Store_Dim!$A$3:$D$22,2,FALSE)</f>
        <v>Holloway Ltd-North</v>
      </c>
      <c r="L22" t="s">
        <v>1759</v>
      </c>
      <c r="M22">
        <v>1</v>
      </c>
      <c r="N22" s="3">
        <v>986.04</v>
      </c>
      <c r="O22" s="4">
        <v>0.27</v>
      </c>
      <c r="P22" t="s">
        <v>1777</v>
      </c>
      <c r="Q22" s="4">
        <v>2159.4276</v>
      </c>
    </row>
    <row r="23" spans="1:24" x14ac:dyDescent="0.3">
      <c r="A23" t="s">
        <v>1795</v>
      </c>
      <c r="B23" t="str">
        <f t="shared" si="0"/>
        <v>Q2</v>
      </c>
      <c r="C23" t="str">
        <f>TEXT(Table1[[#This Row],[Order_Date]],"mmmm")</f>
        <v>June</v>
      </c>
      <c r="D23">
        <f>YEAR(Table1[[#This Row],[Order_Date]])</f>
        <v>2024</v>
      </c>
      <c r="E23" s="7">
        <v>45447</v>
      </c>
      <c r="F23" s="2" t="str">
        <f>VLOOKUP(Table1[[#This Row],[Customer_ID]],Customer_Dim!$A$2:$H$501,2,FALSE)</f>
        <v>Alexander Byrd</v>
      </c>
      <c r="G23" s="2" t="str">
        <f>_xlfn.XLOOKUP(Table1[[#This Row],[Customer_ID]],Customer_Dim!$A$2:$A$501,Customer_Dim!$E$2:$E$501)</f>
        <v>Parkerview</v>
      </c>
      <c r="H23" t="s">
        <v>1222</v>
      </c>
      <c r="I23" t="str">
        <f>VLOOKUP(Table1[[#This Row],[Product_ID]],Product_Dim!$A$2:$G$101,2,FALSE)</f>
        <v>USB External Hard Drive-Electronics</v>
      </c>
      <c r="J23" t="s">
        <v>1609</v>
      </c>
      <c r="K23" t="str">
        <f>VLOOKUP(Table1[[#This Row],[Store_ID]],Store_Dim!$A$3:$D$22,2,FALSE)</f>
        <v>Guerrero-Schmitt-East</v>
      </c>
      <c r="L23" t="s">
        <v>1761</v>
      </c>
      <c r="M23">
        <v>1</v>
      </c>
      <c r="N23" s="3">
        <v>589.55999999999995</v>
      </c>
      <c r="O23" s="4">
        <v>0.22</v>
      </c>
      <c r="P23" t="s">
        <v>1772</v>
      </c>
      <c r="Q23" s="4">
        <v>459.85680000000002</v>
      </c>
    </row>
    <row r="24" spans="1:24" x14ac:dyDescent="0.3">
      <c r="A24" t="s">
        <v>1796</v>
      </c>
      <c r="B24" t="str">
        <f t="shared" si="0"/>
        <v>Q2</v>
      </c>
      <c r="C24" t="str">
        <f>TEXT(Table1[[#This Row],[Order_Date]],"mmmm")</f>
        <v>April</v>
      </c>
      <c r="D24">
        <f>YEAR(Table1[[#This Row],[Order_Date]])</f>
        <v>2024</v>
      </c>
      <c r="E24" s="7">
        <v>45394</v>
      </c>
      <c r="F24" s="2" t="str">
        <f>VLOOKUP(Table1[[#This Row],[Customer_ID]],Customer_Dim!$A$2:$H$501,2,FALSE)</f>
        <v>Elizabeth Foster</v>
      </c>
      <c r="G24" s="2" t="str">
        <f>_xlfn.XLOOKUP(Table1[[#This Row],[Customer_ID]],Customer_Dim!$A$2:$A$501,Customer_Dim!$E$2:$E$501)</f>
        <v>Anthonymouth</v>
      </c>
      <c r="H24" t="s">
        <v>1450</v>
      </c>
      <c r="I24" t="str">
        <f>VLOOKUP(Table1[[#This Row],[Product_ID]],Product_Dim!$A$2:$G$101,2,FALSE)</f>
        <v>Men's Sports Shorts-Clothing</v>
      </c>
      <c r="J24" t="s">
        <v>1661</v>
      </c>
      <c r="K24" t="str">
        <f>VLOOKUP(Table1[[#This Row],[Store_ID]],Store_Dim!$A$3:$D$22,2,FALSE)</f>
        <v>Hill, Wagner and Ballard-East</v>
      </c>
      <c r="L24" t="s">
        <v>1748</v>
      </c>
      <c r="M24">
        <v>1</v>
      </c>
      <c r="N24" s="3">
        <v>979.42</v>
      </c>
      <c r="O24" s="4">
        <v>0.03</v>
      </c>
      <c r="P24" t="s">
        <v>1774</v>
      </c>
      <c r="Q24" s="4">
        <v>2850.1122</v>
      </c>
    </row>
    <row r="25" spans="1:24" x14ac:dyDescent="0.3">
      <c r="A25" t="s">
        <v>1797</v>
      </c>
      <c r="B25" t="str">
        <f t="shared" si="0"/>
        <v>Q2</v>
      </c>
      <c r="C25" t="str">
        <f>TEXT(Table1[[#This Row],[Order_Date]],"mmmm")</f>
        <v>June</v>
      </c>
      <c r="D25">
        <f>YEAR(Table1[[#This Row],[Order_Date]])</f>
        <v>2024</v>
      </c>
      <c r="E25" s="7">
        <v>45466</v>
      </c>
      <c r="F25" s="2" t="str">
        <f>VLOOKUP(Table1[[#This Row],[Customer_ID]],Customer_Dim!$A$2:$H$501,2,FALSE)</f>
        <v>Miranda King</v>
      </c>
      <c r="G25" s="2" t="str">
        <f>_xlfn.XLOOKUP(Table1[[#This Row],[Customer_ID]],Customer_Dim!$A$2:$A$501,Customer_Dim!$E$2:$E$501)</f>
        <v>West Mathew</v>
      </c>
      <c r="H25" t="s">
        <v>1138</v>
      </c>
      <c r="I25" t="str">
        <f>VLOOKUP(Table1[[#This Row],[Product_ID]],Product_Dim!$A$2:$G$101,2,FALSE)</f>
        <v>Hair Strengthening Shampoo-Beauty</v>
      </c>
      <c r="J25" t="s">
        <v>1547</v>
      </c>
      <c r="K25" t="str">
        <f>VLOOKUP(Table1[[#This Row],[Store_ID]],Store_Dim!$A$3:$D$22,2,FALSE)</f>
        <v>Bean, Jones and Park-West</v>
      </c>
      <c r="L25" t="s">
        <v>1744</v>
      </c>
      <c r="M25">
        <v>1</v>
      </c>
      <c r="N25" s="3">
        <v>719.28</v>
      </c>
      <c r="O25" s="4">
        <v>0.08</v>
      </c>
      <c r="P25" t="s">
        <v>1772</v>
      </c>
      <c r="Q25" s="4">
        <v>661.73760000000004</v>
      </c>
    </row>
    <row r="26" spans="1:24" x14ac:dyDescent="0.3">
      <c r="A26" t="s">
        <v>1798</v>
      </c>
      <c r="B26" t="str">
        <f t="shared" si="0"/>
        <v>Q3</v>
      </c>
      <c r="C26" t="str">
        <f>TEXT(Table1[[#This Row],[Order_Date]],"mmmm")</f>
        <v>September</v>
      </c>
      <c r="D26">
        <f>YEAR(Table1[[#This Row],[Order_Date]])</f>
        <v>2025</v>
      </c>
      <c r="E26" s="7">
        <v>45908</v>
      </c>
      <c r="F26" s="2" t="str">
        <f>VLOOKUP(Table1[[#This Row],[Customer_ID]],Customer_Dim!$A$2:$H$501,2,FALSE)</f>
        <v>Jennifer Pruitt</v>
      </c>
      <c r="G26" s="2" t="str">
        <f>_xlfn.XLOOKUP(Table1[[#This Row],[Customer_ID]],Customer_Dim!$A$2:$A$501,Customer_Dim!$E$2:$E$501)</f>
        <v>East Justin</v>
      </c>
      <c r="H26" t="s">
        <v>607</v>
      </c>
      <c r="I26" t="str">
        <f>VLOOKUP(Table1[[#This Row],[Product_ID]],Product_Dim!$A$2:$G$101,2,FALSE)</f>
        <v>Smart LED Light Strip-Electronics</v>
      </c>
      <c r="J26" t="s">
        <v>1657</v>
      </c>
      <c r="K26" t="str">
        <f>VLOOKUP(Table1[[#This Row],[Store_ID]],Store_Dim!$A$3:$D$22,2,FALSE)</f>
        <v>Benson-Elliott-East</v>
      </c>
      <c r="L26" t="s">
        <v>1740</v>
      </c>
      <c r="M26">
        <v>1</v>
      </c>
      <c r="N26" s="3">
        <v>77.599999999999994</v>
      </c>
      <c r="O26" s="4">
        <v>7.0000000000000007E-2</v>
      </c>
      <c r="P26" t="s">
        <v>1772</v>
      </c>
      <c r="Q26" s="4">
        <v>216.50399999999999</v>
      </c>
    </row>
    <row r="27" spans="1:24" x14ac:dyDescent="0.3">
      <c r="A27" t="s">
        <v>1799</v>
      </c>
      <c r="B27" t="str">
        <f t="shared" si="0"/>
        <v>Q3</v>
      </c>
      <c r="C27" t="str">
        <f>TEXT(Table1[[#This Row],[Order_Date]],"mmmm")</f>
        <v>September</v>
      </c>
      <c r="D27">
        <f>YEAR(Table1[[#This Row],[Order_Date]])</f>
        <v>2024</v>
      </c>
      <c r="E27" s="7">
        <v>45552</v>
      </c>
      <c r="F27" s="2" t="str">
        <f>VLOOKUP(Table1[[#This Row],[Customer_ID]],Customer_Dim!$A$2:$H$501,2,FALSE)</f>
        <v>Erika Padilla</v>
      </c>
      <c r="G27" s="2" t="str">
        <f>_xlfn.XLOOKUP(Table1[[#This Row],[Customer_ID]],Customer_Dim!$A$2:$A$501,Customer_Dim!$E$2:$E$501)</f>
        <v>Andrewsland</v>
      </c>
      <c r="H27" t="s">
        <v>1177</v>
      </c>
      <c r="I27" t="str">
        <f>VLOOKUP(Table1[[#This Row],[Product_ID]],Product_Dim!$A$2:$G$101,2,FALSE)</f>
        <v>Men's Leather Belt-Clothing</v>
      </c>
      <c r="J27" t="s">
        <v>1533</v>
      </c>
      <c r="K27" t="str">
        <f>VLOOKUP(Table1[[#This Row],[Store_ID]],Store_Dim!$A$3:$D$22,2,FALSE)</f>
        <v>Johnson-Wright-North</v>
      </c>
      <c r="L27" t="s">
        <v>1733</v>
      </c>
      <c r="M27">
        <v>1</v>
      </c>
      <c r="N27" s="3">
        <v>852.71</v>
      </c>
      <c r="O27" s="4">
        <v>0.14000000000000001</v>
      </c>
      <c r="P27" t="s">
        <v>1774</v>
      </c>
      <c r="Q27" s="4">
        <v>2933.3224</v>
      </c>
    </row>
    <row r="28" spans="1:24" x14ac:dyDescent="0.3">
      <c r="A28" t="s">
        <v>1800</v>
      </c>
      <c r="B28" t="str">
        <f t="shared" si="0"/>
        <v>Q1</v>
      </c>
      <c r="C28" t="str">
        <f>TEXT(Table1[[#This Row],[Order_Date]],"mmmm")</f>
        <v>January</v>
      </c>
      <c r="D28">
        <f>YEAR(Table1[[#This Row],[Order_Date]])</f>
        <v>2024</v>
      </c>
      <c r="E28" s="7">
        <v>45294</v>
      </c>
      <c r="F28" s="2" t="str">
        <f>VLOOKUP(Table1[[#This Row],[Customer_ID]],Customer_Dim!$A$2:$H$501,2,FALSE)</f>
        <v>Stuart Johnson</v>
      </c>
      <c r="G28" s="2" t="str">
        <f>_xlfn.XLOOKUP(Table1[[#This Row],[Customer_ID]],Customer_Dim!$A$2:$A$501,Customer_Dim!$E$2:$E$501)</f>
        <v>West Markport</v>
      </c>
      <c r="H28" t="s">
        <v>687</v>
      </c>
      <c r="I28" t="str">
        <f>VLOOKUP(Table1[[#This Row],[Product_ID]],Product_Dim!$A$2:$G$101,2,FALSE)</f>
        <v>Portable Bluetooth Speaker-Electronics</v>
      </c>
      <c r="J28" t="s">
        <v>1719</v>
      </c>
      <c r="K28" t="str">
        <f>VLOOKUP(Table1[[#This Row],[Store_ID]],Store_Dim!$A$3:$D$22,2,FALSE)</f>
        <v>Bean, Jones and Park-West</v>
      </c>
      <c r="L28" t="s">
        <v>1744</v>
      </c>
      <c r="M28">
        <v>1</v>
      </c>
      <c r="N28" s="3">
        <v>156.16</v>
      </c>
      <c r="O28" s="4">
        <v>0.1495379876796715</v>
      </c>
      <c r="P28" t="s">
        <v>1772</v>
      </c>
      <c r="Q28" s="4">
        <v>599.65440000000001</v>
      </c>
    </row>
    <row r="29" spans="1:24" x14ac:dyDescent="0.3">
      <c r="A29" t="s">
        <v>1801</v>
      </c>
      <c r="B29" t="str">
        <f t="shared" si="0"/>
        <v>Q1</v>
      </c>
      <c r="C29" t="str">
        <f>TEXT(Table1[[#This Row],[Order_Date]],"mmmm")</f>
        <v>February</v>
      </c>
      <c r="D29">
        <f>YEAR(Table1[[#This Row],[Order_Date]])</f>
        <v>2025</v>
      </c>
      <c r="E29" s="7">
        <v>45710</v>
      </c>
      <c r="F29" s="2" t="str">
        <f>VLOOKUP(Table1[[#This Row],[Customer_ID]],Customer_Dim!$A$2:$H$501,2,FALSE)</f>
        <v>Anna Perez</v>
      </c>
      <c r="G29" s="2" t="str">
        <f>_xlfn.XLOOKUP(Table1[[#This Row],[Customer_ID]],Customer_Dim!$A$2:$A$501,Customer_Dim!$E$2:$E$501)</f>
        <v>South Jerry</v>
      </c>
      <c r="H29" t="s">
        <v>648</v>
      </c>
      <c r="I29" t="str">
        <f>VLOOKUP(Table1[[#This Row],[Product_ID]],Product_Dim!$A$2:$G$101,2,FALSE)</f>
        <v>WiFi Mesh Router-Electronics</v>
      </c>
      <c r="J29" t="s">
        <v>1677</v>
      </c>
      <c r="K29" t="str">
        <f>VLOOKUP(Table1[[#This Row],[Store_ID]],Store_Dim!$A$3:$D$22,2,FALSE)</f>
        <v>Bean, Jones and Park-West</v>
      </c>
      <c r="L29" t="s">
        <v>1744</v>
      </c>
      <c r="M29">
        <v>1</v>
      </c>
      <c r="N29" s="3">
        <v>815.49</v>
      </c>
      <c r="O29" s="4">
        <v>0.17</v>
      </c>
      <c r="P29" t="s">
        <v>1772</v>
      </c>
      <c r="Q29" s="4">
        <v>2030.5700999999999</v>
      </c>
    </row>
    <row r="30" spans="1:24" x14ac:dyDescent="0.3">
      <c r="A30" t="s">
        <v>1802</v>
      </c>
      <c r="B30" t="str">
        <f t="shared" si="0"/>
        <v>Q3</v>
      </c>
      <c r="C30" t="str">
        <f>TEXT(Table1[[#This Row],[Order_Date]],"mmmm")</f>
        <v>September</v>
      </c>
      <c r="D30">
        <f>YEAR(Table1[[#This Row],[Order_Date]])</f>
        <v>2025</v>
      </c>
      <c r="E30" s="7">
        <v>45923</v>
      </c>
      <c r="F30" s="2" t="str">
        <f>VLOOKUP(Table1[[#This Row],[Customer_ID]],Customer_Dim!$A$2:$H$501,2,FALSE)</f>
        <v>Theresa Campbell</v>
      </c>
      <c r="G30" s="2" t="str">
        <f>_xlfn.XLOOKUP(Table1[[#This Row],[Customer_ID]],Customer_Dim!$A$2:$A$501,Customer_Dim!$E$2:$E$501)</f>
        <v>New Brian</v>
      </c>
      <c r="H30" t="s">
        <v>494</v>
      </c>
      <c r="I30" t="str">
        <f>VLOOKUP(Table1[[#This Row],[Product_ID]],Product_Dim!$A$2:$G$101,2,FALSE)</f>
        <v>USB-C Fast Charger-Electronics</v>
      </c>
      <c r="J30" t="s">
        <v>1549</v>
      </c>
      <c r="K30" t="str">
        <f>VLOOKUP(Table1[[#This Row],[Store_ID]],Store_Dim!$A$3:$D$22,2,FALSE)</f>
        <v>Black-Horn-South</v>
      </c>
      <c r="L30" t="s">
        <v>1730</v>
      </c>
      <c r="M30">
        <v>1</v>
      </c>
      <c r="N30" s="3">
        <v>74.209999999999994</v>
      </c>
      <c r="O30" s="4">
        <v>0.11</v>
      </c>
      <c r="P30" t="s">
        <v>1774</v>
      </c>
      <c r="Q30" s="4">
        <v>132.09379999999999</v>
      </c>
    </row>
    <row r="31" spans="1:24" x14ac:dyDescent="0.3">
      <c r="A31" t="s">
        <v>1803</v>
      </c>
      <c r="B31" t="str">
        <f t="shared" si="0"/>
        <v>Q1</v>
      </c>
      <c r="C31" t="str">
        <f>TEXT(Table1[[#This Row],[Order_Date]],"mmmm")</f>
        <v>January</v>
      </c>
      <c r="D31">
        <f>YEAR(Table1[[#This Row],[Order_Date]])</f>
        <v>2024</v>
      </c>
      <c r="E31" s="7">
        <v>45302</v>
      </c>
      <c r="F31" s="2" t="str">
        <f>VLOOKUP(Table1[[#This Row],[Customer_ID]],Customer_Dim!$A$2:$H$501,2,FALSE)</f>
        <v>Sherry Cabrera</v>
      </c>
      <c r="G31" s="2" t="str">
        <f>_xlfn.XLOOKUP(Table1[[#This Row],[Customer_ID]],Customer_Dim!$A$2:$A$501,Customer_Dim!$E$2:$E$501)</f>
        <v>Shannonview</v>
      </c>
      <c r="H31" t="s">
        <v>1080</v>
      </c>
      <c r="I31" t="str">
        <f>VLOOKUP(Table1[[#This Row],[Product_ID]],Product_Dim!$A$2:$G$101,2,FALSE)</f>
        <v>Stainless Steel Cookware Set-Home</v>
      </c>
      <c r="J31" t="s">
        <v>1721</v>
      </c>
      <c r="K31" t="str">
        <f>VLOOKUP(Table1[[#This Row],[Store_ID]],Store_Dim!$A$3:$D$22,2,FALSE)</f>
        <v>Johnson-Wright-North</v>
      </c>
      <c r="L31" t="s">
        <v>1733</v>
      </c>
      <c r="M31">
        <v>1</v>
      </c>
      <c r="N31" s="3">
        <v>451.67</v>
      </c>
      <c r="O31" s="4">
        <v>0.15</v>
      </c>
      <c r="P31" t="s">
        <v>1772</v>
      </c>
      <c r="Q31" s="4">
        <v>1535.6780000000001</v>
      </c>
    </row>
    <row r="32" spans="1:24" x14ac:dyDescent="0.3">
      <c r="A32" t="s">
        <v>1804</v>
      </c>
      <c r="B32" t="str">
        <f t="shared" si="0"/>
        <v>Q4</v>
      </c>
      <c r="C32" t="str">
        <f>TEXT(Table1[[#This Row],[Order_Date]],"mmmm")</f>
        <v>October</v>
      </c>
      <c r="D32">
        <f>YEAR(Table1[[#This Row],[Order_Date]])</f>
        <v>2023</v>
      </c>
      <c r="E32" s="7">
        <v>45217</v>
      </c>
      <c r="F32" s="2" t="str">
        <f>VLOOKUP(Table1[[#This Row],[Customer_ID]],Customer_Dim!$A$2:$H$501,2,FALSE)</f>
        <v>Joshua Ryan</v>
      </c>
      <c r="G32" s="2" t="str">
        <f>_xlfn.XLOOKUP(Table1[[#This Row],[Customer_ID]],Customer_Dim!$A$2:$A$501,Customer_Dim!$E$2:$E$501)</f>
        <v>New David</v>
      </c>
      <c r="H32" t="s">
        <v>118</v>
      </c>
      <c r="I32" t="str">
        <f>VLOOKUP(Table1[[#This Row],[Product_ID]],Product_Dim!$A$2:$G$101,2,FALSE)</f>
        <v>Men's Leather Belt-Clothing</v>
      </c>
      <c r="J32" t="s">
        <v>1533</v>
      </c>
      <c r="K32" t="str">
        <f>VLOOKUP(Table1[[#This Row],[Store_ID]],Store_Dim!$A$3:$D$22,2,FALSE)</f>
        <v>Mann-Austin-East</v>
      </c>
      <c r="L32" t="s">
        <v>1763</v>
      </c>
      <c r="M32">
        <v>1</v>
      </c>
      <c r="N32" s="3">
        <v>429.38</v>
      </c>
      <c r="O32" s="4">
        <v>0.13</v>
      </c>
      <c r="P32" t="s">
        <v>1774</v>
      </c>
      <c r="Q32" s="4">
        <v>373.56060000000002</v>
      </c>
    </row>
    <row r="33" spans="1:17" x14ac:dyDescent="0.3">
      <c r="A33" t="s">
        <v>1805</v>
      </c>
      <c r="B33" t="str">
        <f t="shared" si="0"/>
        <v>Q4</v>
      </c>
      <c r="C33" t="str">
        <f>TEXT(Table1[[#This Row],[Order_Date]],"mmmm")</f>
        <v>October</v>
      </c>
      <c r="D33">
        <f>YEAR(Table1[[#This Row],[Order_Date]])</f>
        <v>2024</v>
      </c>
      <c r="E33" s="7">
        <v>45593</v>
      </c>
      <c r="F33" s="2" t="str">
        <f>VLOOKUP(Table1[[#This Row],[Customer_ID]],Customer_Dim!$A$2:$H$501,2,FALSE)</f>
        <v>Shane Brown</v>
      </c>
      <c r="G33" s="2" t="str">
        <f>_xlfn.XLOOKUP(Table1[[#This Row],[Customer_ID]],Customer_Dim!$A$2:$A$501,Customer_Dim!$E$2:$E$501)</f>
        <v>East Andrea</v>
      </c>
      <c r="H33" t="s">
        <v>1267</v>
      </c>
      <c r="I33" t="str">
        <f>VLOOKUP(Table1[[#This Row],[Product_ID]],Product_Dim!$A$2:$G$101,2,FALSE)</f>
        <v>Men's Track Pants-Clothing</v>
      </c>
      <c r="J33" t="s">
        <v>1629</v>
      </c>
      <c r="K33" t="str">
        <f>VLOOKUP(Table1[[#This Row],[Store_ID]],Store_Dim!$A$3:$D$22,2,FALSE)</f>
        <v>Thomas, Bridges and Harris-North</v>
      </c>
      <c r="L33" t="s">
        <v>1751</v>
      </c>
      <c r="M33">
        <v>1</v>
      </c>
      <c r="N33" s="3">
        <v>148.96</v>
      </c>
      <c r="O33" s="4">
        <v>0.03</v>
      </c>
      <c r="P33" t="s">
        <v>1777</v>
      </c>
      <c r="Q33" s="4">
        <v>288.98239999999998</v>
      </c>
    </row>
    <row r="34" spans="1:17" x14ac:dyDescent="0.3">
      <c r="A34" t="s">
        <v>1806</v>
      </c>
      <c r="B34" t="str">
        <f t="shared" si="0"/>
        <v>Q4</v>
      </c>
      <c r="C34" t="str">
        <f>TEXT(Table1[[#This Row],[Order_Date]],"mmmm")</f>
        <v>November</v>
      </c>
      <c r="D34">
        <f>YEAR(Table1[[#This Row],[Order_Date]])</f>
        <v>2024</v>
      </c>
      <c r="E34" s="7">
        <v>45597</v>
      </c>
      <c r="F34" s="2" t="str">
        <f>VLOOKUP(Table1[[#This Row],[Customer_ID]],Customer_Dim!$A$2:$H$501,2,FALSE)</f>
        <v>Jennifer Johnson</v>
      </c>
      <c r="G34" s="2" t="str">
        <f>_xlfn.XLOOKUP(Table1[[#This Row],[Customer_ID]],Customer_Dim!$A$2:$A$501,Customer_Dim!$E$2:$E$501)</f>
        <v>Cheyenneborough</v>
      </c>
      <c r="H34" t="s">
        <v>1226</v>
      </c>
      <c r="I34" t="str">
        <f>VLOOKUP(Table1[[#This Row],[Product_ID]],Product_Dim!$A$2:$G$101,2,FALSE)</f>
        <v>Women's Ankle Boots-Clothing</v>
      </c>
      <c r="J34" t="s">
        <v>1673</v>
      </c>
      <c r="K34" t="str">
        <f>VLOOKUP(Table1[[#This Row],[Store_ID]],Store_Dim!$A$3:$D$22,2,FALSE)</f>
        <v>Bean, Jones and Park-West</v>
      </c>
      <c r="L34" t="s">
        <v>1744</v>
      </c>
      <c r="M34">
        <v>1</v>
      </c>
      <c r="N34" s="3">
        <v>313.83</v>
      </c>
      <c r="O34" s="4">
        <v>0.08</v>
      </c>
      <c r="P34" t="s">
        <v>1772</v>
      </c>
      <c r="Q34" s="4">
        <v>1154.8943999999999</v>
      </c>
    </row>
    <row r="35" spans="1:17" x14ac:dyDescent="0.3">
      <c r="A35" t="s">
        <v>1807</v>
      </c>
      <c r="B35" t="str">
        <f t="shared" si="0"/>
        <v>Q4</v>
      </c>
      <c r="C35" t="str">
        <f>TEXT(Table1[[#This Row],[Order_Date]],"mmmm")</f>
        <v>November</v>
      </c>
      <c r="D35">
        <f>YEAR(Table1[[#This Row],[Order_Date]])</f>
        <v>2024</v>
      </c>
      <c r="E35" s="7">
        <v>45620</v>
      </c>
      <c r="F35" s="2" t="str">
        <f>VLOOKUP(Table1[[#This Row],[Customer_ID]],Customer_Dim!$A$2:$H$501,2,FALSE)</f>
        <v>April Phillips</v>
      </c>
      <c r="G35" s="2" t="str">
        <f>_xlfn.XLOOKUP(Table1[[#This Row],[Customer_ID]],Customer_Dim!$A$2:$A$501,Customer_Dim!$E$2:$E$501)</f>
        <v>Lake Carolyn</v>
      </c>
      <c r="H35" t="s">
        <v>1384</v>
      </c>
      <c r="I35" t="str">
        <f>VLOOKUP(Table1[[#This Row],[Product_ID]],Product_Dim!$A$2:$G$101,2,FALSE)</f>
        <v>Hair Strengthening Shampoo-Beauty</v>
      </c>
      <c r="J35" t="s">
        <v>1547</v>
      </c>
      <c r="K35" t="str">
        <f>VLOOKUP(Table1[[#This Row],[Store_ID]],Store_Dim!$A$3:$D$22,2,FALSE)</f>
        <v>Benson-Elliott-East</v>
      </c>
      <c r="L35" t="s">
        <v>1740</v>
      </c>
      <c r="M35">
        <v>1</v>
      </c>
      <c r="N35" s="3">
        <v>717.31</v>
      </c>
      <c r="O35" s="4">
        <v>0.15</v>
      </c>
      <c r="P35" t="s">
        <v>1772</v>
      </c>
      <c r="Q35" s="4">
        <v>1219.4269999999999</v>
      </c>
    </row>
    <row r="36" spans="1:17" x14ac:dyDescent="0.3">
      <c r="A36" t="s">
        <v>1808</v>
      </c>
      <c r="B36" t="str">
        <f t="shared" si="0"/>
        <v>Q4</v>
      </c>
      <c r="C36" t="str">
        <f>TEXT(Table1[[#This Row],[Order_Date]],"mmmm")</f>
        <v>October</v>
      </c>
      <c r="D36">
        <f>YEAR(Table1[[#This Row],[Order_Date]])</f>
        <v>2023</v>
      </c>
      <c r="E36" s="7">
        <v>45215</v>
      </c>
      <c r="F36" s="2" t="str">
        <f>VLOOKUP(Table1[[#This Row],[Customer_ID]],Customer_Dim!$A$2:$H$501,2,FALSE)</f>
        <v>Evelyn Brown</v>
      </c>
      <c r="G36" s="2" t="str">
        <f>_xlfn.XLOOKUP(Table1[[#This Row],[Customer_ID]],Customer_Dim!$A$2:$A$501,Customer_Dim!$E$2:$E$501)</f>
        <v>West Victoriaborough</v>
      </c>
      <c r="H36" t="s">
        <v>1069</v>
      </c>
      <c r="I36" t="str">
        <f>VLOOKUP(Table1[[#This Row],[Product_ID]],Product_Dim!$A$2:$G$101,2,FALSE)</f>
        <v>Decorative Lamp Shade-Home</v>
      </c>
      <c r="J36" t="s">
        <v>1681</v>
      </c>
      <c r="K36" t="str">
        <f>VLOOKUP(Table1[[#This Row],[Store_ID]],Store_Dim!$A$3:$D$22,2,FALSE)</f>
        <v>Martinez, Adkins and Johnson-North</v>
      </c>
      <c r="L36" t="s">
        <v>1728</v>
      </c>
      <c r="M36">
        <v>1</v>
      </c>
      <c r="N36" s="3">
        <v>873.22</v>
      </c>
      <c r="O36" s="4">
        <v>0.18</v>
      </c>
      <c r="P36" t="s">
        <v>1772</v>
      </c>
      <c r="Q36" s="4">
        <v>2148.1212</v>
      </c>
    </row>
    <row r="37" spans="1:17" x14ac:dyDescent="0.3">
      <c r="A37" t="s">
        <v>1809</v>
      </c>
      <c r="B37" t="str">
        <f t="shared" si="0"/>
        <v>Q3</v>
      </c>
      <c r="C37" t="str">
        <f>TEXT(Table1[[#This Row],[Order_Date]],"mmmm")</f>
        <v>August</v>
      </c>
      <c r="D37">
        <f>YEAR(Table1[[#This Row],[Order_Date]])</f>
        <v>2025</v>
      </c>
      <c r="E37" s="7">
        <v>45878</v>
      </c>
      <c r="F37" s="2" t="str">
        <f>VLOOKUP(Table1[[#This Row],[Customer_ID]],Customer_Dim!$A$2:$H$501,2,FALSE)</f>
        <v>Julia Jackson</v>
      </c>
      <c r="G37" s="2" t="str">
        <f>_xlfn.XLOOKUP(Table1[[#This Row],[Customer_ID]],Customer_Dim!$A$2:$A$501,Customer_Dim!$E$2:$E$501)</f>
        <v>Edwardland</v>
      </c>
      <c r="H37" t="s">
        <v>702</v>
      </c>
      <c r="I37" t="str">
        <f>VLOOKUP(Table1[[#This Row],[Product_ID]],Product_Dim!$A$2:$G$101,2,FALSE)</f>
        <v>Beard Grooming Kit-Beauty</v>
      </c>
      <c r="J37" t="s">
        <v>1555</v>
      </c>
      <c r="K37" t="str">
        <f>VLOOKUP(Table1[[#This Row],[Store_ID]],Store_Dim!$A$3:$D$22,2,FALSE)</f>
        <v>Johnson-Wright-North</v>
      </c>
      <c r="L37" t="s">
        <v>1733</v>
      </c>
      <c r="M37">
        <v>1</v>
      </c>
      <c r="N37" s="3">
        <v>109.36</v>
      </c>
      <c r="O37" s="4">
        <v>0.19</v>
      </c>
      <c r="P37" t="s">
        <v>1777</v>
      </c>
      <c r="Q37" s="4">
        <v>354.32639999999998</v>
      </c>
    </row>
    <row r="38" spans="1:17" x14ac:dyDescent="0.3">
      <c r="A38" t="s">
        <v>1810</v>
      </c>
      <c r="B38" t="str">
        <f t="shared" si="0"/>
        <v>Q4</v>
      </c>
      <c r="C38" t="str">
        <f>TEXT(Table1[[#This Row],[Order_Date]],"mmmm")</f>
        <v>December</v>
      </c>
      <c r="D38">
        <f>YEAR(Table1[[#This Row],[Order_Date]])</f>
        <v>2024</v>
      </c>
      <c r="E38" s="7">
        <v>45635</v>
      </c>
      <c r="F38" s="2" t="str">
        <f>VLOOKUP(Table1[[#This Row],[Customer_ID]],Customer_Dim!$A$2:$H$501,2,FALSE)</f>
        <v>Tammy Miller Md</v>
      </c>
      <c r="G38" s="2" t="str">
        <f>_xlfn.XLOOKUP(Table1[[#This Row],[Customer_ID]],Customer_Dim!$A$2:$A$501,Customer_Dim!$E$2:$E$501)</f>
        <v>Austinfurt</v>
      </c>
      <c r="H38" t="s">
        <v>307</v>
      </c>
      <c r="I38" t="str">
        <f>VLOOKUP(Table1[[#This Row],[Product_ID]],Product_Dim!$A$2:$G$101,2,FALSE)</f>
        <v>Men's Leather Belt-Clothing</v>
      </c>
      <c r="J38" t="s">
        <v>1533</v>
      </c>
      <c r="K38" t="str">
        <f>VLOOKUP(Table1[[#This Row],[Store_ID]],Store_Dim!$A$3:$D$22,2,FALSE)</f>
        <v>Martinez-Mullins-South</v>
      </c>
      <c r="L38" t="s">
        <v>1742</v>
      </c>
      <c r="M38">
        <v>1</v>
      </c>
      <c r="N38" s="3">
        <v>559.52</v>
      </c>
      <c r="O38" s="4">
        <v>0.16</v>
      </c>
      <c r="P38" t="s">
        <v>1774</v>
      </c>
      <c r="Q38" s="4">
        <v>1409.9903999999999</v>
      </c>
    </row>
    <row r="39" spans="1:17" x14ac:dyDescent="0.3">
      <c r="A39" t="s">
        <v>1811</v>
      </c>
      <c r="B39" t="str">
        <f t="shared" si="0"/>
        <v>Q1</v>
      </c>
      <c r="C39" t="str">
        <f>TEXT(Table1[[#This Row],[Order_Date]],"mmmm")</f>
        <v>February</v>
      </c>
      <c r="D39">
        <f>YEAR(Table1[[#This Row],[Order_Date]])</f>
        <v>2024</v>
      </c>
      <c r="E39" s="7">
        <v>45329</v>
      </c>
      <c r="F39" s="2" t="str">
        <f>VLOOKUP(Table1[[#This Row],[Customer_ID]],Customer_Dim!$A$2:$H$501,2,FALSE)</f>
        <v>Darrell Miller</v>
      </c>
      <c r="G39" s="2" t="str">
        <f>_xlfn.XLOOKUP(Table1[[#This Row],[Customer_ID]],Customer_Dim!$A$2:$A$501,Customer_Dim!$E$2:$E$501)</f>
        <v>Port Carol</v>
      </c>
      <c r="H39" t="s">
        <v>1496</v>
      </c>
      <c r="I39" t="str">
        <f>VLOOKUP(Table1[[#This Row],[Product_ID]],Product_Dim!$A$2:$G$101,2,FALSE)</f>
        <v>Ceramic Kitchen Bowl Set-Home</v>
      </c>
      <c r="J39" t="s">
        <v>1543</v>
      </c>
      <c r="K39" t="str">
        <f>VLOOKUP(Table1[[#This Row],[Store_ID]],Store_Dim!$A$3:$D$22,2,FALSE)</f>
        <v>Holloway Ltd-North</v>
      </c>
      <c r="L39" t="s">
        <v>1759</v>
      </c>
      <c r="M39">
        <v>1</v>
      </c>
      <c r="N39" s="3">
        <v>121.76</v>
      </c>
      <c r="O39" s="4">
        <v>0.27</v>
      </c>
      <c r="P39" t="s">
        <v>1774</v>
      </c>
      <c r="Q39" s="4">
        <v>266.65440000000001</v>
      </c>
    </row>
    <row r="40" spans="1:17" x14ac:dyDescent="0.3">
      <c r="A40" t="s">
        <v>1812</v>
      </c>
      <c r="B40" t="str">
        <f t="shared" si="0"/>
        <v>Q1</v>
      </c>
      <c r="C40" t="str">
        <f>TEXT(Table1[[#This Row],[Order_Date]],"mmmm")</f>
        <v>March</v>
      </c>
      <c r="D40">
        <f>YEAR(Table1[[#This Row],[Order_Date]])</f>
        <v>2024</v>
      </c>
      <c r="E40" s="7">
        <v>45378</v>
      </c>
      <c r="F40" s="2" t="str">
        <f>VLOOKUP(Table1[[#This Row],[Customer_ID]],Customer_Dim!$A$2:$H$501,2,FALSE)</f>
        <v>Daniel Austin</v>
      </c>
      <c r="G40" s="2" t="str">
        <f>_xlfn.XLOOKUP(Table1[[#This Row],[Customer_ID]],Customer_Dim!$A$2:$A$501,Customer_Dim!$E$2:$E$501)</f>
        <v>Lake Howardberg</v>
      </c>
      <c r="H40" t="s">
        <v>616</v>
      </c>
      <c r="I40" t="str">
        <f>VLOOKUP(Table1[[#This Row],[Product_ID]],Product_Dim!$A$2:$G$101,2,FALSE)</f>
        <v>Modern Wall Clock-Home</v>
      </c>
      <c r="J40" t="s">
        <v>1589</v>
      </c>
      <c r="K40" t="str">
        <f>VLOOKUP(Table1[[#This Row],[Store_ID]],Store_Dim!$A$3:$D$22,2,FALSE)</f>
        <v>Gardner, Humphrey and Contreras-East</v>
      </c>
      <c r="L40" t="s">
        <v>1753</v>
      </c>
      <c r="M40">
        <v>1</v>
      </c>
      <c r="N40" s="3">
        <v>735.32</v>
      </c>
      <c r="O40" s="4">
        <v>0.06</v>
      </c>
      <c r="P40" t="s">
        <v>1777</v>
      </c>
      <c r="Q40" s="4">
        <v>2764.8031999999998</v>
      </c>
    </row>
    <row r="41" spans="1:17" x14ac:dyDescent="0.3">
      <c r="A41" t="s">
        <v>1813</v>
      </c>
      <c r="B41" t="str">
        <f t="shared" si="0"/>
        <v>Q4</v>
      </c>
      <c r="C41" t="str">
        <f>TEXT(Table1[[#This Row],[Order_Date]],"mmmm")</f>
        <v>December</v>
      </c>
      <c r="D41">
        <f>YEAR(Table1[[#This Row],[Order_Date]])</f>
        <v>2023</v>
      </c>
      <c r="E41" s="7">
        <v>45264</v>
      </c>
      <c r="F41" s="2" t="str">
        <f>VLOOKUP(Table1[[#This Row],[Customer_ID]],Customer_Dim!$A$2:$H$501,2,FALSE)</f>
        <v>John Smith</v>
      </c>
      <c r="G41" s="2" t="str">
        <f>_xlfn.XLOOKUP(Table1[[#This Row],[Customer_ID]],Customer_Dim!$A$2:$A$501,Customer_Dim!$E$2:$E$501)</f>
        <v>South Andrewport</v>
      </c>
      <c r="H41" t="s">
        <v>1321</v>
      </c>
      <c r="I41" t="str">
        <f>VLOOKUP(Table1[[#This Row],[Product_ID]],Product_Dim!$A$2:$G$101,2,FALSE)</f>
        <v>Vitamin E Body Lotion-Beauty</v>
      </c>
      <c r="J41" t="s">
        <v>1711</v>
      </c>
      <c r="K41" t="str">
        <f>VLOOKUP(Table1[[#This Row],[Store_ID]],Store_Dim!$A$3:$D$22,2,FALSE)</f>
        <v>Johnson-Wright-North</v>
      </c>
      <c r="L41" t="s">
        <v>1733</v>
      </c>
      <c r="M41">
        <v>1</v>
      </c>
      <c r="N41" s="3">
        <v>600.73</v>
      </c>
      <c r="O41" s="4">
        <v>0.08</v>
      </c>
      <c r="P41" t="s">
        <v>1772</v>
      </c>
      <c r="Q41" s="4">
        <v>1105.3432</v>
      </c>
    </row>
    <row r="42" spans="1:17" x14ac:dyDescent="0.3">
      <c r="A42" t="s">
        <v>1814</v>
      </c>
      <c r="B42" t="str">
        <f t="shared" si="0"/>
        <v>Q3</v>
      </c>
      <c r="C42" t="str">
        <f>TEXT(Table1[[#This Row],[Order_Date]],"mmmm")</f>
        <v>July</v>
      </c>
      <c r="D42">
        <f>YEAR(Table1[[#This Row],[Order_Date]])</f>
        <v>2024</v>
      </c>
      <c r="E42" s="7">
        <v>45486</v>
      </c>
      <c r="F42" s="2" t="str">
        <f>VLOOKUP(Table1[[#This Row],[Customer_ID]],Customer_Dim!$A$2:$H$501,2,FALSE)</f>
        <v>Tonya Burch</v>
      </c>
      <c r="G42" s="2" t="str">
        <f>_xlfn.XLOOKUP(Table1[[#This Row],[Customer_ID]],Customer_Dim!$A$2:$A$501,Customer_Dim!$E$2:$E$501)</f>
        <v>Olsonhaven</v>
      </c>
      <c r="H42" t="s">
        <v>261</v>
      </c>
      <c r="I42" t="str">
        <f>VLOOKUP(Table1[[#This Row],[Product_ID]],Product_Dim!$A$2:$G$101,2,FALSE)</f>
        <v>Wireless Bluetooth Speaker-Electronics</v>
      </c>
      <c r="J42" t="s">
        <v>1575</v>
      </c>
      <c r="K42" t="str">
        <f>VLOOKUP(Table1[[#This Row],[Store_ID]],Store_Dim!$A$3:$D$22,2,FALSE)</f>
        <v>Mann-Austin-East</v>
      </c>
      <c r="L42" t="s">
        <v>1763</v>
      </c>
      <c r="M42">
        <v>1</v>
      </c>
      <c r="N42" s="3">
        <v>873.86</v>
      </c>
      <c r="O42" s="4">
        <v>7.0000000000000007E-2</v>
      </c>
      <c r="P42" t="s">
        <v>1777</v>
      </c>
      <c r="Q42" s="4">
        <v>1625.3796</v>
      </c>
    </row>
    <row r="43" spans="1:17" x14ac:dyDescent="0.3">
      <c r="A43" t="s">
        <v>1815</v>
      </c>
      <c r="B43" t="str">
        <f t="shared" si="0"/>
        <v>Q4</v>
      </c>
      <c r="C43" t="str">
        <f>TEXT(Table1[[#This Row],[Order_Date]],"mmmm")</f>
        <v>November</v>
      </c>
      <c r="D43">
        <f>YEAR(Table1[[#This Row],[Order_Date]])</f>
        <v>2023</v>
      </c>
      <c r="E43" s="7">
        <v>45241</v>
      </c>
      <c r="F43" s="2" t="str">
        <f>VLOOKUP(Table1[[#This Row],[Customer_ID]],Customer_Dim!$A$2:$H$501,2,FALSE)</f>
        <v>Edward Cole</v>
      </c>
      <c r="G43" s="2" t="str">
        <f>_xlfn.XLOOKUP(Table1[[#This Row],[Customer_ID]],Customer_Dim!$A$2:$A$501,Customer_Dim!$E$2:$E$501)</f>
        <v>Lake Charlotte</v>
      </c>
      <c r="H43" t="s">
        <v>945</v>
      </c>
      <c r="I43" t="str">
        <f>VLOOKUP(Table1[[#This Row],[Product_ID]],Product_Dim!$A$2:$G$101,2,FALSE)</f>
        <v>Men's Formal Shirt-Clothing</v>
      </c>
      <c r="J43" t="s">
        <v>1569</v>
      </c>
      <c r="K43" t="str">
        <f>VLOOKUP(Table1[[#This Row],[Store_ID]],Store_Dim!$A$3:$D$22,2,FALSE)</f>
        <v>Bean, Jones and Park-West</v>
      </c>
      <c r="L43" t="s">
        <v>1744</v>
      </c>
      <c r="M43">
        <v>1</v>
      </c>
      <c r="N43" s="3">
        <v>342.47</v>
      </c>
      <c r="O43" s="4">
        <v>0.08</v>
      </c>
      <c r="P43" t="s">
        <v>1774</v>
      </c>
      <c r="Q43" s="4">
        <v>945.21720000000016</v>
      </c>
    </row>
    <row r="44" spans="1:17" x14ac:dyDescent="0.3">
      <c r="A44" t="s">
        <v>1816</v>
      </c>
      <c r="B44" t="str">
        <f t="shared" si="0"/>
        <v>Q4</v>
      </c>
      <c r="C44" t="str">
        <f>TEXT(Table1[[#This Row],[Order_Date]],"mmmm")</f>
        <v>December</v>
      </c>
      <c r="D44">
        <f>YEAR(Table1[[#This Row],[Order_Date]])</f>
        <v>2024</v>
      </c>
      <c r="E44" s="7">
        <v>45649</v>
      </c>
      <c r="F44" s="2" t="str">
        <f>VLOOKUP(Table1[[#This Row],[Customer_ID]],Customer_Dim!$A$2:$H$501,2,FALSE)</f>
        <v>Jennifer Woods</v>
      </c>
      <c r="G44" s="2" t="str">
        <f>_xlfn.XLOOKUP(Table1[[#This Row],[Customer_ID]],Customer_Dim!$A$2:$A$501,Customer_Dim!$E$2:$E$501)</f>
        <v>West Brendamouth</v>
      </c>
      <c r="H44" t="s">
        <v>1042</v>
      </c>
      <c r="I44" t="str">
        <f>VLOOKUP(Table1[[#This Row],[Product_ID]],Product_Dim!$A$2:$G$101,2,FALSE)</f>
        <v>Fabric Sofa Throw Blanket-Home</v>
      </c>
      <c r="J44" t="s">
        <v>1581</v>
      </c>
      <c r="K44" t="str">
        <f>VLOOKUP(Table1[[#This Row],[Store_ID]],Store_Dim!$A$3:$D$22,2,FALSE)</f>
        <v>Moore, Padilla and Butler-South</v>
      </c>
      <c r="L44" t="s">
        <v>1746</v>
      </c>
      <c r="M44">
        <v>1</v>
      </c>
      <c r="N44" s="3">
        <v>915.15</v>
      </c>
      <c r="O44" s="4">
        <v>0.16</v>
      </c>
      <c r="P44" t="s">
        <v>1774</v>
      </c>
      <c r="Q44" s="4">
        <v>1537.452</v>
      </c>
    </row>
    <row r="45" spans="1:17" x14ac:dyDescent="0.3">
      <c r="A45" t="s">
        <v>1817</v>
      </c>
      <c r="B45" t="str">
        <f t="shared" si="0"/>
        <v>Q1</v>
      </c>
      <c r="C45" t="str">
        <f>TEXT(Table1[[#This Row],[Order_Date]],"mmmm")</f>
        <v>January</v>
      </c>
      <c r="D45">
        <f>YEAR(Table1[[#This Row],[Order_Date]])</f>
        <v>2025</v>
      </c>
      <c r="E45" s="7">
        <v>45677</v>
      </c>
      <c r="F45" s="2" t="str">
        <f>VLOOKUP(Table1[[#This Row],[Customer_ID]],Customer_Dim!$A$2:$H$501,2,FALSE)</f>
        <v>Christy Hoffman</v>
      </c>
      <c r="G45" s="2" t="str">
        <f>_xlfn.XLOOKUP(Table1[[#This Row],[Customer_ID]],Customer_Dim!$A$2:$A$501,Customer_Dim!$E$2:$E$501)</f>
        <v>Garyberg</v>
      </c>
      <c r="H45" t="s">
        <v>301</v>
      </c>
      <c r="I45" t="str">
        <f>VLOOKUP(Table1[[#This Row],[Product_ID]],Product_Dim!$A$2:$G$101,2,FALSE)</f>
        <v>Modern Wall Clock-Home</v>
      </c>
      <c r="J45" t="s">
        <v>1589</v>
      </c>
      <c r="K45" t="str">
        <f>VLOOKUP(Table1[[#This Row],[Store_ID]],Store_Dim!$A$3:$D$22,2,FALSE)</f>
        <v>Holloway Ltd-North</v>
      </c>
      <c r="L45" t="s">
        <v>1759</v>
      </c>
      <c r="M45">
        <v>1</v>
      </c>
      <c r="N45" s="3">
        <v>863.11</v>
      </c>
      <c r="O45" s="4">
        <v>0.28000000000000003</v>
      </c>
      <c r="P45" t="s">
        <v>1774</v>
      </c>
      <c r="Q45" s="4">
        <v>1864.3176000000001</v>
      </c>
    </row>
    <row r="46" spans="1:17" x14ac:dyDescent="0.3">
      <c r="A46" t="s">
        <v>1818</v>
      </c>
      <c r="B46" t="str">
        <f t="shared" si="0"/>
        <v>Q3</v>
      </c>
      <c r="C46" t="str">
        <f>TEXT(Table1[[#This Row],[Order_Date]],"mmmm")</f>
        <v>September</v>
      </c>
      <c r="D46">
        <f>YEAR(Table1[[#This Row],[Order_Date]])</f>
        <v>2024</v>
      </c>
      <c r="E46" s="7">
        <v>45538</v>
      </c>
      <c r="F46" s="2" t="str">
        <f>VLOOKUP(Table1[[#This Row],[Customer_ID]],Customer_Dim!$A$2:$H$501,2,FALSE)</f>
        <v>Sarah Brady</v>
      </c>
      <c r="G46" s="2" t="str">
        <f>_xlfn.XLOOKUP(Table1[[#This Row],[Customer_ID]],Customer_Dim!$A$2:$A$501,Customer_Dim!$E$2:$E$501)</f>
        <v>Johnsonland</v>
      </c>
      <c r="H46" t="s">
        <v>657</v>
      </c>
      <c r="I46" t="str">
        <f>VLOOKUP(Table1[[#This Row],[Product_ID]],Product_Dim!$A$2:$G$101,2,FALSE)</f>
        <v>USB External Hard Drive-Electronics</v>
      </c>
      <c r="J46" t="s">
        <v>1609</v>
      </c>
      <c r="K46" t="str">
        <f>VLOOKUP(Table1[[#This Row],[Store_ID]],Store_Dim!$A$3:$D$22,2,FALSE)</f>
        <v>Thomas, Bridges and Harris-North</v>
      </c>
      <c r="L46" t="s">
        <v>1751</v>
      </c>
      <c r="M46">
        <v>1</v>
      </c>
      <c r="N46" s="3">
        <v>209.32</v>
      </c>
      <c r="O46" s="4">
        <v>0.23</v>
      </c>
      <c r="P46" t="s">
        <v>1777</v>
      </c>
      <c r="Q46" s="4">
        <v>322.3528</v>
      </c>
    </row>
    <row r="47" spans="1:17" x14ac:dyDescent="0.3">
      <c r="A47" t="s">
        <v>1819</v>
      </c>
      <c r="B47" t="str">
        <f t="shared" si="0"/>
        <v>Q4</v>
      </c>
      <c r="C47" t="str">
        <f>TEXT(Table1[[#This Row],[Order_Date]],"mmmm")</f>
        <v>November</v>
      </c>
      <c r="D47">
        <f>YEAR(Table1[[#This Row],[Order_Date]])</f>
        <v>2024</v>
      </c>
      <c r="E47" s="7">
        <v>45606</v>
      </c>
      <c r="F47" s="2" t="str">
        <f>VLOOKUP(Table1[[#This Row],[Customer_ID]],Customer_Dim!$A$2:$H$501,2,FALSE)</f>
        <v>Manuel Fisher</v>
      </c>
      <c r="G47" s="2" t="str">
        <f>_xlfn.XLOOKUP(Table1[[#This Row],[Customer_ID]],Customer_Dim!$A$2:$A$501,Customer_Dim!$E$2:$E$501)</f>
        <v>Kanebury</v>
      </c>
      <c r="H47" t="s">
        <v>1433</v>
      </c>
      <c r="I47" t="str">
        <f>VLOOKUP(Table1[[#This Row],[Product_ID]],Product_Dim!$A$2:$G$101,2,FALSE)</f>
        <v>Men's Hair Styling Gel-Beauty</v>
      </c>
      <c r="J47" t="s">
        <v>1641</v>
      </c>
      <c r="K47" t="str">
        <f>VLOOKUP(Table1[[#This Row],[Store_ID]],Store_Dim!$A$3:$D$22,2,FALSE)</f>
        <v>Bean, Jones and Park-West</v>
      </c>
      <c r="L47" t="s">
        <v>1744</v>
      </c>
      <c r="M47">
        <v>1</v>
      </c>
      <c r="N47" s="3">
        <v>288.60000000000002</v>
      </c>
      <c r="O47" s="4">
        <v>0.09</v>
      </c>
      <c r="P47" t="s">
        <v>1774</v>
      </c>
      <c r="Q47" s="4">
        <v>1050.5039999999999</v>
      </c>
    </row>
    <row r="48" spans="1:17" x14ac:dyDescent="0.3">
      <c r="A48" t="s">
        <v>1820</v>
      </c>
      <c r="B48" t="str">
        <f t="shared" si="0"/>
        <v>Q4</v>
      </c>
      <c r="C48" t="str">
        <f>TEXT(Table1[[#This Row],[Order_Date]],"mmmm")</f>
        <v>October</v>
      </c>
      <c r="D48">
        <f>YEAR(Table1[[#This Row],[Order_Date]])</f>
        <v>2024</v>
      </c>
      <c r="E48" s="7">
        <v>45570</v>
      </c>
      <c r="F48" s="2" t="str">
        <f>VLOOKUP(Table1[[#This Row],[Customer_ID]],Customer_Dim!$A$2:$H$501,2,FALSE)</f>
        <v>Eric Singh</v>
      </c>
      <c r="G48" s="2" t="str">
        <f>_xlfn.XLOOKUP(Table1[[#This Row],[Customer_ID]],Customer_Dim!$A$2:$A$501,Customer_Dim!$E$2:$E$501)</f>
        <v>Port Lisa</v>
      </c>
      <c r="H48" t="s">
        <v>255</v>
      </c>
      <c r="I48" t="str">
        <f>VLOOKUP(Table1[[#This Row],[Product_ID]],Product_Dim!$A$2:$G$101,2,FALSE)</f>
        <v>Essential Oil Diffuser-Home</v>
      </c>
      <c r="J48" t="s">
        <v>1679</v>
      </c>
      <c r="K48" t="str">
        <f>VLOOKUP(Table1[[#This Row],[Store_ID]],Store_Dim!$A$3:$D$22,2,FALSE)</f>
        <v>Frederick-Wright-West</v>
      </c>
      <c r="L48" t="s">
        <v>1757</v>
      </c>
      <c r="M48">
        <v>1</v>
      </c>
      <c r="N48" s="3">
        <v>418.69</v>
      </c>
      <c r="O48" s="4">
        <v>0.06</v>
      </c>
      <c r="P48" t="s">
        <v>1774</v>
      </c>
      <c r="Q48" s="4">
        <v>393.5686</v>
      </c>
    </row>
    <row r="49" spans="1:17" x14ac:dyDescent="0.3">
      <c r="A49" t="s">
        <v>1821</v>
      </c>
      <c r="B49" t="str">
        <f t="shared" si="0"/>
        <v>Q2</v>
      </c>
      <c r="C49" t="str">
        <f>TEXT(Table1[[#This Row],[Order_Date]],"mmmm")</f>
        <v>June</v>
      </c>
      <c r="D49">
        <f>YEAR(Table1[[#This Row],[Order_Date]])</f>
        <v>2024</v>
      </c>
      <c r="E49" s="7">
        <v>45466</v>
      </c>
      <c r="F49" s="2" t="str">
        <f>VLOOKUP(Table1[[#This Row],[Customer_ID]],Customer_Dim!$A$2:$H$501,2,FALSE)</f>
        <v>Melissa Howard</v>
      </c>
      <c r="G49" s="2" t="str">
        <f>_xlfn.XLOOKUP(Table1[[#This Row],[Customer_ID]],Customer_Dim!$A$2:$A$501,Customer_Dim!$E$2:$E$501)</f>
        <v>Maynardton</v>
      </c>
      <c r="H49" t="s">
        <v>44</v>
      </c>
      <c r="I49" t="str">
        <f>VLOOKUP(Table1[[#This Row],[Product_ID]],Product_Dim!$A$2:$G$101,2,FALSE)</f>
        <v>Stainless Steel Cutlery Set-Home</v>
      </c>
      <c r="J49" t="s">
        <v>1583</v>
      </c>
      <c r="K49" t="str">
        <f>VLOOKUP(Table1[[#This Row],[Store_ID]],Store_Dim!$A$3:$D$22,2,FALSE)</f>
        <v>Aguirre-Keller-South</v>
      </c>
      <c r="L49" t="s">
        <v>1750</v>
      </c>
      <c r="M49">
        <v>1</v>
      </c>
      <c r="N49" s="3">
        <v>135.78</v>
      </c>
      <c r="O49" s="4">
        <v>0.14000000000000001</v>
      </c>
      <c r="P49" t="s">
        <v>1774</v>
      </c>
      <c r="Q49" s="4">
        <v>116.77079999999999</v>
      </c>
    </row>
    <row r="50" spans="1:17" x14ac:dyDescent="0.3">
      <c r="A50" t="s">
        <v>1822</v>
      </c>
      <c r="B50" t="str">
        <f t="shared" si="0"/>
        <v>Q4</v>
      </c>
      <c r="C50" t="str">
        <f>TEXT(Table1[[#This Row],[Order_Date]],"mmmm")</f>
        <v>October</v>
      </c>
      <c r="D50">
        <f>YEAR(Table1[[#This Row],[Order_Date]])</f>
        <v>2023</v>
      </c>
      <c r="E50" s="7">
        <v>45218</v>
      </c>
      <c r="F50" s="2" t="str">
        <f>VLOOKUP(Table1[[#This Row],[Customer_ID]],Customer_Dim!$A$2:$H$501,2,FALSE)</f>
        <v>Sarah Brady</v>
      </c>
      <c r="G50" s="2" t="str">
        <f>_xlfn.XLOOKUP(Table1[[#This Row],[Customer_ID]],Customer_Dim!$A$2:$A$501,Customer_Dim!$E$2:$E$501)</f>
        <v>Johnsonland</v>
      </c>
      <c r="H50" t="s">
        <v>657</v>
      </c>
      <c r="I50" t="str">
        <f>VLOOKUP(Table1[[#This Row],[Product_ID]],Product_Dim!$A$2:$G$101,2,FALSE)</f>
        <v>Adjustable Jump Rope-Sports</v>
      </c>
      <c r="J50" t="s">
        <v>1611</v>
      </c>
      <c r="K50" t="str">
        <f>VLOOKUP(Table1[[#This Row],[Store_ID]],Store_Dim!$A$3:$D$22,2,FALSE)</f>
        <v>Holloway Ltd-North</v>
      </c>
      <c r="L50" t="s">
        <v>1759</v>
      </c>
      <c r="M50">
        <v>1</v>
      </c>
      <c r="N50" s="3">
        <v>517.13</v>
      </c>
      <c r="O50" s="4">
        <v>0.28000000000000003</v>
      </c>
      <c r="P50" t="s">
        <v>1772</v>
      </c>
      <c r="Q50" s="4">
        <v>372.33359999999999</v>
      </c>
    </row>
    <row r="51" spans="1:17" x14ac:dyDescent="0.3">
      <c r="A51" t="s">
        <v>1823</v>
      </c>
      <c r="B51" t="str">
        <f t="shared" si="0"/>
        <v>Q4</v>
      </c>
      <c r="C51" t="str">
        <f>TEXT(Table1[[#This Row],[Order_Date]],"mmmm")</f>
        <v>November</v>
      </c>
      <c r="D51">
        <f>YEAR(Table1[[#This Row],[Order_Date]])</f>
        <v>2024</v>
      </c>
      <c r="E51" s="7">
        <v>45607</v>
      </c>
      <c r="F51" s="2" t="str">
        <f>VLOOKUP(Table1[[#This Row],[Customer_ID]],Customer_Dim!$A$2:$H$501,2,FALSE)</f>
        <v>Dr. Tamara White Md</v>
      </c>
      <c r="G51" s="2" t="str">
        <f>_xlfn.XLOOKUP(Table1[[#This Row],[Customer_ID]],Customer_Dim!$A$2:$A$501,Customer_Dim!$E$2:$E$501)</f>
        <v>New Benjamin</v>
      </c>
      <c r="H51" t="s">
        <v>1290</v>
      </c>
      <c r="I51" t="str">
        <f>VLOOKUP(Table1[[#This Row],[Product_ID]],Product_Dim!$A$2:$G$101,2,FALSE)</f>
        <v>Multi-Purpose Storage Box-Home</v>
      </c>
      <c r="J51" t="s">
        <v>1565</v>
      </c>
      <c r="K51" t="str">
        <f>VLOOKUP(Table1[[#This Row],[Store_ID]],Store_Dim!$A$3:$D$22,2,FALSE)</f>
        <v>Frederick-Wright-West</v>
      </c>
      <c r="L51" t="s">
        <v>1757</v>
      </c>
      <c r="M51">
        <v>1</v>
      </c>
      <c r="N51" s="3">
        <v>384.66</v>
      </c>
      <c r="O51" s="4">
        <v>0.08</v>
      </c>
      <c r="P51" t="s">
        <v>1777</v>
      </c>
      <c r="Q51" s="4">
        <v>707.77440000000013</v>
      </c>
    </row>
    <row r="52" spans="1:17" x14ac:dyDescent="0.3">
      <c r="A52" t="s">
        <v>1824</v>
      </c>
      <c r="B52" t="str">
        <f t="shared" si="0"/>
        <v>Q4</v>
      </c>
      <c r="C52" t="str">
        <f>TEXT(Table1[[#This Row],[Order_Date]],"mmmm")</f>
        <v>December</v>
      </c>
      <c r="D52">
        <f>YEAR(Table1[[#This Row],[Order_Date]])</f>
        <v>2023</v>
      </c>
      <c r="E52" s="7">
        <v>45291</v>
      </c>
      <c r="F52" s="2" t="str">
        <f>VLOOKUP(Table1[[#This Row],[Customer_ID]],Customer_Dim!$A$2:$H$501,2,FALSE)</f>
        <v>Eric Singh</v>
      </c>
      <c r="G52" s="2" t="str">
        <f>_xlfn.XLOOKUP(Table1[[#This Row],[Customer_ID]],Customer_Dim!$A$2:$A$501,Customer_Dim!$E$2:$E$501)</f>
        <v>Port Lisa</v>
      </c>
      <c r="H52" t="s">
        <v>255</v>
      </c>
      <c r="I52" t="str">
        <f>VLOOKUP(Table1[[#This Row],[Product_ID]],Product_Dim!$A$2:$G$101,2,FALSE)</f>
        <v>Rugby Ball-Sports</v>
      </c>
      <c r="J52" t="s">
        <v>1627</v>
      </c>
      <c r="K52" t="str">
        <f>VLOOKUP(Table1[[#This Row],[Store_ID]],Store_Dim!$A$3:$D$22,2,FALSE)</f>
        <v>Moore, Padilla and Butler-South</v>
      </c>
      <c r="L52" t="s">
        <v>1746</v>
      </c>
      <c r="M52">
        <v>1</v>
      </c>
      <c r="N52" s="3">
        <v>83.7</v>
      </c>
      <c r="O52" s="4">
        <v>0.24</v>
      </c>
      <c r="P52" t="s">
        <v>1774</v>
      </c>
      <c r="Q52" s="4">
        <v>190.83600000000001</v>
      </c>
    </row>
    <row r="53" spans="1:17" x14ac:dyDescent="0.3">
      <c r="A53" t="s">
        <v>1825</v>
      </c>
      <c r="B53" t="str">
        <f t="shared" si="0"/>
        <v>Q1</v>
      </c>
      <c r="C53" t="str">
        <f>TEXT(Table1[[#This Row],[Order_Date]],"mmmm")</f>
        <v>February</v>
      </c>
      <c r="D53">
        <f>YEAR(Table1[[#This Row],[Order_Date]])</f>
        <v>2025</v>
      </c>
      <c r="E53" s="7">
        <v>45689</v>
      </c>
      <c r="F53" s="2" t="str">
        <f>VLOOKUP(Table1[[#This Row],[Customer_ID]],Customer_Dim!$A$2:$H$501,2,FALSE)</f>
        <v>Maria Ramirez</v>
      </c>
      <c r="G53" s="2" t="str">
        <f>_xlfn.XLOOKUP(Table1[[#This Row],[Customer_ID]],Customer_Dim!$A$2:$A$501,Customer_Dim!$E$2:$E$501)</f>
        <v>West Brandon</v>
      </c>
      <c r="H53" t="s">
        <v>476</v>
      </c>
      <c r="I53" t="str">
        <f>VLOOKUP(Table1[[#This Row],[Product_ID]],Product_Dim!$A$2:$G$101,2,FALSE)</f>
        <v>Men's Sports Shorts-Clothing</v>
      </c>
      <c r="J53" t="s">
        <v>1661</v>
      </c>
      <c r="K53" t="str">
        <f>VLOOKUP(Table1[[#This Row],[Store_ID]],Store_Dim!$A$3:$D$22,2,FALSE)</f>
        <v>Martinez-Mullins-South</v>
      </c>
      <c r="L53" t="s">
        <v>1742</v>
      </c>
      <c r="M53">
        <v>1</v>
      </c>
      <c r="N53" s="3">
        <v>76.569999999999993</v>
      </c>
      <c r="O53" s="4">
        <v>0.26</v>
      </c>
      <c r="P53" t="s">
        <v>1772</v>
      </c>
      <c r="Q53" s="4">
        <v>169.9854</v>
      </c>
    </row>
    <row r="54" spans="1:17" x14ac:dyDescent="0.3">
      <c r="A54" t="s">
        <v>1826</v>
      </c>
      <c r="B54" t="str">
        <f t="shared" si="0"/>
        <v>Q3</v>
      </c>
      <c r="C54" t="str">
        <f>TEXT(Table1[[#This Row],[Order_Date]],"mmmm")</f>
        <v>August</v>
      </c>
      <c r="D54">
        <f>YEAR(Table1[[#This Row],[Order_Date]])</f>
        <v>2025</v>
      </c>
      <c r="E54" s="7">
        <v>45894</v>
      </c>
      <c r="F54" s="2" t="str">
        <f>VLOOKUP(Table1[[#This Row],[Customer_ID]],Customer_Dim!$A$2:$H$501,2,FALSE)</f>
        <v>Theresa Campbell</v>
      </c>
      <c r="G54" s="2" t="str">
        <f>_xlfn.XLOOKUP(Table1[[#This Row],[Customer_ID]],Customer_Dim!$A$2:$A$501,Customer_Dim!$E$2:$E$501)</f>
        <v>New Brian</v>
      </c>
      <c r="H54" t="s">
        <v>494</v>
      </c>
      <c r="I54" t="str">
        <f>VLOOKUP(Table1[[#This Row],[Product_ID]],Product_Dim!$A$2:$G$101,2,FALSE)</f>
        <v>Face Foundation Kit-Beauty</v>
      </c>
      <c r="J54" t="s">
        <v>1701</v>
      </c>
      <c r="K54" t="str">
        <f>VLOOKUP(Table1[[#This Row],[Store_ID]],Store_Dim!$A$3:$D$22,2,FALSE)</f>
        <v>Benson-Elliott-East</v>
      </c>
      <c r="L54" t="s">
        <v>1740</v>
      </c>
      <c r="M54">
        <v>1</v>
      </c>
      <c r="N54" s="3">
        <v>514.48704008221978</v>
      </c>
      <c r="O54" s="4">
        <v>0.14954238169526787</v>
      </c>
      <c r="P54" t="s">
        <v>1772</v>
      </c>
      <c r="Q54" s="4">
        <v>486.06330000000003</v>
      </c>
    </row>
    <row r="55" spans="1:17" x14ac:dyDescent="0.3">
      <c r="A55" t="s">
        <v>1827</v>
      </c>
      <c r="B55" t="str">
        <f t="shared" si="0"/>
        <v>Q1</v>
      </c>
      <c r="C55" t="str">
        <f>TEXT(Table1[[#This Row],[Order_Date]],"mmmm")</f>
        <v>January</v>
      </c>
      <c r="D55">
        <f>YEAR(Table1[[#This Row],[Order_Date]])</f>
        <v>2025</v>
      </c>
      <c r="E55" s="7">
        <v>45677</v>
      </c>
      <c r="F55" s="2" t="str">
        <f>VLOOKUP(Table1[[#This Row],[Customer_ID]],Customer_Dim!$A$2:$H$501,2,FALSE)</f>
        <v>Alex Mann Ii</v>
      </c>
      <c r="G55" s="2" t="str">
        <f>_xlfn.XLOOKUP(Table1[[#This Row],[Customer_ID]],Customer_Dim!$A$2:$A$501,Customer_Dim!$E$2:$E$501)</f>
        <v>South Zacharychester</v>
      </c>
      <c r="H55" t="s">
        <v>1010</v>
      </c>
      <c r="I55" t="str">
        <f>VLOOKUP(Table1[[#This Row],[Product_ID]],Product_Dim!$A$2:$G$101,2,FALSE)</f>
        <v>Outdoor Sports Water Bottle-Sports</v>
      </c>
      <c r="J55" t="s">
        <v>1563</v>
      </c>
      <c r="K55" t="str">
        <f>VLOOKUP(Table1[[#This Row],[Store_ID]],Store_Dim!$A$3:$D$22,2,FALSE)</f>
        <v>Bean, Jones and Park-West</v>
      </c>
      <c r="L55" t="s">
        <v>1744</v>
      </c>
      <c r="M55">
        <v>1</v>
      </c>
      <c r="N55" s="3">
        <v>900.35</v>
      </c>
      <c r="O55" s="4">
        <v>0.13</v>
      </c>
      <c r="P55" t="s">
        <v>1777</v>
      </c>
      <c r="Q55" s="4">
        <v>783.30449999999996</v>
      </c>
    </row>
    <row r="56" spans="1:17" x14ac:dyDescent="0.3">
      <c r="A56" t="s">
        <v>1828</v>
      </c>
      <c r="B56" t="str">
        <f t="shared" si="0"/>
        <v>Q1</v>
      </c>
      <c r="C56" t="str">
        <f>TEXT(Table1[[#This Row],[Order_Date]],"mmmm")</f>
        <v>February</v>
      </c>
      <c r="D56">
        <f>YEAR(Table1[[#This Row],[Order_Date]])</f>
        <v>2025</v>
      </c>
      <c r="E56" s="7">
        <v>45706</v>
      </c>
      <c r="F56" s="2" t="str">
        <f>VLOOKUP(Table1[[#This Row],[Customer_ID]],Customer_Dim!$A$2:$H$501,2,FALSE)</f>
        <v>Amy Fowler</v>
      </c>
      <c r="G56" s="2" t="str">
        <f>_xlfn.XLOOKUP(Table1[[#This Row],[Customer_ID]],Customer_Dim!$A$2:$A$501,Customer_Dim!$E$2:$E$501)</f>
        <v>West Bobbyshire</v>
      </c>
      <c r="H56" t="s">
        <v>336</v>
      </c>
      <c r="I56" t="str">
        <f>VLOOKUP(Table1[[#This Row],[Product_ID]],Product_Dim!$A$2:$G$101,2,FALSE)</f>
        <v>Noise-Canceling Headphones-Electronics</v>
      </c>
      <c r="J56" t="s">
        <v>1603</v>
      </c>
      <c r="K56" t="str">
        <f>VLOOKUP(Table1[[#This Row],[Store_ID]],Store_Dim!$A$3:$D$22,2,FALSE)</f>
        <v>Hill, Wagner and Ballard-East</v>
      </c>
      <c r="L56" t="s">
        <v>1748</v>
      </c>
      <c r="M56">
        <v>1</v>
      </c>
      <c r="N56" s="3">
        <v>428.09</v>
      </c>
      <c r="O56" s="4">
        <v>7.0000000000000007E-2</v>
      </c>
      <c r="P56" t="s">
        <v>1772</v>
      </c>
      <c r="Q56" s="4">
        <v>1592.4947999999999</v>
      </c>
    </row>
    <row r="57" spans="1:17" x14ac:dyDescent="0.3">
      <c r="A57" t="s">
        <v>1829</v>
      </c>
      <c r="B57" t="str">
        <f t="shared" si="0"/>
        <v>Q4</v>
      </c>
      <c r="C57" t="str">
        <f>TEXT(Table1[[#This Row],[Order_Date]],"mmmm")</f>
        <v>October</v>
      </c>
      <c r="D57">
        <f>YEAR(Table1[[#This Row],[Order_Date]])</f>
        <v>2024</v>
      </c>
      <c r="E57" s="7">
        <v>45589</v>
      </c>
      <c r="F57" s="2" t="str">
        <f>VLOOKUP(Table1[[#This Row],[Customer_ID]],Customer_Dim!$A$2:$H$501,2,FALSE)</f>
        <v>Jennifer Myers</v>
      </c>
      <c r="G57" s="2" t="str">
        <f>_xlfn.XLOOKUP(Table1[[#This Row],[Customer_ID]],Customer_Dim!$A$2:$A$501,Customer_Dim!$E$2:$E$501)</f>
        <v>Marthaborough</v>
      </c>
      <c r="H57" t="s">
        <v>1278</v>
      </c>
      <c r="I57" t="str">
        <f>VLOOKUP(Table1[[#This Row],[Product_ID]],Product_Dim!$A$2:$G$101,2,FALSE)</f>
        <v>Men's Roll-On Perfume-Beauty</v>
      </c>
      <c r="J57" t="s">
        <v>1621</v>
      </c>
      <c r="K57" t="str">
        <f>VLOOKUP(Table1[[#This Row],[Store_ID]],Store_Dim!$A$3:$D$22,2,FALSE)</f>
        <v>Aguirre-Keller-South</v>
      </c>
      <c r="L57" t="s">
        <v>1750</v>
      </c>
      <c r="M57">
        <v>1</v>
      </c>
      <c r="N57" s="3">
        <v>559.71</v>
      </c>
      <c r="O57" s="4">
        <v>0.3</v>
      </c>
      <c r="P57" t="s">
        <v>1777</v>
      </c>
      <c r="Q57" s="4">
        <v>783.59400000000005</v>
      </c>
    </row>
    <row r="58" spans="1:17" x14ac:dyDescent="0.3">
      <c r="A58" t="s">
        <v>1830</v>
      </c>
      <c r="B58" t="str">
        <f t="shared" si="0"/>
        <v>Q4</v>
      </c>
      <c r="C58" t="str">
        <f>TEXT(Table1[[#This Row],[Order_Date]],"mmmm")</f>
        <v>December</v>
      </c>
      <c r="D58">
        <f>YEAR(Table1[[#This Row],[Order_Date]])</f>
        <v>2023</v>
      </c>
      <c r="E58" s="7">
        <v>45282</v>
      </c>
      <c r="F58" s="2" t="str">
        <f>VLOOKUP(Table1[[#This Row],[Customer_ID]],Customer_Dim!$A$2:$H$501,2,FALSE)</f>
        <v>Jennifer Garcia</v>
      </c>
      <c r="G58" s="2" t="str">
        <f>_xlfn.XLOOKUP(Table1[[#This Row],[Customer_ID]],Customer_Dim!$A$2:$A$501,Customer_Dim!$E$2:$E$501)</f>
        <v>New Sean</v>
      </c>
      <c r="H58" t="s">
        <v>289</v>
      </c>
      <c r="I58" t="str">
        <f>VLOOKUP(Table1[[#This Row],[Product_ID]],Product_Dim!$A$2:$G$101,2,FALSE)</f>
        <v>Gaming Mechanical Keyboard-Electronics</v>
      </c>
      <c r="J58" t="s">
        <v>1591</v>
      </c>
      <c r="K58" t="str">
        <f>VLOOKUP(Table1[[#This Row],[Store_ID]],Store_Dim!$A$3:$D$22,2,FALSE)</f>
        <v>Benson-Elliott-East</v>
      </c>
      <c r="L58" t="s">
        <v>1740</v>
      </c>
      <c r="M58">
        <v>1</v>
      </c>
      <c r="N58" s="3">
        <v>833.7</v>
      </c>
      <c r="O58" s="4">
        <v>0.06</v>
      </c>
      <c r="P58" t="s">
        <v>1774</v>
      </c>
      <c r="Q58" s="4">
        <v>1567.356</v>
      </c>
    </row>
    <row r="59" spans="1:17" x14ac:dyDescent="0.3">
      <c r="A59" t="s">
        <v>1831</v>
      </c>
      <c r="B59" t="str">
        <f t="shared" si="0"/>
        <v>Q2</v>
      </c>
      <c r="C59" t="str">
        <f>TEXT(Table1[[#This Row],[Order_Date]],"mmmm")</f>
        <v>June</v>
      </c>
      <c r="D59">
        <f>YEAR(Table1[[#This Row],[Order_Date]])</f>
        <v>2024</v>
      </c>
      <c r="E59" s="7">
        <v>45462</v>
      </c>
      <c r="F59" s="2" t="str">
        <f>VLOOKUP(Table1[[#This Row],[Customer_ID]],Customer_Dim!$A$2:$H$501,2,FALSE)</f>
        <v>Michael Foley</v>
      </c>
      <c r="G59" s="2" t="str">
        <f>_xlfn.XLOOKUP(Table1[[#This Row],[Customer_ID]],Customer_Dim!$A$2:$A$501,Customer_Dim!$E$2:$E$501)</f>
        <v>Oneillfurt</v>
      </c>
      <c r="H59" t="s">
        <v>1424</v>
      </c>
      <c r="I59" t="str">
        <f>VLOOKUP(Table1[[#This Row],[Product_ID]],Product_Dim!$A$2:$G$101,2,FALSE)</f>
        <v>Makeup Brush Set-Beauty</v>
      </c>
      <c r="J59" t="s">
        <v>1617</v>
      </c>
      <c r="K59" t="str">
        <f>VLOOKUP(Table1[[#This Row],[Store_ID]],Store_Dim!$A$3:$D$22,2,FALSE)</f>
        <v>Mcdonald Inc-South</v>
      </c>
      <c r="L59" t="s">
        <v>1754</v>
      </c>
      <c r="M59">
        <v>1</v>
      </c>
      <c r="N59" s="3">
        <v>680.16</v>
      </c>
      <c r="O59" s="4">
        <v>0.28000000000000003</v>
      </c>
      <c r="P59" t="s">
        <v>1772</v>
      </c>
      <c r="Q59" s="4">
        <v>979.43039999999996</v>
      </c>
    </row>
    <row r="60" spans="1:17" x14ac:dyDescent="0.3">
      <c r="A60" t="s">
        <v>1832</v>
      </c>
      <c r="B60" t="str">
        <f t="shared" si="0"/>
        <v>Q4</v>
      </c>
      <c r="C60" t="str">
        <f>TEXT(Table1[[#This Row],[Order_Date]],"mmmm")</f>
        <v>December</v>
      </c>
      <c r="D60">
        <f>YEAR(Table1[[#This Row],[Order_Date]])</f>
        <v>2024</v>
      </c>
      <c r="E60" s="7">
        <v>45633</v>
      </c>
      <c r="F60" s="2" t="str">
        <f>VLOOKUP(Table1[[#This Row],[Customer_ID]],Customer_Dim!$A$2:$H$501,2,FALSE)</f>
        <v>David Ross</v>
      </c>
      <c r="G60" s="2" t="str">
        <f>_xlfn.XLOOKUP(Table1[[#This Row],[Customer_ID]],Customer_Dim!$A$2:$A$501,Customer_Dim!$E$2:$E$501)</f>
        <v>South Angela</v>
      </c>
      <c r="H60" t="s">
        <v>1243</v>
      </c>
      <c r="I60" t="str">
        <f>VLOOKUP(Table1[[#This Row],[Product_ID]],Product_Dim!$A$2:$G$101,2,FALSE)</f>
        <v>4K Home Projector-Electronics</v>
      </c>
      <c r="J60" t="s">
        <v>1553</v>
      </c>
      <c r="K60" t="str">
        <f>VLOOKUP(Table1[[#This Row],[Store_ID]],Store_Dim!$A$3:$D$22,2,FALSE)</f>
        <v>Martinez-Mullins-South</v>
      </c>
      <c r="L60" t="s">
        <v>1742</v>
      </c>
      <c r="M60">
        <v>1</v>
      </c>
      <c r="N60" s="3">
        <v>733.42</v>
      </c>
      <c r="O60" s="4">
        <v>0.1494942648592284</v>
      </c>
      <c r="P60" t="s">
        <v>1774</v>
      </c>
      <c r="Q60" s="4">
        <v>2552.3015999999998</v>
      </c>
    </row>
    <row r="61" spans="1:17" x14ac:dyDescent="0.3">
      <c r="A61" t="s">
        <v>1833</v>
      </c>
      <c r="B61" t="str">
        <f t="shared" si="0"/>
        <v>Q4</v>
      </c>
      <c r="C61" t="str">
        <f>TEXT(Table1[[#This Row],[Order_Date]],"mmmm")</f>
        <v>November</v>
      </c>
      <c r="D61">
        <f>YEAR(Table1[[#This Row],[Order_Date]])</f>
        <v>2023</v>
      </c>
      <c r="E61" s="7">
        <v>45257</v>
      </c>
      <c r="F61" s="2" t="str">
        <f>VLOOKUP(Table1[[#This Row],[Customer_ID]],Customer_Dim!$A$2:$H$501,2,FALSE)</f>
        <v>Melinda Johnson</v>
      </c>
      <c r="G61" s="2" t="str">
        <f>_xlfn.XLOOKUP(Table1[[#This Row],[Customer_ID]],Customer_Dim!$A$2:$A$501,Customer_Dim!$E$2:$E$501)</f>
        <v>Kaufmanfurt</v>
      </c>
      <c r="H61" t="s">
        <v>1135</v>
      </c>
      <c r="I61" t="str">
        <f>VLOOKUP(Table1[[#This Row],[Product_ID]],Product_Dim!$A$2:$G$101,2,FALSE)</f>
        <v>Face Foundation Kit-Beauty</v>
      </c>
      <c r="J61" t="s">
        <v>1701</v>
      </c>
      <c r="K61" t="str">
        <f>VLOOKUP(Table1[[#This Row],[Store_ID]],Store_Dim!$A$3:$D$22,2,FALSE)</f>
        <v>Aguirre-Keller-South</v>
      </c>
      <c r="L61" t="s">
        <v>1750</v>
      </c>
      <c r="M61">
        <v>1</v>
      </c>
      <c r="N61" s="3">
        <v>996.33</v>
      </c>
      <c r="O61" s="4">
        <v>0.23</v>
      </c>
      <c r="P61" t="s">
        <v>1774</v>
      </c>
      <c r="Q61" s="4">
        <v>767.17410000000007</v>
      </c>
    </row>
    <row r="62" spans="1:17" x14ac:dyDescent="0.3">
      <c r="A62" t="s">
        <v>1834</v>
      </c>
      <c r="B62" t="str">
        <f t="shared" si="0"/>
        <v>Q3</v>
      </c>
      <c r="C62" t="str">
        <f>TEXT(Table1[[#This Row],[Order_Date]],"mmmm")</f>
        <v>July</v>
      </c>
      <c r="D62">
        <f>YEAR(Table1[[#This Row],[Order_Date]])</f>
        <v>2025</v>
      </c>
      <c r="E62" s="7">
        <v>45854</v>
      </c>
      <c r="F62" s="2" t="str">
        <f>VLOOKUP(Table1[[#This Row],[Customer_ID]],Customer_Dim!$A$2:$H$501,2,FALSE)</f>
        <v>Isabel Foster</v>
      </c>
      <c r="G62" s="2" t="str">
        <f>_xlfn.XLOOKUP(Table1[[#This Row],[Customer_ID]],Customer_Dim!$A$2:$A$501,Customer_Dim!$E$2:$E$501)</f>
        <v>Port Joshuaville</v>
      </c>
      <c r="H62" t="s">
        <v>1255</v>
      </c>
      <c r="I62" t="str">
        <f>VLOOKUP(Table1[[#This Row],[Product_ID]],Product_Dim!$A$2:$G$101,2,FALSE)</f>
        <v>Basketball-Sports</v>
      </c>
      <c r="J62" t="s">
        <v>1585</v>
      </c>
      <c r="K62" t="str">
        <f>VLOOKUP(Table1[[#This Row],[Store_ID]],Store_Dim!$A$3:$D$22,2,FALSE)</f>
        <v>Hill, Wagner and Ballard-East</v>
      </c>
      <c r="L62" t="s">
        <v>1748</v>
      </c>
      <c r="M62">
        <v>1</v>
      </c>
      <c r="N62" s="3">
        <v>198.83</v>
      </c>
      <c r="O62" s="4">
        <v>0.09</v>
      </c>
      <c r="P62" t="s">
        <v>1777</v>
      </c>
      <c r="Q62" s="4">
        <v>180.93530000000001</v>
      </c>
    </row>
    <row r="63" spans="1:17" x14ac:dyDescent="0.3">
      <c r="A63" t="s">
        <v>1835</v>
      </c>
      <c r="B63" t="str">
        <f t="shared" si="0"/>
        <v>Q1</v>
      </c>
      <c r="C63" t="str">
        <f>TEXT(Table1[[#This Row],[Order_Date]],"mmmm")</f>
        <v>February</v>
      </c>
      <c r="D63">
        <f>YEAR(Table1[[#This Row],[Order_Date]])</f>
        <v>2025</v>
      </c>
      <c r="E63" s="7">
        <v>45716</v>
      </c>
      <c r="F63" s="2" t="str">
        <f>VLOOKUP(Table1[[#This Row],[Customer_ID]],Customer_Dim!$A$2:$H$501,2,FALSE)</f>
        <v>Maria Hill</v>
      </c>
      <c r="G63" s="2" t="str">
        <f>_xlfn.XLOOKUP(Table1[[#This Row],[Customer_ID]],Customer_Dim!$A$2:$A$501,Customer_Dim!$E$2:$E$501)</f>
        <v>Zamoraborough</v>
      </c>
      <c r="H63" t="s">
        <v>761</v>
      </c>
      <c r="I63" t="str">
        <f>VLOOKUP(Table1[[#This Row],[Product_ID]],Product_Dim!$A$2:$G$101,2,FALSE)</f>
        <v>Knee Support Brace-Sports</v>
      </c>
      <c r="J63" t="s">
        <v>1561</v>
      </c>
      <c r="K63" t="str">
        <f>VLOOKUP(Table1[[#This Row],[Store_ID]],Store_Dim!$A$3:$D$22,2,FALSE)</f>
        <v>Martinez-Mullins-South</v>
      </c>
      <c r="L63" t="s">
        <v>1742</v>
      </c>
      <c r="M63">
        <v>1</v>
      </c>
      <c r="N63" s="3">
        <v>374.92</v>
      </c>
      <c r="O63" s="4">
        <v>0.18</v>
      </c>
      <c r="P63" t="s">
        <v>1774</v>
      </c>
      <c r="Q63" s="4">
        <v>307.43439999999998</v>
      </c>
    </row>
    <row r="64" spans="1:17" x14ac:dyDescent="0.3">
      <c r="A64" t="s">
        <v>1836</v>
      </c>
      <c r="B64" t="str">
        <f t="shared" si="0"/>
        <v>Q3</v>
      </c>
      <c r="C64" t="str">
        <f>TEXT(Table1[[#This Row],[Order_Date]],"mmmm")</f>
        <v>August</v>
      </c>
      <c r="D64">
        <f>YEAR(Table1[[#This Row],[Order_Date]])</f>
        <v>2024</v>
      </c>
      <c r="E64" s="7">
        <v>45515</v>
      </c>
      <c r="F64" s="2" t="s">
        <v>3826</v>
      </c>
      <c r="G64" s="2" t="s">
        <v>3826</v>
      </c>
      <c r="H64" t="s">
        <v>1415</v>
      </c>
      <c r="I64" t="str">
        <f>VLOOKUP(Table1[[#This Row],[Product_ID]],Product_Dim!$A$2:$G$101,2,FALSE)</f>
        <v>USB-C Laptop Charger-Electronics</v>
      </c>
      <c r="J64" t="s">
        <v>1709</v>
      </c>
      <c r="K64" t="str">
        <f>VLOOKUP(Table1[[#This Row],[Store_ID]],Store_Dim!$A$3:$D$22,2,FALSE)</f>
        <v>Frederick-Wright-West</v>
      </c>
      <c r="L64" t="s">
        <v>1757</v>
      </c>
      <c r="M64">
        <v>1</v>
      </c>
      <c r="N64" s="3">
        <v>468.94</v>
      </c>
      <c r="O64" s="4">
        <v>0.12</v>
      </c>
      <c r="P64" t="s">
        <v>1772</v>
      </c>
      <c r="Q64" s="4">
        <v>412.66719999999998</v>
      </c>
    </row>
    <row r="65" spans="1:17" x14ac:dyDescent="0.3">
      <c r="A65" t="s">
        <v>1837</v>
      </c>
      <c r="B65" t="str">
        <f t="shared" si="0"/>
        <v>Q3</v>
      </c>
      <c r="C65" t="str">
        <f>TEXT(Table1[[#This Row],[Order_Date]],"mmmm")</f>
        <v>September</v>
      </c>
      <c r="D65">
        <f>YEAR(Table1[[#This Row],[Order_Date]])</f>
        <v>2025</v>
      </c>
      <c r="E65" s="7">
        <v>45927</v>
      </c>
      <c r="F65" s="2" t="str">
        <f>VLOOKUP(Table1[[#This Row],[Customer_ID]],Customer_Dim!$A$2:$H$501,2,FALSE)</f>
        <v>James Wolfe</v>
      </c>
      <c r="G65" s="2" t="str">
        <f>_xlfn.XLOOKUP(Table1[[#This Row],[Customer_ID]],Customer_Dim!$A$2:$A$501,Customer_Dim!$E$2:$E$501)</f>
        <v>Benjaminton</v>
      </c>
      <c r="H65" t="s">
        <v>430</v>
      </c>
      <c r="I65" t="str">
        <f>VLOOKUP(Table1[[#This Row],[Product_ID]],Product_Dim!$A$2:$G$101,2,FALSE)</f>
        <v>Face Foundation Kit-Beauty</v>
      </c>
      <c r="J65" t="s">
        <v>1701</v>
      </c>
      <c r="K65" t="str">
        <f>VLOOKUP(Table1[[#This Row],[Store_ID]],Store_Dim!$A$3:$D$22,2,FALSE)</f>
        <v>Thomas, Bridges and Harris-North</v>
      </c>
      <c r="L65" t="s">
        <v>1751</v>
      </c>
      <c r="M65">
        <v>1</v>
      </c>
      <c r="N65" s="3">
        <v>121.37</v>
      </c>
      <c r="O65" s="4">
        <v>0.05</v>
      </c>
      <c r="P65" t="s">
        <v>1772</v>
      </c>
      <c r="Q65" s="4">
        <v>230.60300000000001</v>
      </c>
    </row>
    <row r="66" spans="1:17" x14ac:dyDescent="0.3">
      <c r="A66" t="s">
        <v>1838</v>
      </c>
      <c r="B66" t="str">
        <f t="shared" ref="B66:B129" si="1">"Q" &amp;ROUNDUP(MONTH(E66)/3,0)</f>
        <v>Q3</v>
      </c>
      <c r="C66" t="str">
        <f>TEXT(Table1[[#This Row],[Order_Date]],"mmmm")</f>
        <v>September</v>
      </c>
      <c r="D66">
        <f>YEAR(Table1[[#This Row],[Order_Date]])</f>
        <v>2025</v>
      </c>
      <c r="E66" s="7">
        <v>45914</v>
      </c>
      <c r="F66" s="2" t="str">
        <f>VLOOKUP(Table1[[#This Row],[Customer_ID]],Customer_Dim!$A$2:$H$501,2,FALSE)</f>
        <v>Damon Perez</v>
      </c>
      <c r="G66" s="2" t="str">
        <f>_xlfn.XLOOKUP(Table1[[#This Row],[Customer_ID]],Customer_Dim!$A$2:$A$501,Customer_Dim!$E$2:$E$501)</f>
        <v>Jasonton</v>
      </c>
      <c r="H66" t="s">
        <v>808</v>
      </c>
      <c r="I66" t="str">
        <f>VLOOKUP(Table1[[#This Row],[Product_ID]],Product_Dim!$A$2:$G$101,2,FALSE)</f>
        <v>Men's Track Pants-Clothing</v>
      </c>
      <c r="J66" t="s">
        <v>1629</v>
      </c>
      <c r="K66" t="str">
        <f>VLOOKUP(Table1[[#This Row],[Store_ID]],Store_Dim!$A$3:$D$22,2,FALSE)</f>
        <v>Hill, Wagner and Ballard-East</v>
      </c>
      <c r="L66" t="s">
        <v>1748</v>
      </c>
      <c r="M66">
        <v>1</v>
      </c>
      <c r="N66" s="3">
        <v>480.06</v>
      </c>
      <c r="O66" s="4">
        <v>0.01</v>
      </c>
      <c r="P66" t="s">
        <v>1772</v>
      </c>
      <c r="Q66" s="4">
        <v>1088.6371340062115</v>
      </c>
    </row>
    <row r="67" spans="1:17" x14ac:dyDescent="0.3">
      <c r="A67" t="s">
        <v>1839</v>
      </c>
      <c r="B67" t="str">
        <f t="shared" si="1"/>
        <v>Q4</v>
      </c>
      <c r="C67" t="str">
        <f>TEXT(Table1[[#This Row],[Order_Date]],"mmmm")</f>
        <v>December</v>
      </c>
      <c r="D67">
        <f>YEAR(Table1[[#This Row],[Order_Date]])</f>
        <v>2023</v>
      </c>
      <c r="E67" s="7">
        <v>45290</v>
      </c>
      <c r="F67" s="2" t="str">
        <f>VLOOKUP(Table1[[#This Row],[Customer_ID]],Customer_Dim!$A$2:$H$501,2,FALSE)</f>
        <v>Mariah Brown</v>
      </c>
      <c r="G67" s="2" t="str">
        <f>_xlfn.XLOOKUP(Table1[[#This Row],[Customer_ID]],Customer_Dim!$A$2:$A$501,Customer_Dim!$E$2:$E$501)</f>
        <v>Palmerbury</v>
      </c>
      <c r="H67" t="s">
        <v>536</v>
      </c>
      <c r="I67" t="str">
        <f>VLOOKUP(Table1[[#This Row],[Product_ID]],Product_Dim!$A$2:$G$101,2,FALSE)</f>
        <v>Stainless Steel Cookware Set-Home</v>
      </c>
      <c r="J67" t="s">
        <v>1721</v>
      </c>
      <c r="K67" t="str">
        <f>VLOOKUP(Table1[[#This Row],[Store_ID]],Store_Dim!$A$3:$D$22,2,FALSE)</f>
        <v>Holloway Ltd-North</v>
      </c>
      <c r="L67" t="s">
        <v>1759</v>
      </c>
      <c r="M67">
        <v>1</v>
      </c>
      <c r="N67" s="3">
        <v>856.57</v>
      </c>
      <c r="O67" s="4">
        <v>0.24</v>
      </c>
      <c r="P67" t="s">
        <v>1772</v>
      </c>
      <c r="Q67" s="4">
        <v>1301.9864</v>
      </c>
    </row>
    <row r="68" spans="1:17" x14ac:dyDescent="0.3">
      <c r="A68" t="s">
        <v>1840</v>
      </c>
      <c r="B68" t="str">
        <f t="shared" si="1"/>
        <v>Q4</v>
      </c>
      <c r="C68" t="str">
        <f>TEXT(Table1[[#This Row],[Order_Date]],"mmmm")</f>
        <v>October</v>
      </c>
      <c r="D68">
        <f>YEAR(Table1[[#This Row],[Order_Date]])</f>
        <v>2023</v>
      </c>
      <c r="E68" s="7">
        <v>45213</v>
      </c>
      <c r="F68" s="2" t="str">
        <f>VLOOKUP(Table1[[#This Row],[Customer_ID]],Customer_Dim!$A$2:$H$501,2,FALSE)</f>
        <v>Tyrone Olson</v>
      </c>
      <c r="G68" s="2" t="str">
        <f>_xlfn.XLOOKUP(Table1[[#This Row],[Customer_ID]],Customer_Dim!$A$2:$A$501,Customer_Dim!$E$2:$E$501)</f>
        <v>Emilytown</v>
      </c>
      <c r="H68" t="s">
        <v>850</v>
      </c>
      <c r="I68" t="str">
        <f>VLOOKUP(Table1[[#This Row],[Product_ID]],Product_Dim!$A$2:$G$101,2,FALSE)</f>
        <v>WiFi Mesh Router-Electronics</v>
      </c>
      <c r="J68" t="s">
        <v>1677</v>
      </c>
      <c r="K68" t="str">
        <f>VLOOKUP(Table1[[#This Row],[Store_ID]],Store_Dim!$A$3:$D$22,2,FALSE)</f>
        <v>Black-Horn-South</v>
      </c>
      <c r="L68" t="s">
        <v>1730</v>
      </c>
      <c r="M68">
        <v>1</v>
      </c>
      <c r="N68" s="3">
        <v>814.25</v>
      </c>
      <c r="O68" s="4">
        <v>0.18</v>
      </c>
      <c r="P68" t="s">
        <v>1772</v>
      </c>
      <c r="Q68" s="4">
        <v>2670.74</v>
      </c>
    </row>
    <row r="69" spans="1:17" x14ac:dyDescent="0.3">
      <c r="A69" t="s">
        <v>1841</v>
      </c>
      <c r="B69" t="str">
        <f t="shared" si="1"/>
        <v>Q4</v>
      </c>
      <c r="C69" t="str">
        <f>TEXT(Table1[[#This Row],[Order_Date]],"mmmm")</f>
        <v>November</v>
      </c>
      <c r="D69">
        <f>YEAR(Table1[[#This Row],[Order_Date]])</f>
        <v>2023</v>
      </c>
      <c r="E69" s="7">
        <v>45255</v>
      </c>
      <c r="F69" s="2" t="str">
        <f>VLOOKUP(Table1[[#This Row],[Customer_ID]],Customer_Dim!$A$2:$H$501,2,FALSE)</f>
        <v>Sarah Smith</v>
      </c>
      <c r="G69" s="2" t="str">
        <f>_xlfn.XLOOKUP(Table1[[#This Row],[Customer_ID]],Customer_Dim!$A$2:$A$501,Customer_Dim!$E$2:$E$501)</f>
        <v>East Rodney</v>
      </c>
      <c r="H69" t="s">
        <v>1470</v>
      </c>
      <c r="I69" t="str">
        <f>VLOOKUP(Table1[[#This Row],[Product_ID]],Product_Dim!$A$2:$G$101,2,FALSE)</f>
        <v>Hair Strengthening Shampoo-Beauty</v>
      </c>
      <c r="J69" t="s">
        <v>1547</v>
      </c>
      <c r="K69" t="str">
        <f>VLOOKUP(Table1[[#This Row],[Store_ID]],Store_Dim!$A$3:$D$22,2,FALSE)</f>
        <v>Black-Horn-South</v>
      </c>
      <c r="L69" t="s">
        <v>1730</v>
      </c>
      <c r="M69">
        <v>1</v>
      </c>
      <c r="N69" s="3">
        <v>989.17</v>
      </c>
      <c r="O69" s="4">
        <v>0.2</v>
      </c>
      <c r="P69" t="s">
        <v>1774</v>
      </c>
      <c r="Q69" s="4">
        <v>791.33600000000001</v>
      </c>
    </row>
    <row r="70" spans="1:17" x14ac:dyDescent="0.3">
      <c r="A70" t="s">
        <v>1842</v>
      </c>
      <c r="B70" t="str">
        <f t="shared" si="1"/>
        <v>Q4</v>
      </c>
      <c r="C70" t="str">
        <f>TEXT(Table1[[#This Row],[Order_Date]],"mmmm")</f>
        <v>December</v>
      </c>
      <c r="D70">
        <f>YEAR(Table1[[#This Row],[Order_Date]])</f>
        <v>2023</v>
      </c>
      <c r="E70" s="7">
        <v>45270</v>
      </c>
      <c r="F70" s="2" t="str">
        <f>VLOOKUP(Table1[[#This Row],[Customer_ID]],Customer_Dim!$A$2:$H$501,2,FALSE)</f>
        <v>Jacqueline Anthony</v>
      </c>
      <c r="G70" s="2" t="str">
        <f>_xlfn.XLOOKUP(Table1[[#This Row],[Customer_ID]],Customer_Dim!$A$2:$A$501,Customer_Dim!$E$2:$E$501)</f>
        <v>Vincentside</v>
      </c>
      <c r="H70" t="s">
        <v>1150</v>
      </c>
      <c r="I70" t="str">
        <f>VLOOKUP(Table1[[#This Row],[Product_ID]],Product_Dim!$A$2:$G$101,2,FALSE)</f>
        <v>Professional Jump Rope-Sports</v>
      </c>
      <c r="J70" t="s">
        <v>1667</v>
      </c>
      <c r="K70" t="str">
        <f>VLOOKUP(Table1[[#This Row],[Store_ID]],Store_Dim!$A$3:$D$22,2,FALSE)</f>
        <v>Hill, Wagner and Ballard-East</v>
      </c>
      <c r="L70" t="s">
        <v>1748</v>
      </c>
      <c r="M70">
        <v>1</v>
      </c>
      <c r="N70" s="3">
        <v>62.48</v>
      </c>
      <c r="O70" s="4">
        <v>0.18</v>
      </c>
      <c r="P70" t="s">
        <v>1772</v>
      </c>
      <c r="Q70" s="4">
        <v>204.93440000000001</v>
      </c>
    </row>
    <row r="71" spans="1:17" x14ac:dyDescent="0.3">
      <c r="A71" t="s">
        <v>1843</v>
      </c>
      <c r="B71" t="str">
        <f t="shared" si="1"/>
        <v>Q3</v>
      </c>
      <c r="C71" t="str">
        <f>TEXT(Table1[[#This Row],[Order_Date]],"mmmm")</f>
        <v>August</v>
      </c>
      <c r="D71">
        <f>YEAR(Table1[[#This Row],[Order_Date]])</f>
        <v>2025</v>
      </c>
      <c r="E71" s="7">
        <v>45897</v>
      </c>
      <c r="F71" s="2" t="str">
        <f>VLOOKUP(Table1[[#This Row],[Customer_ID]],Customer_Dim!$A$2:$H$501,2,FALSE)</f>
        <v>Rebecca Baker</v>
      </c>
      <c r="G71" s="2" t="str">
        <f>_xlfn.XLOOKUP(Table1[[#This Row],[Customer_ID]],Customer_Dim!$A$2:$A$501,Customer_Dim!$E$2:$E$501)</f>
        <v>New Katherine</v>
      </c>
      <c r="H71" t="s">
        <v>1297</v>
      </c>
      <c r="I71" t="str">
        <f>VLOOKUP(Table1[[#This Row],[Product_ID]],Product_Dim!$A$2:$G$101,2,FALSE)</f>
        <v>USB-C Fast Charger-Electronics</v>
      </c>
      <c r="J71" t="s">
        <v>1549</v>
      </c>
      <c r="K71" t="str">
        <f>VLOOKUP(Table1[[#This Row],[Store_ID]],Store_Dim!$A$3:$D$22,2,FALSE)</f>
        <v>Frederick-Wright-West</v>
      </c>
      <c r="L71" t="s">
        <v>1757</v>
      </c>
      <c r="M71">
        <v>1</v>
      </c>
      <c r="N71" s="3">
        <v>561.24</v>
      </c>
      <c r="O71" s="4">
        <v>0.24</v>
      </c>
      <c r="P71" t="s">
        <v>1772</v>
      </c>
      <c r="Q71" s="4">
        <v>1706.1695999999999</v>
      </c>
    </row>
    <row r="72" spans="1:17" x14ac:dyDescent="0.3">
      <c r="A72" t="s">
        <v>1844</v>
      </c>
      <c r="B72" t="str">
        <f t="shared" si="1"/>
        <v>Q3</v>
      </c>
      <c r="C72" t="str">
        <f>TEXT(Table1[[#This Row],[Order_Date]],"mmmm")</f>
        <v>July</v>
      </c>
      <c r="D72">
        <f>YEAR(Table1[[#This Row],[Order_Date]])</f>
        <v>2025</v>
      </c>
      <c r="E72" s="7">
        <v>45849</v>
      </c>
      <c r="F72" s="2" t="str">
        <f>VLOOKUP(Table1[[#This Row],[Customer_ID]],Customer_Dim!$A$2:$H$501,2,FALSE)</f>
        <v>Cheryl Copeland</v>
      </c>
      <c r="G72" s="2" t="str">
        <f>_xlfn.XLOOKUP(Table1[[#This Row],[Customer_ID]],Customer_Dim!$A$2:$A$501,Customer_Dim!$E$2:$E$501)</f>
        <v>Snowmouth</v>
      </c>
      <c r="H72" t="s">
        <v>215</v>
      </c>
      <c r="I72" t="str">
        <f>VLOOKUP(Table1[[#This Row],[Product_ID]],Product_Dim!$A$2:$G$101,2,FALSE)</f>
        <v>Luxury Perfume Spray-Beauty</v>
      </c>
      <c r="J72" t="s">
        <v>1643</v>
      </c>
      <c r="K72" t="str">
        <f>VLOOKUP(Table1[[#This Row],[Store_ID]],Store_Dim!$A$3:$D$22,2,FALSE)</f>
        <v>Gray Ltd-North</v>
      </c>
      <c r="L72" t="s">
        <v>1738</v>
      </c>
      <c r="M72">
        <v>1</v>
      </c>
      <c r="N72" s="3">
        <v>92.24</v>
      </c>
      <c r="O72" s="4">
        <v>0.28000000000000003</v>
      </c>
      <c r="P72" t="s">
        <v>1777</v>
      </c>
      <c r="Q72" s="4">
        <v>1087.997808251168</v>
      </c>
    </row>
    <row r="73" spans="1:17" x14ac:dyDescent="0.3">
      <c r="A73" t="s">
        <v>1845</v>
      </c>
      <c r="B73" t="str">
        <f t="shared" si="1"/>
        <v>Q3</v>
      </c>
      <c r="C73" t="str">
        <f>TEXT(Table1[[#This Row],[Order_Date]],"mmmm")</f>
        <v>August</v>
      </c>
      <c r="D73">
        <f>YEAR(Table1[[#This Row],[Order_Date]])</f>
        <v>2025</v>
      </c>
      <c r="E73" s="7">
        <v>45889</v>
      </c>
      <c r="F73" s="2" t="str">
        <f>VLOOKUP(Table1[[#This Row],[Customer_ID]],Customer_Dim!$A$2:$H$501,2,FALSE)</f>
        <v>Daniel Contreras</v>
      </c>
      <c r="G73" s="2" t="str">
        <f>_xlfn.XLOOKUP(Table1[[#This Row],[Customer_ID]],Customer_Dim!$A$2:$A$501,Customer_Dim!$E$2:$E$501)</f>
        <v>Robertview</v>
      </c>
      <c r="H73" t="s">
        <v>554</v>
      </c>
      <c r="I73" t="str">
        <f>VLOOKUP(Table1[[#This Row],[Product_ID]],Product_Dim!$A$2:$G$101,2,FALSE)</f>
        <v>Professional Jump Rope-Sports</v>
      </c>
      <c r="J73" t="s">
        <v>1667</v>
      </c>
      <c r="K73" t="str">
        <f>VLOOKUP(Table1[[#This Row],[Store_ID]],Store_Dim!$A$3:$D$22,2,FALSE)</f>
        <v>Martinez, Adkins and Johnson-North</v>
      </c>
      <c r="L73" t="s">
        <v>1728</v>
      </c>
      <c r="M73">
        <v>1</v>
      </c>
      <c r="N73" s="3">
        <v>668.3</v>
      </c>
      <c r="O73" s="4">
        <v>7.0000000000000007E-2</v>
      </c>
      <c r="P73" t="s">
        <v>1772</v>
      </c>
      <c r="Q73" s="4">
        <v>1243.038</v>
      </c>
    </row>
    <row r="74" spans="1:17" x14ac:dyDescent="0.3">
      <c r="A74" t="s">
        <v>1846</v>
      </c>
      <c r="B74" t="str">
        <f t="shared" si="1"/>
        <v>Q3</v>
      </c>
      <c r="C74" t="str">
        <f>TEXT(Table1[[#This Row],[Order_Date]],"mmmm")</f>
        <v>August</v>
      </c>
      <c r="D74">
        <f>YEAR(Table1[[#This Row],[Order_Date]])</f>
        <v>2024</v>
      </c>
      <c r="E74" s="7">
        <v>45533</v>
      </c>
      <c r="F74" s="2" t="str">
        <f>VLOOKUP(Table1[[#This Row],[Customer_ID]],Customer_Dim!$A$2:$H$501,2,FALSE)</f>
        <v>Sarah Smith</v>
      </c>
      <c r="G74" s="2" t="str">
        <f>_xlfn.XLOOKUP(Table1[[#This Row],[Customer_ID]],Customer_Dim!$A$2:$A$501,Customer_Dim!$E$2:$E$501)</f>
        <v>Kathleenport</v>
      </c>
      <c r="H74" t="s">
        <v>1258</v>
      </c>
      <c r="I74" t="str">
        <f>VLOOKUP(Table1[[#This Row],[Product_ID]],Product_Dim!$A$2:$G$101,2,FALSE)</f>
        <v>Sports Water Hydration Pack-Sports</v>
      </c>
      <c r="J74" t="s">
        <v>1599</v>
      </c>
      <c r="K74" t="str">
        <f>VLOOKUP(Table1[[#This Row],[Store_ID]],Store_Dim!$A$3:$D$22,2,FALSE)</f>
        <v>Gray Ltd-North</v>
      </c>
      <c r="L74" t="s">
        <v>1738</v>
      </c>
      <c r="M74">
        <v>1</v>
      </c>
      <c r="N74" s="3">
        <v>553.82000000000005</v>
      </c>
      <c r="O74" s="4">
        <v>0.09</v>
      </c>
      <c r="P74" t="s">
        <v>1772</v>
      </c>
      <c r="Q74" s="4">
        <v>503.97620000000012</v>
      </c>
    </row>
    <row r="75" spans="1:17" x14ac:dyDescent="0.3">
      <c r="A75" t="s">
        <v>1847</v>
      </c>
      <c r="B75" t="str">
        <f t="shared" si="1"/>
        <v>Q4</v>
      </c>
      <c r="C75" t="str">
        <f>TEXT(Table1[[#This Row],[Order_Date]],"mmmm")</f>
        <v>November</v>
      </c>
      <c r="D75">
        <f>YEAR(Table1[[#This Row],[Order_Date]])</f>
        <v>2024</v>
      </c>
      <c r="E75" s="7">
        <v>45626</v>
      </c>
      <c r="F75" s="2" t="str">
        <f>VLOOKUP(Table1[[#This Row],[Customer_ID]],Customer_Dim!$A$2:$H$501,2,FALSE)</f>
        <v>Christopher Carter</v>
      </c>
      <c r="G75" s="2" t="str">
        <f>_xlfn.XLOOKUP(Table1[[#This Row],[Customer_ID]],Customer_Dim!$A$2:$A$501,Customer_Dim!$E$2:$E$501)</f>
        <v>Brendastad</v>
      </c>
      <c r="H75" t="s">
        <v>146</v>
      </c>
      <c r="I75" t="str">
        <f>VLOOKUP(Table1[[#This Row],[Product_ID]],Product_Dim!$A$2:$G$101,2,FALSE)</f>
        <v>High-Grip Football-Sports</v>
      </c>
      <c r="J75" t="s">
        <v>1613</v>
      </c>
      <c r="K75" t="str">
        <f>VLOOKUP(Table1[[#This Row],[Store_ID]],Store_Dim!$A$3:$D$22,2,FALSE)</f>
        <v>Aguirre-Keller-South</v>
      </c>
      <c r="L75" t="s">
        <v>1750</v>
      </c>
      <c r="M75">
        <v>1</v>
      </c>
      <c r="N75" s="3">
        <v>556.42999999999995</v>
      </c>
      <c r="O75" s="4">
        <v>0.13</v>
      </c>
      <c r="P75" t="s">
        <v>1772</v>
      </c>
      <c r="Q75" s="4">
        <v>968.18819999999994</v>
      </c>
    </row>
    <row r="76" spans="1:17" x14ac:dyDescent="0.3">
      <c r="A76" t="s">
        <v>1848</v>
      </c>
      <c r="B76" t="str">
        <f t="shared" si="1"/>
        <v>Q4</v>
      </c>
      <c r="C76" t="str">
        <f>TEXT(Table1[[#This Row],[Order_Date]],"mmmm")</f>
        <v>October</v>
      </c>
      <c r="D76">
        <f>YEAR(Table1[[#This Row],[Order_Date]])</f>
        <v>2025</v>
      </c>
      <c r="E76" s="7">
        <v>45942</v>
      </c>
      <c r="F76" s="2" t="str">
        <f>VLOOKUP(Table1[[#This Row],[Customer_ID]],Customer_Dim!$A$2:$H$501,2,FALSE)</f>
        <v>Samantha Robinson</v>
      </c>
      <c r="G76" s="2" t="str">
        <f>_xlfn.XLOOKUP(Table1[[#This Row],[Customer_ID]],Customer_Dim!$A$2:$A$501,Customer_Dim!$E$2:$E$501)</f>
        <v>North Roy</v>
      </c>
      <c r="H76" t="s">
        <v>861</v>
      </c>
      <c r="I76" t="str">
        <f>VLOOKUP(Table1[[#This Row],[Product_ID]],Product_Dim!$A$2:$G$101,2,FALSE)</f>
        <v>Outdoor Sports Water Bottle-Sports</v>
      </c>
      <c r="J76" t="s">
        <v>1563</v>
      </c>
      <c r="K76" t="str">
        <f>VLOOKUP(Table1[[#This Row],[Store_ID]],Store_Dim!$A$3:$D$22,2,FALSE)</f>
        <v>Bean, Jones and Park-West</v>
      </c>
      <c r="L76" t="s">
        <v>1744</v>
      </c>
      <c r="M76">
        <v>1</v>
      </c>
      <c r="N76" s="3">
        <v>184.98</v>
      </c>
      <c r="O76" s="4">
        <v>0.1</v>
      </c>
      <c r="P76" t="s">
        <v>1777</v>
      </c>
      <c r="Q76" s="4">
        <v>166.482</v>
      </c>
    </row>
    <row r="77" spans="1:17" x14ac:dyDescent="0.3">
      <c r="A77" t="s">
        <v>1849</v>
      </c>
      <c r="B77" t="str">
        <f t="shared" si="1"/>
        <v>Q3</v>
      </c>
      <c r="C77" t="str">
        <f>TEXT(Table1[[#This Row],[Order_Date]],"mmmm")</f>
        <v>July</v>
      </c>
      <c r="D77">
        <f>YEAR(Table1[[#This Row],[Order_Date]])</f>
        <v>2024</v>
      </c>
      <c r="E77" s="7">
        <v>45500</v>
      </c>
      <c r="F77" s="2" t="str">
        <f>VLOOKUP(Table1[[#This Row],[Customer_ID]],Customer_Dim!$A$2:$H$501,2,FALSE)</f>
        <v>Rachel Myers</v>
      </c>
      <c r="G77" s="2" t="str">
        <f>_xlfn.XLOOKUP(Table1[[#This Row],[Customer_ID]],Customer_Dim!$A$2:$A$501,Customer_Dim!$E$2:$E$501)</f>
        <v>Robertberg</v>
      </c>
      <c r="H77" t="s">
        <v>140</v>
      </c>
      <c r="I77" t="str">
        <f>VLOOKUP(Table1[[#This Row],[Product_ID]],Product_Dim!$A$2:$G$101,2,FALSE)</f>
        <v>Cricket Bat-Sports</v>
      </c>
      <c r="J77" t="s">
        <v>1717</v>
      </c>
      <c r="K77" t="str">
        <f>VLOOKUP(Table1[[#This Row],[Store_ID]],Store_Dim!$A$3:$D$22,2,FALSE)</f>
        <v>Thomas, Bridges and Harris-North</v>
      </c>
      <c r="L77" t="s">
        <v>1751</v>
      </c>
      <c r="M77">
        <v>1</v>
      </c>
      <c r="N77" s="3">
        <v>700.18</v>
      </c>
      <c r="O77" s="4">
        <v>0.23</v>
      </c>
      <c r="P77" t="s">
        <v>1772</v>
      </c>
      <c r="Q77" s="4">
        <v>2156.5544</v>
      </c>
    </row>
    <row r="78" spans="1:17" x14ac:dyDescent="0.3">
      <c r="A78" t="s">
        <v>1850</v>
      </c>
      <c r="B78" t="str">
        <f t="shared" si="1"/>
        <v>Q4</v>
      </c>
      <c r="C78" t="str">
        <f>TEXT(Table1[[#This Row],[Order_Date]],"mmmm")</f>
        <v>December</v>
      </c>
      <c r="D78">
        <f>YEAR(Table1[[#This Row],[Order_Date]])</f>
        <v>2023</v>
      </c>
      <c r="E78" s="7">
        <v>45285</v>
      </c>
      <c r="F78" s="2" t="str">
        <f>VLOOKUP(Table1[[#This Row],[Customer_ID]],Customer_Dim!$A$2:$H$501,2,FALSE)</f>
        <v>Michael Torres</v>
      </c>
      <c r="G78" s="2" t="str">
        <f>_xlfn.XLOOKUP(Table1[[#This Row],[Customer_ID]],Customer_Dim!$A$2:$A$501,Customer_Dim!$E$2:$E$501)</f>
        <v>Gonzalezfort</v>
      </c>
      <c r="H78" t="s">
        <v>85</v>
      </c>
      <c r="I78" t="str">
        <f>VLOOKUP(Table1[[#This Row],[Product_ID]],Product_Dim!$A$2:$G$101,2,FALSE)</f>
        <v>Wireless Mouse-Electronics</v>
      </c>
      <c r="J78" t="s">
        <v>1675</v>
      </c>
      <c r="K78" t="str">
        <f>VLOOKUP(Table1[[#This Row],[Store_ID]],Store_Dim!$A$3:$D$22,2,FALSE)</f>
        <v>Hill, Wagner and Ballard-East</v>
      </c>
      <c r="L78" t="s">
        <v>1748</v>
      </c>
      <c r="M78">
        <v>1</v>
      </c>
      <c r="N78" s="3">
        <v>686.31</v>
      </c>
      <c r="O78" s="4">
        <v>0.25</v>
      </c>
      <c r="P78" t="s">
        <v>1772</v>
      </c>
      <c r="Q78" s="4">
        <v>1029.4649999999999</v>
      </c>
    </row>
    <row r="79" spans="1:17" x14ac:dyDescent="0.3">
      <c r="A79" t="s">
        <v>1851</v>
      </c>
      <c r="B79" t="str">
        <f t="shared" si="1"/>
        <v>Q2</v>
      </c>
      <c r="C79" t="str">
        <f>TEXT(Table1[[#This Row],[Order_Date]],"mmmm")</f>
        <v>May</v>
      </c>
      <c r="D79">
        <f>YEAR(Table1[[#This Row],[Order_Date]])</f>
        <v>2025</v>
      </c>
      <c r="E79" s="7">
        <v>45800</v>
      </c>
      <c r="F79" s="2" t="str">
        <f>VLOOKUP(Table1[[#This Row],[Customer_ID]],Customer_Dim!$A$2:$H$501,2,FALSE)</f>
        <v>Daniel Boyd</v>
      </c>
      <c r="G79" s="2" t="str">
        <f>_xlfn.XLOOKUP(Table1[[#This Row],[Customer_ID]],Customer_Dim!$A$2:$A$501,Customer_Dim!$E$2:$E$501)</f>
        <v>West Pamelafurt</v>
      </c>
      <c r="H79" t="s">
        <v>40</v>
      </c>
      <c r="I79" t="str">
        <f>VLOOKUP(Table1[[#This Row],[Product_ID]],Product_Dim!$A$2:$G$101,2,FALSE)</f>
        <v>Smart LED Light Strip-Electronics</v>
      </c>
      <c r="J79" t="s">
        <v>1657</v>
      </c>
      <c r="K79" t="str">
        <f>VLOOKUP(Table1[[#This Row],[Store_ID]],Store_Dim!$A$3:$D$22,2,FALSE)</f>
        <v>Shelton PLC-North</v>
      </c>
      <c r="L79" t="s">
        <v>1755</v>
      </c>
      <c r="M79">
        <v>1</v>
      </c>
      <c r="N79" s="3">
        <v>687.82</v>
      </c>
      <c r="O79" s="4">
        <v>0.27</v>
      </c>
      <c r="P79" t="s">
        <v>1777</v>
      </c>
      <c r="Q79" s="4">
        <v>502.10860000000002</v>
      </c>
    </row>
    <row r="80" spans="1:17" x14ac:dyDescent="0.3">
      <c r="A80" t="s">
        <v>1852</v>
      </c>
      <c r="B80" t="str">
        <f t="shared" si="1"/>
        <v>Q4</v>
      </c>
      <c r="C80" t="str">
        <f>TEXT(Table1[[#This Row],[Order_Date]],"mmmm")</f>
        <v>November</v>
      </c>
      <c r="D80">
        <f>YEAR(Table1[[#This Row],[Order_Date]])</f>
        <v>2024</v>
      </c>
      <c r="E80" s="7">
        <v>45609</v>
      </c>
      <c r="F80" s="2" t="str">
        <f>VLOOKUP(Table1[[#This Row],[Customer_ID]],Customer_Dim!$A$2:$H$501,2,FALSE)</f>
        <v>Lisa Young</v>
      </c>
      <c r="G80" s="2" t="str">
        <f>_xlfn.XLOOKUP(Table1[[#This Row],[Customer_ID]],Customer_Dim!$A$2:$A$501,Customer_Dim!$E$2:$E$501)</f>
        <v>Maybury</v>
      </c>
      <c r="H80" t="s">
        <v>710</v>
      </c>
      <c r="I80" t="str">
        <f>VLOOKUP(Table1[[#This Row],[Product_ID]],Product_Dim!$A$2:$G$101,2,FALSE)</f>
        <v>Hydrating Face Cleanser-Beauty</v>
      </c>
      <c r="J80" t="s">
        <v>1689</v>
      </c>
      <c r="K80" t="str">
        <f>VLOOKUP(Table1[[#This Row],[Store_ID]],Store_Dim!$A$3:$D$22,2,FALSE)</f>
        <v>Bean, Jones and Park-West</v>
      </c>
      <c r="L80" t="s">
        <v>1744</v>
      </c>
      <c r="M80">
        <v>1</v>
      </c>
      <c r="N80" s="3">
        <v>900.55</v>
      </c>
      <c r="O80" s="4">
        <v>0.16</v>
      </c>
      <c r="P80" t="s">
        <v>1772</v>
      </c>
      <c r="Q80" s="4">
        <v>1512.924</v>
      </c>
    </row>
    <row r="81" spans="1:17" x14ac:dyDescent="0.3">
      <c r="A81" t="s">
        <v>1853</v>
      </c>
      <c r="B81" t="str">
        <f t="shared" si="1"/>
        <v>Q4</v>
      </c>
      <c r="C81" t="str">
        <f>TEXT(Table1[[#This Row],[Order_Date]],"mmmm")</f>
        <v>December</v>
      </c>
      <c r="D81">
        <f>YEAR(Table1[[#This Row],[Order_Date]])</f>
        <v>2023</v>
      </c>
      <c r="E81" s="7">
        <v>45268</v>
      </c>
      <c r="F81" s="2" t="str">
        <f>VLOOKUP(Table1[[#This Row],[Customer_ID]],Customer_Dim!$A$2:$H$501,2,FALSE)</f>
        <v>Tyler Conrad</v>
      </c>
      <c r="G81" s="2" t="str">
        <f>_xlfn.XLOOKUP(Table1[[#This Row],[Customer_ID]],Customer_Dim!$A$2:$A$501,Customer_Dim!$E$2:$E$501)</f>
        <v>North Curtischester</v>
      </c>
      <c r="H81" t="s">
        <v>397</v>
      </c>
      <c r="I81" t="str">
        <f>VLOOKUP(Table1[[#This Row],[Product_ID]],Product_Dim!$A$2:$G$101,2,FALSE)</f>
        <v>Multi-Purpose Storage Box-Home</v>
      </c>
      <c r="J81" t="s">
        <v>1565</v>
      </c>
      <c r="K81" t="str">
        <f>VLOOKUP(Table1[[#This Row],[Store_ID]],Store_Dim!$A$3:$D$22,2,FALSE)</f>
        <v>Black-Horn-South</v>
      </c>
      <c r="L81" t="s">
        <v>1730</v>
      </c>
      <c r="M81">
        <v>1</v>
      </c>
      <c r="N81" s="3">
        <v>341.17</v>
      </c>
      <c r="O81" s="4">
        <v>0.15</v>
      </c>
      <c r="P81" t="s">
        <v>1772</v>
      </c>
      <c r="Q81" s="4">
        <v>289.99450000000002</v>
      </c>
    </row>
    <row r="82" spans="1:17" x14ac:dyDescent="0.3">
      <c r="A82" t="s">
        <v>1854</v>
      </c>
      <c r="B82" t="str">
        <f t="shared" si="1"/>
        <v>Q3</v>
      </c>
      <c r="C82" t="str">
        <f>TEXT(Table1[[#This Row],[Order_Date]],"mmmm")</f>
        <v>August</v>
      </c>
      <c r="D82">
        <f>YEAR(Table1[[#This Row],[Order_Date]])</f>
        <v>2025</v>
      </c>
      <c r="E82" s="7">
        <v>45885</v>
      </c>
      <c r="F82" s="2" t="str">
        <f>VLOOKUP(Table1[[#This Row],[Customer_ID]],Customer_Dim!$A$2:$H$501,2,FALSE)</f>
        <v>John Bradford</v>
      </c>
      <c r="G82" s="2" t="str">
        <f>_xlfn.XLOOKUP(Table1[[#This Row],[Customer_ID]],Customer_Dim!$A$2:$A$501,Customer_Dim!$E$2:$E$501)</f>
        <v>Anabury</v>
      </c>
      <c r="H82" t="s">
        <v>576</v>
      </c>
      <c r="I82" t="str">
        <f>VLOOKUP(Table1[[#This Row],[Product_ID]],Product_Dim!$A$2:$G$101,2,FALSE)</f>
        <v>Rugby Ball-Sports</v>
      </c>
      <c r="J82" t="s">
        <v>1627</v>
      </c>
      <c r="K82" t="str">
        <f>VLOOKUP(Table1[[#This Row],[Store_ID]],Store_Dim!$A$3:$D$22,2,FALSE)</f>
        <v>Bean, Jones and Park-West</v>
      </c>
      <c r="L82" t="s">
        <v>1744</v>
      </c>
      <c r="M82">
        <v>1</v>
      </c>
      <c r="N82" s="3">
        <v>442.27</v>
      </c>
      <c r="O82" s="4">
        <v>0.06</v>
      </c>
      <c r="P82" t="s">
        <v>1777</v>
      </c>
      <c r="Q82" s="4">
        <v>415.73379999999997</v>
      </c>
    </row>
    <row r="83" spans="1:17" x14ac:dyDescent="0.3">
      <c r="A83" t="s">
        <v>1855</v>
      </c>
      <c r="B83" t="str">
        <f t="shared" si="1"/>
        <v>Q4</v>
      </c>
      <c r="C83" t="str">
        <f>TEXT(Table1[[#This Row],[Order_Date]],"mmmm")</f>
        <v>November</v>
      </c>
      <c r="D83">
        <f>YEAR(Table1[[#This Row],[Order_Date]])</f>
        <v>2024</v>
      </c>
      <c r="E83" s="7">
        <v>45616</v>
      </c>
      <c r="F83" s="2" t="str">
        <f>VLOOKUP(Table1[[#This Row],[Customer_ID]],Customer_Dim!$A$2:$H$501,2,FALSE)</f>
        <v>Dr. Ashley Yates Md</v>
      </c>
      <c r="G83" s="2" t="str">
        <f>_xlfn.XLOOKUP(Table1[[#This Row],[Customer_ID]],Customer_Dim!$A$2:$A$501,Customer_Dim!$E$2:$E$501)</f>
        <v>New Maria</v>
      </c>
      <c r="H83" t="s">
        <v>803</v>
      </c>
      <c r="I83" t="str">
        <f>VLOOKUP(Table1[[#This Row],[Product_ID]],Product_Dim!$A$2:$G$101,2,FALSE)</f>
        <v>Hair Repair Oil Treatment-Beauty</v>
      </c>
      <c r="J83" t="s">
        <v>1665</v>
      </c>
      <c r="K83" t="str">
        <f>VLOOKUP(Table1[[#This Row],[Store_ID]],Store_Dim!$A$3:$D$22,2,FALSE)</f>
        <v>Moore, Padilla and Butler-South</v>
      </c>
      <c r="L83" t="s">
        <v>1746</v>
      </c>
      <c r="M83">
        <v>1</v>
      </c>
      <c r="N83" s="3">
        <v>363.73</v>
      </c>
      <c r="O83" s="4">
        <v>0.25</v>
      </c>
      <c r="P83" t="s">
        <v>1774</v>
      </c>
      <c r="Q83" s="4">
        <v>272.79750000000001</v>
      </c>
    </row>
    <row r="84" spans="1:17" x14ac:dyDescent="0.3">
      <c r="A84" t="s">
        <v>1856</v>
      </c>
      <c r="B84" t="str">
        <f t="shared" si="1"/>
        <v>Q3</v>
      </c>
      <c r="C84" t="str">
        <f>TEXT(Table1[[#This Row],[Order_Date]],"mmmm")</f>
        <v>August</v>
      </c>
      <c r="D84">
        <f>YEAR(Table1[[#This Row],[Order_Date]])</f>
        <v>2024</v>
      </c>
      <c r="E84" s="7">
        <v>45518</v>
      </c>
      <c r="F84" s="2" t="str">
        <f>VLOOKUP(Table1[[#This Row],[Customer_ID]],Customer_Dim!$A$2:$H$501,2,FALSE)</f>
        <v>Frank Stewart</v>
      </c>
      <c r="G84" s="2" t="str">
        <f>_xlfn.XLOOKUP(Table1[[#This Row],[Customer_ID]],Customer_Dim!$A$2:$A$501,Customer_Dim!$E$2:$E$501)</f>
        <v>Fischerborough</v>
      </c>
      <c r="H84" t="s">
        <v>1168</v>
      </c>
      <c r="I84" t="str">
        <f>VLOOKUP(Table1[[#This Row],[Product_ID]],Product_Dim!$A$2:$G$101,2,FALSE)</f>
        <v>Women's High Heels-Clothing</v>
      </c>
      <c r="J84" t="s">
        <v>1705</v>
      </c>
      <c r="K84" t="str">
        <f>VLOOKUP(Table1[[#This Row],[Store_ID]],Store_Dim!$A$3:$D$22,2,FALSE)</f>
        <v>Holloway Ltd-North</v>
      </c>
      <c r="L84" t="s">
        <v>1759</v>
      </c>
      <c r="M84">
        <v>1</v>
      </c>
      <c r="N84" s="3">
        <v>601.33000000000004</v>
      </c>
      <c r="O84" s="4">
        <v>0.16</v>
      </c>
      <c r="P84" t="s">
        <v>1774</v>
      </c>
      <c r="Q84" s="4">
        <v>1010.2344000000001</v>
      </c>
    </row>
    <row r="85" spans="1:17" x14ac:dyDescent="0.3">
      <c r="A85" t="s">
        <v>1857</v>
      </c>
      <c r="B85" t="str">
        <f t="shared" si="1"/>
        <v>Q2</v>
      </c>
      <c r="C85" t="str">
        <f>TEXT(Table1[[#This Row],[Order_Date]],"mmmm")</f>
        <v>May</v>
      </c>
      <c r="D85">
        <f>YEAR(Table1[[#This Row],[Order_Date]])</f>
        <v>2024</v>
      </c>
      <c r="E85" s="7">
        <v>45427</v>
      </c>
      <c r="F85" s="2" t="str">
        <f>VLOOKUP(Table1[[#This Row],[Customer_ID]],Customer_Dim!$A$2:$H$501,2,FALSE)</f>
        <v>Justin Ingram</v>
      </c>
      <c r="G85" s="2" t="str">
        <f>_xlfn.XLOOKUP(Table1[[#This Row],[Customer_ID]],Customer_Dim!$A$2:$A$501,Customer_Dim!$E$2:$E$501)</f>
        <v>Lake Lisaland</v>
      </c>
      <c r="H85" t="s">
        <v>1240</v>
      </c>
      <c r="I85" t="str">
        <f>VLOOKUP(Table1[[#This Row],[Product_ID]],Product_Dim!$A$2:$G$101,2,FALSE)</f>
        <v>Soccer Training Cone Set-Sports</v>
      </c>
      <c r="J85" t="s">
        <v>1557</v>
      </c>
      <c r="K85" t="str">
        <f>VLOOKUP(Table1[[#This Row],[Store_ID]],Store_Dim!$A$3:$D$22,2,FALSE)</f>
        <v>Guerrero-Schmitt-East</v>
      </c>
      <c r="L85" t="s">
        <v>1761</v>
      </c>
      <c r="M85">
        <v>1</v>
      </c>
      <c r="N85" s="3">
        <v>34.39</v>
      </c>
      <c r="O85" s="4">
        <v>0.03</v>
      </c>
      <c r="P85" t="s">
        <v>1774</v>
      </c>
      <c r="Q85" s="4">
        <v>133.4332</v>
      </c>
    </row>
    <row r="86" spans="1:17" x14ac:dyDescent="0.3">
      <c r="A86" t="s">
        <v>1858</v>
      </c>
      <c r="B86" t="str">
        <f t="shared" si="1"/>
        <v>Q4</v>
      </c>
      <c r="C86" t="str">
        <f>TEXT(Table1[[#This Row],[Order_Date]],"mmmm")</f>
        <v>December</v>
      </c>
      <c r="D86">
        <f>YEAR(Table1[[#This Row],[Order_Date]])</f>
        <v>2023</v>
      </c>
      <c r="E86" s="7">
        <v>45268</v>
      </c>
      <c r="F86" s="2" t="str">
        <f>VLOOKUP(Table1[[#This Row],[Customer_ID]],Customer_Dim!$A$2:$H$501,2,FALSE)</f>
        <v>Rebecca Baker</v>
      </c>
      <c r="G86" s="2" t="str">
        <f>_xlfn.XLOOKUP(Table1[[#This Row],[Customer_ID]],Customer_Dim!$A$2:$A$501,Customer_Dim!$E$2:$E$501)</f>
        <v>New Katherine</v>
      </c>
      <c r="H86" t="s">
        <v>1297</v>
      </c>
      <c r="I86" t="str">
        <f>VLOOKUP(Table1[[#This Row],[Product_ID]],Product_Dim!$A$2:$G$101,2,FALSE)</f>
        <v>Men's Winter Jacket-Clothing</v>
      </c>
      <c r="J86" t="s">
        <v>1615</v>
      </c>
      <c r="K86" t="str">
        <f>VLOOKUP(Table1[[#This Row],[Store_ID]],Store_Dim!$A$3:$D$22,2,FALSE)</f>
        <v>Holloway Ltd-North</v>
      </c>
      <c r="L86" t="s">
        <v>1759</v>
      </c>
      <c r="M86">
        <v>1</v>
      </c>
      <c r="N86" s="3">
        <v>773.57</v>
      </c>
      <c r="O86" s="4">
        <v>0.05</v>
      </c>
      <c r="P86" t="s">
        <v>1777</v>
      </c>
      <c r="Q86" s="4">
        <v>1090.0558237722053</v>
      </c>
    </row>
    <row r="87" spans="1:17" x14ac:dyDescent="0.3">
      <c r="A87" t="s">
        <v>1859</v>
      </c>
      <c r="B87" t="str">
        <f t="shared" si="1"/>
        <v>Q4</v>
      </c>
      <c r="C87" t="str">
        <f>TEXT(Table1[[#This Row],[Order_Date]],"mmmm")</f>
        <v>December</v>
      </c>
      <c r="D87">
        <f>YEAR(Table1[[#This Row],[Order_Date]])</f>
        <v>2023</v>
      </c>
      <c r="E87" s="7">
        <v>45282</v>
      </c>
      <c r="F87" s="2" t="str">
        <f>VLOOKUP(Table1[[#This Row],[Customer_ID]],Customer_Dim!$A$2:$H$501,2,FALSE)</f>
        <v>Katherine Dorsey</v>
      </c>
      <c r="G87" s="2" t="str">
        <f>_xlfn.XLOOKUP(Table1[[#This Row],[Customer_ID]],Customer_Dim!$A$2:$A$501,Customer_Dim!$E$2:$E$501)</f>
        <v>Christopherland</v>
      </c>
      <c r="H87" t="s">
        <v>202</v>
      </c>
      <c r="I87" t="str">
        <f>VLOOKUP(Table1[[#This Row],[Product_ID]],Product_Dim!$A$2:$G$101,2,FALSE)</f>
        <v>Sports Wrist Sweatbands-Sports</v>
      </c>
      <c r="J87" t="s">
        <v>1699</v>
      </c>
      <c r="K87" t="str">
        <f>VLOOKUP(Table1[[#This Row],[Store_ID]],Store_Dim!$A$3:$D$22,2,FALSE)</f>
        <v>Martinez-Mullins-South</v>
      </c>
      <c r="L87" t="s">
        <v>1742</v>
      </c>
      <c r="M87">
        <v>1</v>
      </c>
      <c r="N87" s="3">
        <v>127.1</v>
      </c>
      <c r="O87" s="4">
        <v>0.24</v>
      </c>
      <c r="P87" t="s">
        <v>1777</v>
      </c>
      <c r="Q87" s="4">
        <v>386.38400000000001</v>
      </c>
    </row>
    <row r="88" spans="1:17" x14ac:dyDescent="0.3">
      <c r="A88" t="s">
        <v>1860</v>
      </c>
      <c r="B88" t="str">
        <f t="shared" si="1"/>
        <v>Q3</v>
      </c>
      <c r="C88" t="str">
        <f>TEXT(Table1[[#This Row],[Order_Date]],"mmmm")</f>
        <v>September</v>
      </c>
      <c r="D88">
        <f>YEAR(Table1[[#This Row],[Order_Date]])</f>
        <v>2024</v>
      </c>
      <c r="E88" s="7">
        <v>45545</v>
      </c>
      <c r="F88" s="2" t="str">
        <f>VLOOKUP(Table1[[#This Row],[Customer_ID]],Customer_Dim!$A$2:$H$501,2,FALSE)</f>
        <v>John Sloan</v>
      </c>
      <c r="G88" s="2" t="str">
        <f>_xlfn.XLOOKUP(Table1[[#This Row],[Customer_ID]],Customer_Dim!$A$2:$A$501,Customer_Dim!$E$2:$E$501)</f>
        <v>East Johntown</v>
      </c>
      <c r="H88" t="s">
        <v>948</v>
      </c>
      <c r="I88" t="str">
        <f>VLOOKUP(Table1[[#This Row],[Product_ID]],Product_Dim!$A$2:$G$101,2,FALSE)</f>
        <v>Outdoor Sports Water Bottle-Sports</v>
      </c>
      <c r="J88" t="s">
        <v>1563</v>
      </c>
      <c r="K88" t="str">
        <f>VLOOKUP(Table1[[#This Row],[Store_ID]],Store_Dim!$A$3:$D$22,2,FALSE)</f>
        <v>Johnson-Wright-North</v>
      </c>
      <c r="L88" t="s">
        <v>1733</v>
      </c>
      <c r="M88">
        <v>1</v>
      </c>
      <c r="N88" s="3">
        <v>899.58</v>
      </c>
      <c r="O88" s="4">
        <v>0.28000000000000003</v>
      </c>
      <c r="P88" t="s">
        <v>1774</v>
      </c>
      <c r="Q88" s="4">
        <v>1943.0927999999999</v>
      </c>
    </row>
    <row r="89" spans="1:17" x14ac:dyDescent="0.3">
      <c r="A89" t="s">
        <v>1861</v>
      </c>
      <c r="B89" t="str">
        <f t="shared" si="1"/>
        <v>Q2</v>
      </c>
      <c r="C89" t="str">
        <f>TEXT(Table1[[#This Row],[Order_Date]],"mmmm")</f>
        <v>April</v>
      </c>
      <c r="D89">
        <f>YEAR(Table1[[#This Row],[Order_Date]])</f>
        <v>2025</v>
      </c>
      <c r="E89" s="7">
        <v>45755</v>
      </c>
      <c r="F89" s="2" t="str">
        <f>VLOOKUP(Table1[[#This Row],[Customer_ID]],Customer_Dim!$A$2:$H$501,2,FALSE)</f>
        <v>Reginald Willis</v>
      </c>
      <c r="G89" s="2" t="str">
        <f>_xlfn.XLOOKUP(Table1[[#This Row],[Customer_ID]],Customer_Dim!$A$2:$A$501,Customer_Dim!$E$2:$E$501)</f>
        <v>Kellybury</v>
      </c>
      <c r="H89" t="s">
        <v>1018</v>
      </c>
      <c r="I89" t="str">
        <f>VLOOKUP(Table1[[#This Row],[Product_ID]],Product_Dim!$A$2:$G$101,2,FALSE)</f>
        <v>Men's Graphic T-Shirt-Clothing</v>
      </c>
      <c r="J89" t="s">
        <v>1525</v>
      </c>
      <c r="K89" t="str">
        <f>VLOOKUP(Table1[[#This Row],[Store_ID]],Store_Dim!$A$3:$D$22,2,FALSE)</f>
        <v>Hill, Wagner and Ballard-East</v>
      </c>
      <c r="L89" t="s">
        <v>1748</v>
      </c>
      <c r="M89">
        <v>1</v>
      </c>
      <c r="N89" s="3">
        <v>964.39</v>
      </c>
      <c r="O89" s="4">
        <v>0.04</v>
      </c>
      <c r="P89" t="s">
        <v>1772</v>
      </c>
      <c r="Q89" s="4">
        <v>2777.4432000000002</v>
      </c>
    </row>
    <row r="90" spans="1:17" x14ac:dyDescent="0.3">
      <c r="A90" t="s">
        <v>1862</v>
      </c>
      <c r="B90" t="str">
        <f t="shared" si="1"/>
        <v>Q4</v>
      </c>
      <c r="C90" t="str">
        <f>TEXT(Table1[[#This Row],[Order_Date]],"mmmm")</f>
        <v>October</v>
      </c>
      <c r="D90">
        <f>YEAR(Table1[[#This Row],[Order_Date]])</f>
        <v>2024</v>
      </c>
      <c r="E90" s="7">
        <v>45588</v>
      </c>
      <c r="F90" s="2" t="str">
        <f>VLOOKUP(Table1[[#This Row],[Customer_ID]],Customer_Dim!$A$2:$H$501,2,FALSE)</f>
        <v>Mario Jacobs</v>
      </c>
      <c r="G90" s="2" t="str">
        <f>_xlfn.XLOOKUP(Table1[[#This Row],[Customer_ID]],Customer_Dim!$A$2:$A$501,Customer_Dim!$E$2:$E$501)</f>
        <v>Port James</v>
      </c>
      <c r="H90" t="s">
        <v>598</v>
      </c>
      <c r="I90" t="str">
        <f>VLOOKUP(Table1[[#This Row],[Product_ID]],Product_Dim!$A$2:$G$101,2,FALSE)</f>
        <v>Sports Water Hydration Pack-Sports</v>
      </c>
      <c r="J90" t="s">
        <v>1599</v>
      </c>
      <c r="K90" t="str">
        <f>VLOOKUP(Table1[[#This Row],[Store_ID]],Store_Dim!$A$3:$D$22,2,FALSE)</f>
        <v>Rivera-Warner-East</v>
      </c>
      <c r="L90" t="s">
        <v>1725</v>
      </c>
      <c r="M90">
        <v>1</v>
      </c>
      <c r="N90" s="3">
        <v>217.83</v>
      </c>
      <c r="O90" s="4">
        <v>0.14000000000000001</v>
      </c>
      <c r="P90" t="s">
        <v>1774</v>
      </c>
      <c r="Q90" s="4">
        <v>374.66759999999999</v>
      </c>
    </row>
    <row r="91" spans="1:17" x14ac:dyDescent="0.3">
      <c r="A91" t="s">
        <v>1863</v>
      </c>
      <c r="B91" t="str">
        <f t="shared" si="1"/>
        <v>Q3</v>
      </c>
      <c r="C91" t="str">
        <f>TEXT(Table1[[#This Row],[Order_Date]],"mmmm")</f>
        <v>July</v>
      </c>
      <c r="D91">
        <f>YEAR(Table1[[#This Row],[Order_Date]])</f>
        <v>2025</v>
      </c>
      <c r="E91" s="7">
        <v>45848</v>
      </c>
      <c r="F91" s="2" t="str">
        <f>VLOOKUP(Table1[[#This Row],[Customer_ID]],Customer_Dim!$A$2:$H$501,2,FALSE)</f>
        <v>Carlos Skinner</v>
      </c>
      <c r="G91" s="2" t="str">
        <f>_xlfn.XLOOKUP(Table1[[#This Row],[Customer_ID]],Customer_Dim!$A$2:$A$501,Customer_Dim!$E$2:$E$501)</f>
        <v>Dwaynemouth</v>
      </c>
      <c r="H91" t="s">
        <v>479</v>
      </c>
      <c r="I91" t="str">
        <f>VLOOKUP(Table1[[#This Row],[Product_ID]],Product_Dim!$A$2:$G$101,2,FALSE)</f>
        <v>Soccer Training Cone Set-Sports</v>
      </c>
      <c r="J91" t="s">
        <v>1557</v>
      </c>
      <c r="K91" t="str">
        <f>VLOOKUP(Table1[[#This Row],[Store_ID]],Store_Dim!$A$3:$D$22,2,FALSE)</f>
        <v>Martinez, Adkins and Johnson-North</v>
      </c>
      <c r="L91" t="s">
        <v>1728</v>
      </c>
      <c r="M91">
        <v>1</v>
      </c>
      <c r="N91" s="3">
        <v>187.71</v>
      </c>
      <c r="O91" s="4">
        <v>0.06</v>
      </c>
      <c r="P91" t="s">
        <v>1777</v>
      </c>
      <c r="Q91" s="4">
        <v>705.78959999999995</v>
      </c>
    </row>
    <row r="92" spans="1:17" x14ac:dyDescent="0.3">
      <c r="A92" t="s">
        <v>1864</v>
      </c>
      <c r="B92" t="str">
        <f t="shared" si="1"/>
        <v>Q4</v>
      </c>
      <c r="C92" t="str">
        <f>TEXT(Table1[[#This Row],[Order_Date]],"mmmm")</f>
        <v>October</v>
      </c>
      <c r="D92">
        <f>YEAR(Table1[[#This Row],[Order_Date]])</f>
        <v>2024</v>
      </c>
      <c r="E92" s="7">
        <v>45577</v>
      </c>
      <c r="F92" s="2" t="str">
        <f>VLOOKUP(Table1[[#This Row],[Customer_ID]],Customer_Dim!$A$2:$H$501,2,FALSE)</f>
        <v>Dominic Page</v>
      </c>
      <c r="G92" s="2" t="str">
        <f>_xlfn.XLOOKUP(Table1[[#This Row],[Customer_ID]],Customer_Dim!$A$2:$A$501,Customer_Dim!$E$2:$E$501)</f>
        <v>Port Michaelburgh</v>
      </c>
      <c r="H92" t="s">
        <v>52</v>
      </c>
      <c r="I92" t="str">
        <f>VLOOKUP(Table1[[#This Row],[Product_ID]],Product_Dim!$A$2:$G$101,2,FALSE)</f>
        <v>Modern Wall Clock-Home</v>
      </c>
      <c r="J92" t="s">
        <v>1589</v>
      </c>
      <c r="K92" t="str">
        <f>VLOOKUP(Table1[[#This Row],[Store_ID]],Store_Dim!$A$3:$D$22,2,FALSE)</f>
        <v>Guerrero-Schmitt-East</v>
      </c>
      <c r="L92" t="s">
        <v>1761</v>
      </c>
      <c r="M92">
        <v>1</v>
      </c>
      <c r="N92" s="3">
        <v>350.12</v>
      </c>
      <c r="O92" s="4">
        <v>0.12</v>
      </c>
      <c r="P92" t="s">
        <v>1777</v>
      </c>
      <c r="Q92" s="4">
        <v>616.21119999999996</v>
      </c>
    </row>
    <row r="93" spans="1:17" x14ac:dyDescent="0.3">
      <c r="A93" t="s">
        <v>1865</v>
      </c>
      <c r="B93" t="str">
        <f t="shared" si="1"/>
        <v>Q1</v>
      </c>
      <c r="C93" t="str">
        <f>TEXT(Table1[[#This Row],[Order_Date]],"mmmm")</f>
        <v>January</v>
      </c>
      <c r="D93">
        <f>YEAR(Table1[[#This Row],[Order_Date]])</f>
        <v>2024</v>
      </c>
      <c r="E93" s="7">
        <v>45312</v>
      </c>
      <c r="F93" s="2" t="str">
        <f>VLOOKUP(Table1[[#This Row],[Customer_ID]],Customer_Dim!$A$2:$H$501,2,FALSE)</f>
        <v>David Lozano</v>
      </c>
      <c r="G93" s="2" t="str">
        <f>_xlfn.XLOOKUP(Table1[[#This Row],[Customer_ID]],Customer_Dim!$A$2:$A$501,Customer_Dim!$E$2:$E$501)</f>
        <v>North Michaelfurt</v>
      </c>
      <c r="H93" t="s">
        <v>1249</v>
      </c>
      <c r="I93" t="str">
        <f>VLOOKUP(Table1[[#This Row],[Product_ID]],Product_Dim!$A$2:$G$101,2,FALSE)</f>
        <v>Beard Grooming Kit-Beauty</v>
      </c>
      <c r="J93" t="s">
        <v>1555</v>
      </c>
      <c r="K93" t="str">
        <f>VLOOKUP(Table1[[#This Row],[Store_ID]],Store_Dim!$A$3:$D$22,2,FALSE)</f>
        <v>Martinez, Adkins and Johnson-North</v>
      </c>
      <c r="L93" t="s">
        <v>1728</v>
      </c>
      <c r="M93">
        <v>1</v>
      </c>
      <c r="N93" s="3">
        <v>102.19</v>
      </c>
      <c r="O93" s="4">
        <v>0.17</v>
      </c>
      <c r="P93" t="s">
        <v>1774</v>
      </c>
      <c r="Q93" s="4">
        <v>339.27080000000001</v>
      </c>
    </row>
    <row r="94" spans="1:17" x14ac:dyDescent="0.3">
      <c r="A94" t="s">
        <v>1866</v>
      </c>
      <c r="B94" t="str">
        <f t="shared" si="1"/>
        <v>Q1</v>
      </c>
      <c r="C94" t="str">
        <f>TEXT(Table1[[#This Row],[Order_Date]],"mmmm")</f>
        <v>February</v>
      </c>
      <c r="D94">
        <f>YEAR(Table1[[#This Row],[Order_Date]])</f>
        <v>2024</v>
      </c>
      <c r="E94" s="7">
        <v>45350</v>
      </c>
      <c r="F94" s="2" t="str">
        <f>VLOOKUP(Table1[[#This Row],[Customer_ID]],Customer_Dim!$A$2:$H$501,2,FALSE)</f>
        <v>Daniel Boyd</v>
      </c>
      <c r="G94" s="2" t="str">
        <f>_xlfn.XLOOKUP(Table1[[#This Row],[Customer_ID]],Customer_Dim!$A$2:$A$501,Customer_Dim!$E$2:$E$501)</f>
        <v>West Pamelafurt</v>
      </c>
      <c r="H94" t="s">
        <v>40</v>
      </c>
      <c r="I94" t="str">
        <f>VLOOKUP(Table1[[#This Row],[Product_ID]],Product_Dim!$A$2:$G$101,2,FALSE)</f>
        <v>Kitchen Cutting Board-Home</v>
      </c>
      <c r="J94" t="s">
        <v>1695</v>
      </c>
      <c r="K94" t="str">
        <f>VLOOKUP(Table1[[#This Row],[Store_ID]],Store_Dim!$A$3:$D$22,2,FALSE)</f>
        <v>Alexander Group-South</v>
      </c>
      <c r="L94" t="s">
        <v>1735</v>
      </c>
      <c r="M94">
        <v>1</v>
      </c>
      <c r="N94" s="3">
        <v>696.53</v>
      </c>
      <c r="O94" s="4">
        <v>0.17</v>
      </c>
      <c r="P94" t="s">
        <v>1772</v>
      </c>
      <c r="Q94" s="4">
        <v>578.11989999999992</v>
      </c>
    </row>
    <row r="95" spans="1:17" x14ac:dyDescent="0.3">
      <c r="A95" t="s">
        <v>1867</v>
      </c>
      <c r="B95" t="str">
        <f t="shared" si="1"/>
        <v>Q4</v>
      </c>
      <c r="C95" t="str">
        <f>TEXT(Table1[[#This Row],[Order_Date]],"mmmm")</f>
        <v>December</v>
      </c>
      <c r="D95">
        <f>YEAR(Table1[[#This Row],[Order_Date]])</f>
        <v>2024</v>
      </c>
      <c r="E95" s="7">
        <v>45657</v>
      </c>
      <c r="F95" s="2" t="str">
        <f>VLOOKUP(Table1[[#This Row],[Customer_ID]],Customer_Dim!$A$2:$H$501,2,FALSE)</f>
        <v>Michael Thomas</v>
      </c>
      <c r="G95" s="2" t="str">
        <f>_xlfn.XLOOKUP(Table1[[#This Row],[Customer_ID]],Customer_Dim!$A$2:$A$501,Customer_Dim!$E$2:$E$501)</f>
        <v>Woodmouth</v>
      </c>
      <c r="H95" t="s">
        <v>238</v>
      </c>
      <c r="I95" t="str">
        <f>VLOOKUP(Table1[[#This Row],[Product_ID]],Product_Dim!$A$2:$G$101,2,FALSE)</f>
        <v>Knee Support Brace-Sports</v>
      </c>
      <c r="J95" t="s">
        <v>1561</v>
      </c>
      <c r="K95" t="str">
        <f>VLOOKUP(Table1[[#This Row],[Store_ID]],Store_Dim!$A$3:$D$22,2,FALSE)</f>
        <v>Alexander Group-South</v>
      </c>
      <c r="L95" t="s">
        <v>1735</v>
      </c>
      <c r="M95">
        <v>1</v>
      </c>
      <c r="N95" s="3">
        <v>327.52</v>
      </c>
      <c r="O95" s="4">
        <v>0.15</v>
      </c>
      <c r="P95" t="s">
        <v>1774</v>
      </c>
      <c r="Q95" s="4">
        <v>556.78399999999999</v>
      </c>
    </row>
    <row r="96" spans="1:17" x14ac:dyDescent="0.3">
      <c r="A96" t="s">
        <v>1868</v>
      </c>
      <c r="B96" t="str">
        <f t="shared" si="1"/>
        <v>Q3</v>
      </c>
      <c r="C96" t="str">
        <f>TEXT(Table1[[#This Row],[Order_Date]],"mmmm")</f>
        <v>August</v>
      </c>
      <c r="D96">
        <f>YEAR(Table1[[#This Row],[Order_Date]])</f>
        <v>2024</v>
      </c>
      <c r="E96" s="7">
        <v>45530</v>
      </c>
      <c r="F96" s="2" t="str">
        <f>VLOOKUP(Table1[[#This Row],[Customer_ID]],Customer_Dim!$A$2:$H$501,2,FALSE)</f>
        <v>Tracy Stephens</v>
      </c>
      <c r="G96" s="2" t="str">
        <f>_xlfn.XLOOKUP(Table1[[#This Row],[Customer_ID]],Customer_Dim!$A$2:$A$501,Customer_Dim!$E$2:$E$501)</f>
        <v>New Joshuatown</v>
      </c>
      <c r="H96" t="s">
        <v>933</v>
      </c>
      <c r="I96" t="str">
        <f>VLOOKUP(Table1[[#This Row],[Product_ID]],Product_Dim!$A$2:$G$101,2,FALSE)</f>
        <v>Cricket Bat-Sports</v>
      </c>
      <c r="J96" t="s">
        <v>1717</v>
      </c>
      <c r="K96" t="str">
        <f>VLOOKUP(Table1[[#This Row],[Store_ID]],Store_Dim!$A$3:$D$22,2,FALSE)</f>
        <v>Mann-Austin-East</v>
      </c>
      <c r="L96" t="s">
        <v>1763</v>
      </c>
      <c r="M96">
        <v>1</v>
      </c>
      <c r="N96" s="3">
        <v>569.36</v>
      </c>
      <c r="O96" s="4">
        <v>0.01</v>
      </c>
      <c r="P96" t="s">
        <v>1774</v>
      </c>
      <c r="Q96" s="4">
        <v>1090.8604113385834</v>
      </c>
    </row>
    <row r="97" spans="1:17" x14ac:dyDescent="0.3">
      <c r="A97" t="s">
        <v>1869</v>
      </c>
      <c r="B97" t="str">
        <f t="shared" si="1"/>
        <v>Q3</v>
      </c>
      <c r="C97" t="str">
        <f>TEXT(Table1[[#This Row],[Order_Date]],"mmmm")</f>
        <v>September</v>
      </c>
      <c r="D97">
        <f>YEAR(Table1[[#This Row],[Order_Date]])</f>
        <v>2024</v>
      </c>
      <c r="E97" s="7">
        <v>45556</v>
      </c>
      <c r="F97" s="2" t="str">
        <f>VLOOKUP(Table1[[#This Row],[Customer_ID]],Customer_Dim!$A$2:$H$501,2,FALSE)</f>
        <v>Darren Burton</v>
      </c>
      <c r="G97" s="2" t="str">
        <f>_xlfn.XLOOKUP(Table1[[#This Row],[Customer_ID]],Customer_Dim!$A$2:$A$501,Customer_Dim!$E$2:$E$501)</f>
        <v>Lake Alice</v>
      </c>
      <c r="H97" t="s">
        <v>1001</v>
      </c>
      <c r="I97" t="str">
        <f>VLOOKUP(Table1[[#This Row],[Product_ID]],Product_Dim!$A$2:$G$101,2,FALSE)</f>
        <v>Stainless Steel Cookware Set-Home</v>
      </c>
      <c r="J97" t="s">
        <v>1721</v>
      </c>
      <c r="K97" t="str">
        <f>VLOOKUP(Table1[[#This Row],[Store_ID]],Store_Dim!$A$3:$D$22,2,FALSE)</f>
        <v>Benson-Elliott-East</v>
      </c>
      <c r="L97" t="s">
        <v>1740</v>
      </c>
      <c r="M97">
        <v>1</v>
      </c>
      <c r="N97" s="3">
        <v>68.290000000000006</v>
      </c>
      <c r="O97" s="4">
        <v>0.14000000000000001</v>
      </c>
      <c r="P97" t="s">
        <v>1777</v>
      </c>
      <c r="Q97" s="4">
        <v>117.4588</v>
      </c>
    </row>
    <row r="98" spans="1:17" x14ac:dyDescent="0.3">
      <c r="A98" t="s">
        <v>1870</v>
      </c>
      <c r="B98" t="str">
        <f t="shared" si="1"/>
        <v>Q3</v>
      </c>
      <c r="C98" t="str">
        <f>TEXT(Table1[[#This Row],[Order_Date]],"mmmm")</f>
        <v>August</v>
      </c>
      <c r="D98">
        <f>YEAR(Table1[[#This Row],[Order_Date]])</f>
        <v>2024</v>
      </c>
      <c r="E98" s="7">
        <v>45523</v>
      </c>
      <c r="F98" s="2" t="str">
        <f>VLOOKUP(Table1[[#This Row],[Customer_ID]],Customer_Dim!$A$2:$H$501,2,FALSE)</f>
        <v>Nancy Page</v>
      </c>
      <c r="G98" s="2" t="str">
        <f>_xlfn.XLOOKUP(Table1[[#This Row],[Customer_ID]],Customer_Dim!$A$2:$A$501,Customer_Dim!$E$2:$E$501)</f>
        <v>West Julia</v>
      </c>
      <c r="H98" t="s">
        <v>776</v>
      </c>
      <c r="I98" t="str">
        <f>VLOOKUP(Table1[[#This Row],[Product_ID]],Product_Dim!$A$2:$G$101,2,FALSE)</f>
        <v>Boxing Hand Wraps-Sports</v>
      </c>
      <c r="J98" t="s">
        <v>1623</v>
      </c>
      <c r="K98" t="str">
        <f>VLOOKUP(Table1[[#This Row],[Store_ID]],Store_Dim!$A$3:$D$22,2,FALSE)</f>
        <v>Hill, Wagner and Ballard-East</v>
      </c>
      <c r="L98" t="s">
        <v>1748</v>
      </c>
      <c r="M98" t="s">
        <v>3957</v>
      </c>
      <c r="N98" s="3">
        <v>842.9</v>
      </c>
      <c r="O98" s="4">
        <v>0.06</v>
      </c>
      <c r="P98" t="s">
        <v>1777</v>
      </c>
      <c r="Q98" s="4">
        <v>792.32599999999991</v>
      </c>
    </row>
    <row r="99" spans="1:17" x14ac:dyDescent="0.3">
      <c r="A99" t="s">
        <v>1871</v>
      </c>
      <c r="B99" t="str">
        <f t="shared" si="1"/>
        <v>Q4</v>
      </c>
      <c r="C99" t="str">
        <f>TEXT(Table1[[#This Row],[Order_Date]],"mmmm")</f>
        <v>October</v>
      </c>
      <c r="D99">
        <f>YEAR(Table1[[#This Row],[Order_Date]])</f>
        <v>2024</v>
      </c>
      <c r="E99" s="7">
        <v>45587</v>
      </c>
      <c r="F99" s="2" t="str">
        <f>VLOOKUP(Table1[[#This Row],[Customer_ID]],Customer_Dim!$A$2:$H$501,2,FALSE)</f>
        <v>Cynthia Roberts</v>
      </c>
      <c r="G99" s="2" t="str">
        <f>_xlfn.XLOOKUP(Table1[[#This Row],[Customer_ID]],Customer_Dim!$A$2:$A$501,Customer_Dim!$E$2:$E$501)</f>
        <v>Millerfort</v>
      </c>
      <c r="H99" t="s">
        <v>903</v>
      </c>
      <c r="I99" t="str">
        <f>VLOOKUP(Table1[[#This Row],[Product_ID]],Product_Dim!$A$2:$G$101,2,FALSE)</f>
        <v>Men's Running Jacket-Clothing</v>
      </c>
      <c r="J99" t="s">
        <v>1529</v>
      </c>
      <c r="K99" t="str">
        <f>VLOOKUP(Table1[[#This Row],[Store_ID]],Store_Dim!$A$3:$D$22,2,FALSE)</f>
        <v>Johnson-Wright-North</v>
      </c>
      <c r="L99" t="s">
        <v>1733</v>
      </c>
      <c r="M99" t="s">
        <v>3958</v>
      </c>
      <c r="N99" s="3">
        <v>751.94</v>
      </c>
      <c r="O99" s="4">
        <v>0.26</v>
      </c>
      <c r="P99" t="s">
        <v>1774</v>
      </c>
      <c r="Q99" s="4">
        <v>1669.3068000000001</v>
      </c>
    </row>
    <row r="100" spans="1:17" x14ac:dyDescent="0.3">
      <c r="A100" t="s">
        <v>1872</v>
      </c>
      <c r="B100" t="str">
        <f t="shared" si="1"/>
        <v>Q4</v>
      </c>
      <c r="C100" t="str">
        <f>TEXT(Table1[[#This Row],[Order_Date]],"mmmm")</f>
        <v>October</v>
      </c>
      <c r="D100">
        <f>YEAR(Table1[[#This Row],[Order_Date]])</f>
        <v>2024</v>
      </c>
      <c r="E100" s="7">
        <v>45580</v>
      </c>
      <c r="F100" s="2" t="str">
        <f>VLOOKUP(Table1[[#This Row],[Customer_ID]],Customer_Dim!$A$2:$H$501,2,FALSE)</f>
        <v>Joseph Richards</v>
      </c>
      <c r="G100" s="2" t="str">
        <f>_xlfn.XLOOKUP(Table1[[#This Row],[Customer_ID]],Customer_Dim!$A$2:$A$501,Customer_Dim!$E$2:$E$501)</f>
        <v>Wigginsville</v>
      </c>
      <c r="H100" t="s">
        <v>444</v>
      </c>
      <c r="I100" t="str">
        <f>VLOOKUP(Table1[[#This Row],[Product_ID]],Product_Dim!$A$2:$G$101,2,FALSE)</f>
        <v>Premium Blanket Throw-Home</v>
      </c>
      <c r="J100" t="s">
        <v>1635</v>
      </c>
      <c r="K100" t="str">
        <f>VLOOKUP(Table1[[#This Row],[Store_ID]],Store_Dim!$A$3:$D$22,2,FALSE)</f>
        <v>Martinez-Mullins-South</v>
      </c>
      <c r="L100" t="s">
        <v>1742</v>
      </c>
      <c r="M100" t="s">
        <v>3959</v>
      </c>
      <c r="N100" s="3">
        <v>476.28</v>
      </c>
      <c r="O100" s="4">
        <v>0.17</v>
      </c>
      <c r="P100" t="s">
        <v>1772</v>
      </c>
      <c r="Q100" s="4">
        <v>1581.2496000000001</v>
      </c>
    </row>
    <row r="101" spans="1:17" x14ac:dyDescent="0.3">
      <c r="A101" t="s">
        <v>1873</v>
      </c>
      <c r="B101" t="str">
        <f t="shared" si="1"/>
        <v>Q3</v>
      </c>
      <c r="C101" t="str">
        <f>TEXT(Table1[[#This Row],[Order_Date]],"mmmm")</f>
        <v>July</v>
      </c>
      <c r="D101">
        <f>YEAR(Table1[[#This Row],[Order_Date]])</f>
        <v>2024</v>
      </c>
      <c r="E101" s="7">
        <v>45479</v>
      </c>
      <c r="F101" s="2" t="str">
        <f>VLOOKUP(Table1[[#This Row],[Customer_ID]],Customer_Dim!$A$2:$H$501,2,FALSE)</f>
        <v>Andrew Smith</v>
      </c>
      <c r="G101" s="2" t="str">
        <f>_xlfn.XLOOKUP(Table1[[#This Row],[Customer_ID]],Customer_Dim!$A$2:$A$501,Customer_Dim!$E$2:$E$501)</f>
        <v>East Matthew</v>
      </c>
      <c r="H101" t="s">
        <v>1012</v>
      </c>
      <c r="I101" t="str">
        <f>VLOOKUP(Table1[[#This Row],[Product_ID]],Product_Dim!$A$2:$G$101,2,FALSE)</f>
        <v>Sports Stopwatch Pro-Sports</v>
      </c>
      <c r="J101" t="s">
        <v>1631</v>
      </c>
      <c r="K101" t="str">
        <f>VLOOKUP(Table1[[#This Row],[Store_ID]],Store_Dim!$A$3:$D$22,2,FALSE)</f>
        <v>Johnson-Wright-North</v>
      </c>
      <c r="L101" t="s">
        <v>1733</v>
      </c>
      <c r="M101" t="s">
        <v>3958</v>
      </c>
      <c r="N101" s="3">
        <v>541.99</v>
      </c>
      <c r="O101" s="4">
        <v>0.24</v>
      </c>
      <c r="P101" t="s">
        <v>1777</v>
      </c>
      <c r="Q101" s="4">
        <v>1235.7372</v>
      </c>
    </row>
    <row r="102" spans="1:17" x14ac:dyDescent="0.3">
      <c r="A102" t="s">
        <v>1874</v>
      </c>
      <c r="B102" t="str">
        <f t="shared" si="1"/>
        <v>Q1</v>
      </c>
      <c r="C102" t="str">
        <f>TEXT(Table1[[#This Row],[Order_Date]],"mmmm")</f>
        <v>January</v>
      </c>
      <c r="D102">
        <f>YEAR(Table1[[#This Row],[Order_Date]])</f>
        <v>2025</v>
      </c>
      <c r="E102" s="7">
        <v>45677</v>
      </c>
      <c r="F102" s="2" t="str">
        <f>VLOOKUP(Table1[[#This Row],[Customer_ID]],Customer_Dim!$A$2:$H$501,2,FALSE)</f>
        <v>Gregory Allen</v>
      </c>
      <c r="G102" s="2" t="str">
        <f>_xlfn.XLOOKUP(Table1[[#This Row],[Customer_ID]],Customer_Dim!$A$2:$A$501,Customer_Dim!$E$2:$E$501)</f>
        <v>West Bruce</v>
      </c>
      <c r="H102" t="s">
        <v>1141</v>
      </c>
      <c r="I102" t="str">
        <f>VLOOKUP(Table1[[#This Row],[Product_ID]],Product_Dim!$A$2:$G$101,2,FALSE)</f>
        <v>Modern Wall Clock-Home</v>
      </c>
      <c r="J102" t="s">
        <v>1589</v>
      </c>
      <c r="K102" t="str">
        <f>VLOOKUP(Table1[[#This Row],[Store_ID]],Store_Dim!$A$3:$D$22,2,FALSE)</f>
        <v>Gray Ltd-North</v>
      </c>
      <c r="L102" t="s">
        <v>1738</v>
      </c>
      <c r="M102" t="s">
        <v>3960</v>
      </c>
      <c r="N102" s="3">
        <v>401.5</v>
      </c>
      <c r="O102" s="4">
        <v>0.18</v>
      </c>
      <c r="P102" t="s">
        <v>1772</v>
      </c>
      <c r="Q102" s="4">
        <v>658.46</v>
      </c>
    </row>
    <row r="103" spans="1:17" x14ac:dyDescent="0.3">
      <c r="A103" t="s">
        <v>1875</v>
      </c>
      <c r="B103" t="str">
        <f t="shared" si="1"/>
        <v>Q2</v>
      </c>
      <c r="C103" t="str">
        <f>TEXT(Table1[[#This Row],[Order_Date]],"mmmm")</f>
        <v>June</v>
      </c>
      <c r="D103">
        <f>YEAR(Table1[[#This Row],[Order_Date]])</f>
        <v>2024</v>
      </c>
      <c r="E103" s="7">
        <v>45453</v>
      </c>
      <c r="F103" s="2" t="str">
        <f>VLOOKUP(Table1[[#This Row],[Customer_ID]],Customer_Dim!$A$2:$H$501,2,FALSE)</f>
        <v>Christy Hoffman</v>
      </c>
      <c r="G103" s="2" t="str">
        <f>_xlfn.XLOOKUP(Table1[[#This Row],[Customer_ID]],Customer_Dim!$A$2:$A$501,Customer_Dim!$E$2:$E$501)</f>
        <v>Garyberg</v>
      </c>
      <c r="H103" t="s">
        <v>301</v>
      </c>
      <c r="I103" t="str">
        <f>VLOOKUP(Table1[[#This Row],[Product_ID]],Product_Dim!$A$2:$G$101,2,FALSE)</f>
        <v>Women's Scarf Set-Clothing</v>
      </c>
      <c r="J103" t="s">
        <v>1573</v>
      </c>
      <c r="K103" t="str">
        <f>VLOOKUP(Table1[[#This Row],[Store_ID]],Store_Dim!$A$3:$D$22,2,FALSE)</f>
        <v>Gardner, Humphrey and Contreras-East</v>
      </c>
      <c r="L103" t="s">
        <v>1753</v>
      </c>
      <c r="M103" t="s">
        <v>3958</v>
      </c>
      <c r="N103" s="3">
        <v>359.56</v>
      </c>
      <c r="O103" s="4">
        <v>0.17</v>
      </c>
      <c r="P103" t="s">
        <v>1774</v>
      </c>
      <c r="Q103" s="4">
        <v>895.30439999999999</v>
      </c>
    </row>
    <row r="104" spans="1:17" x14ac:dyDescent="0.3">
      <c r="A104" t="s">
        <v>1876</v>
      </c>
      <c r="B104" t="str">
        <f t="shared" si="1"/>
        <v>Q3</v>
      </c>
      <c r="C104" t="str">
        <f>TEXT(Table1[[#This Row],[Order_Date]],"mmmm")</f>
        <v>September</v>
      </c>
      <c r="D104">
        <f>YEAR(Table1[[#This Row],[Order_Date]])</f>
        <v>2024</v>
      </c>
      <c r="E104" s="7">
        <v>45552</v>
      </c>
      <c r="F104" s="2" t="str">
        <f>VLOOKUP(Table1[[#This Row],[Customer_ID]],Customer_Dim!$A$2:$H$501,2,FALSE)</f>
        <v>David Cobb</v>
      </c>
      <c r="G104" s="2" t="str">
        <f>_xlfn.XLOOKUP(Table1[[#This Row],[Customer_ID]],Customer_Dim!$A$2:$A$501,Customer_Dim!$E$2:$E$501)</f>
        <v>Lake Thomas</v>
      </c>
      <c r="H104" t="s">
        <v>342</v>
      </c>
      <c r="I104" t="str">
        <f>VLOOKUP(Table1[[#This Row],[Product_ID]],Product_Dim!$A$2:$G$101,2,FALSE)</f>
        <v>Wall-Mounted Spice Rack-Home</v>
      </c>
      <c r="J104" t="s">
        <v>1683</v>
      </c>
      <c r="K104" t="str">
        <f>VLOOKUP(Table1[[#This Row],[Store_ID]],Store_Dim!$A$3:$D$22,2,FALSE)</f>
        <v>Thomas, Bridges and Harris-North</v>
      </c>
      <c r="L104" t="s">
        <v>1751</v>
      </c>
      <c r="M104" t="s">
        <v>3960</v>
      </c>
      <c r="N104" s="3">
        <v>471.88</v>
      </c>
      <c r="O104" s="4">
        <v>0.24</v>
      </c>
      <c r="P104" t="s">
        <v>1774</v>
      </c>
      <c r="Q104" s="4">
        <v>717.25760000000002</v>
      </c>
    </row>
    <row r="105" spans="1:17" x14ac:dyDescent="0.3">
      <c r="A105" t="s">
        <v>1877</v>
      </c>
      <c r="B105" t="str">
        <f t="shared" si="1"/>
        <v>Q3</v>
      </c>
      <c r="C105" t="str">
        <f>TEXT(Table1[[#This Row],[Order_Date]],"mmmm")</f>
        <v>September</v>
      </c>
      <c r="D105">
        <f>YEAR(Table1[[#This Row],[Order_Date]])</f>
        <v>2025</v>
      </c>
      <c r="E105" s="7">
        <v>45907</v>
      </c>
      <c r="F105" s="2" t="str">
        <f>VLOOKUP(Table1[[#This Row],[Customer_ID]],Customer_Dim!$A$2:$H$501,2,FALSE)</f>
        <v>Melissa Hamilton</v>
      </c>
      <c r="G105" s="2" t="str">
        <f>_xlfn.XLOOKUP(Table1[[#This Row],[Customer_ID]],Customer_Dim!$A$2:$A$501,Customer_Dim!$E$2:$E$501)</f>
        <v>Hutchinsonville</v>
      </c>
      <c r="H105" t="s">
        <v>595</v>
      </c>
      <c r="I105" t="str">
        <f>VLOOKUP(Table1[[#This Row],[Product_ID]],Product_Dim!$A$2:$G$101,2,FALSE)</f>
        <v>Gaming Mechanical Keyboard-Electronics</v>
      </c>
      <c r="J105" t="s">
        <v>1591</v>
      </c>
      <c r="K105" t="str">
        <f>VLOOKUP(Table1[[#This Row],[Store_ID]],Store_Dim!$A$3:$D$22,2,FALSE)</f>
        <v>Alexander Group-South</v>
      </c>
      <c r="L105" t="s">
        <v>1735</v>
      </c>
      <c r="M105" t="s">
        <v>3959</v>
      </c>
      <c r="N105" s="3">
        <v>925.19</v>
      </c>
      <c r="O105" s="4">
        <v>0.19</v>
      </c>
      <c r="P105" t="s">
        <v>1774</v>
      </c>
      <c r="Q105" s="4">
        <v>2997.615600000001</v>
      </c>
    </row>
    <row r="106" spans="1:17" x14ac:dyDescent="0.3">
      <c r="A106" t="s">
        <v>1878</v>
      </c>
      <c r="B106" t="str">
        <f t="shared" si="1"/>
        <v>Q1</v>
      </c>
      <c r="C106" t="str">
        <f>TEXT(Table1[[#This Row],[Order_Date]],"mmmm")</f>
        <v>February</v>
      </c>
      <c r="D106">
        <f>YEAR(Table1[[#This Row],[Order_Date]])</f>
        <v>2024</v>
      </c>
      <c r="E106" s="7">
        <v>45330</v>
      </c>
      <c r="F106" s="2" t="str">
        <f>VLOOKUP(Table1[[#This Row],[Customer_ID]],Customer_Dim!$A$2:$H$501,2,FALSE)</f>
        <v>David Arnold</v>
      </c>
      <c r="G106" s="2" t="str">
        <f>_xlfn.XLOOKUP(Table1[[#This Row],[Customer_ID]],Customer_Dim!$A$2:$A$501,Customer_Dim!$E$2:$E$501)</f>
        <v>East Jennifer</v>
      </c>
      <c r="H106" t="s">
        <v>121</v>
      </c>
      <c r="I106" t="str">
        <f>VLOOKUP(Table1[[#This Row],[Product_ID]],Product_Dim!$A$2:$G$101,2,FALSE)</f>
        <v>Kitchen Cutting Board-Home</v>
      </c>
      <c r="J106" t="s">
        <v>1695</v>
      </c>
      <c r="K106" t="str">
        <f>VLOOKUP(Table1[[#This Row],[Store_ID]],Store_Dim!$A$3:$D$22,2,FALSE)</f>
        <v>Aguirre-Keller-South</v>
      </c>
      <c r="L106" t="s">
        <v>1750</v>
      </c>
      <c r="M106" t="s">
        <v>3960</v>
      </c>
      <c r="N106" s="3">
        <v>879.63</v>
      </c>
      <c r="O106" s="4">
        <v>7.0000000000000007E-2</v>
      </c>
      <c r="P106" t="s">
        <v>1777</v>
      </c>
      <c r="Q106" s="4">
        <v>1636.1117999999999</v>
      </c>
    </row>
    <row r="107" spans="1:17" x14ac:dyDescent="0.3">
      <c r="A107" t="s">
        <v>1879</v>
      </c>
      <c r="B107" t="str">
        <f t="shared" si="1"/>
        <v>Q4</v>
      </c>
      <c r="C107" t="str">
        <f>TEXT(Table1[[#This Row],[Order_Date]],"mmmm")</f>
        <v>October</v>
      </c>
      <c r="D107">
        <f>YEAR(Table1[[#This Row],[Order_Date]])</f>
        <v>2023</v>
      </c>
      <c r="E107" s="7">
        <v>45214</v>
      </c>
      <c r="F107" s="2" t="str">
        <f>VLOOKUP(Table1[[#This Row],[Customer_ID]],Customer_Dim!$A$2:$H$501,2,FALSE)</f>
        <v>Dr. Benjamin Price</v>
      </c>
      <c r="G107" s="2" t="str">
        <f>_xlfn.XLOOKUP(Table1[[#This Row],[Customer_ID]],Customer_Dim!$A$2:$A$501,Customer_Dim!$E$2:$E$501)</f>
        <v>Kylebury</v>
      </c>
      <c r="H107" t="s">
        <v>20</v>
      </c>
      <c r="I107" t="str">
        <f>VLOOKUP(Table1[[#This Row],[Product_ID]],Product_Dim!$A$2:$G$101,2,FALSE)</f>
        <v>Decorative Lamp Shade-Home</v>
      </c>
      <c r="J107" t="s">
        <v>1681</v>
      </c>
      <c r="K107" t="str">
        <f>VLOOKUP(Table1[[#This Row],[Store_ID]],Store_Dim!$A$3:$D$22,2,FALSE)</f>
        <v>Holloway Ltd-North</v>
      </c>
      <c r="L107" t="s">
        <v>1759</v>
      </c>
      <c r="M107" t="s">
        <v>3960</v>
      </c>
      <c r="N107" s="3">
        <v>418.23</v>
      </c>
      <c r="O107" s="4">
        <v>0.28000000000000003</v>
      </c>
      <c r="P107" t="s">
        <v>1772</v>
      </c>
      <c r="Q107" s="4">
        <v>602.25120000000004</v>
      </c>
    </row>
    <row r="108" spans="1:17" x14ac:dyDescent="0.3">
      <c r="A108" t="s">
        <v>1880</v>
      </c>
      <c r="B108" t="str">
        <f t="shared" si="1"/>
        <v>Q3</v>
      </c>
      <c r="C108" t="str">
        <f>TEXT(Table1[[#This Row],[Order_Date]],"mmmm")</f>
        <v>August</v>
      </c>
      <c r="D108">
        <f>YEAR(Table1[[#This Row],[Order_Date]])</f>
        <v>2025</v>
      </c>
      <c r="E108" s="7">
        <v>45891</v>
      </c>
      <c r="F108" s="2" t="str">
        <f>VLOOKUP(Table1[[#This Row],[Customer_ID]],Customer_Dim!$A$2:$H$501,2,FALSE)</f>
        <v>Tyrone Olson</v>
      </c>
      <c r="G108" s="2" t="str">
        <f>_xlfn.XLOOKUP(Table1[[#This Row],[Customer_ID]],Customer_Dim!$A$2:$A$501,Customer_Dim!$E$2:$E$501)</f>
        <v>Emilytown</v>
      </c>
      <c r="H108" t="s">
        <v>850</v>
      </c>
      <c r="I108" t="str">
        <f>VLOOKUP(Table1[[#This Row],[Product_ID]],Product_Dim!$A$2:$G$101,2,FALSE)</f>
        <v>Knee Support Brace-Sports</v>
      </c>
      <c r="J108" t="s">
        <v>1561</v>
      </c>
      <c r="K108" t="str">
        <f>VLOOKUP(Table1[[#This Row],[Store_ID]],Store_Dim!$A$3:$D$22,2,FALSE)</f>
        <v>Guerrero-Schmitt-East</v>
      </c>
      <c r="L108" t="s">
        <v>1761</v>
      </c>
      <c r="M108" t="s">
        <v>3958</v>
      </c>
      <c r="N108" s="3">
        <v>551.72</v>
      </c>
      <c r="O108" s="4">
        <v>0.03</v>
      </c>
      <c r="P108" t="s">
        <v>1777</v>
      </c>
      <c r="Q108" s="4">
        <v>1605.5052000000001</v>
      </c>
    </row>
    <row r="109" spans="1:17" x14ac:dyDescent="0.3">
      <c r="A109" t="s">
        <v>1881</v>
      </c>
      <c r="B109" t="str">
        <f t="shared" si="1"/>
        <v>Q1</v>
      </c>
      <c r="C109" t="str">
        <f>TEXT(Table1[[#This Row],[Order_Date]],"mmmm")</f>
        <v>February</v>
      </c>
      <c r="D109">
        <f>YEAR(Table1[[#This Row],[Order_Date]])</f>
        <v>2024</v>
      </c>
      <c r="E109" s="7">
        <v>45323</v>
      </c>
      <c r="F109" s="2" t="str">
        <f>VLOOKUP(Table1[[#This Row],[Customer_ID]],Customer_Dim!$A$2:$H$501,2,FALSE)</f>
        <v>Jasmine Snyder</v>
      </c>
      <c r="G109" s="2" t="str">
        <f>_xlfn.XLOOKUP(Table1[[#This Row],[Customer_ID]],Customer_Dim!$A$2:$A$501,Customer_Dim!$E$2:$E$501)</f>
        <v>Hudsonfort</v>
      </c>
      <c r="H109" t="s">
        <v>1051</v>
      </c>
      <c r="I109" t="str">
        <f>VLOOKUP(Table1[[#This Row],[Product_ID]],Product_Dim!$A$2:$G$101,2,FALSE)</f>
        <v>Kitchen Cutting Board-Home</v>
      </c>
      <c r="J109" t="s">
        <v>1695</v>
      </c>
      <c r="K109" t="str">
        <f>VLOOKUP(Table1[[#This Row],[Store_ID]],Store_Dim!$A$3:$D$22,2,FALSE)</f>
        <v>Martinez-Mullins-South</v>
      </c>
      <c r="L109" t="s">
        <v>1742</v>
      </c>
      <c r="M109" t="s">
        <v>3959</v>
      </c>
      <c r="N109" s="3">
        <v>525.61</v>
      </c>
      <c r="O109" s="4">
        <v>0.02</v>
      </c>
      <c r="P109" t="s">
        <v>1774</v>
      </c>
      <c r="Q109" s="4">
        <v>2060.3912</v>
      </c>
    </row>
    <row r="110" spans="1:17" x14ac:dyDescent="0.3">
      <c r="A110" t="s">
        <v>1882</v>
      </c>
      <c r="B110" t="str">
        <f t="shared" si="1"/>
        <v>Q2</v>
      </c>
      <c r="C110" t="str">
        <f>TEXT(Table1[[#This Row],[Order_Date]],"mmmm")</f>
        <v>May</v>
      </c>
      <c r="D110">
        <f>YEAR(Table1[[#This Row],[Order_Date]])</f>
        <v>2025</v>
      </c>
      <c r="E110" s="7">
        <v>45785</v>
      </c>
      <c r="F110" s="2" t="str">
        <f>VLOOKUP(Table1[[#This Row],[Customer_ID]],Customer_Dim!$A$2:$H$501,2,FALSE)</f>
        <v>James Gibbs</v>
      </c>
      <c r="G110" s="2" t="str">
        <f>_xlfn.XLOOKUP(Table1[[#This Row],[Customer_ID]],Customer_Dim!$A$2:$A$501,Customer_Dim!$E$2:$E$501)</f>
        <v>Mooneyshire</v>
      </c>
      <c r="H110" t="s">
        <v>159</v>
      </c>
      <c r="I110" t="str">
        <f>VLOOKUP(Table1[[#This Row],[Product_ID]],Product_Dim!$A$2:$G$101,2,FALSE)</f>
        <v>Carbon Fiber Tennis Racket-Sports</v>
      </c>
      <c r="J110" t="s">
        <v>1567</v>
      </c>
      <c r="K110" t="str">
        <f>VLOOKUP(Table1[[#This Row],[Store_ID]],Store_Dim!$A$3:$D$22,2,FALSE)</f>
        <v>Gardner, Humphrey and Contreras-East</v>
      </c>
      <c r="L110" t="s">
        <v>1753</v>
      </c>
      <c r="M110" t="s">
        <v>3958</v>
      </c>
      <c r="N110" s="3">
        <v>815.3</v>
      </c>
      <c r="O110" s="4">
        <v>0.03</v>
      </c>
      <c r="P110" t="s">
        <v>1772</v>
      </c>
      <c r="Q110" s="4">
        <v>2372.5230000000001</v>
      </c>
    </row>
    <row r="111" spans="1:17" x14ac:dyDescent="0.3">
      <c r="A111" t="s">
        <v>1883</v>
      </c>
      <c r="B111" t="str">
        <f t="shared" si="1"/>
        <v>Q1</v>
      </c>
      <c r="C111" t="str">
        <f>TEXT(Table1[[#This Row],[Order_Date]],"mmmm")</f>
        <v>March</v>
      </c>
      <c r="D111">
        <f>YEAR(Table1[[#This Row],[Order_Date]])</f>
        <v>2025</v>
      </c>
      <c r="E111" s="7">
        <v>45738</v>
      </c>
      <c r="F111" s="2" t="str">
        <f>VLOOKUP(Table1[[#This Row],[Customer_ID]],Customer_Dim!$A$2:$H$501,2,FALSE)</f>
        <v>Eric Todd</v>
      </c>
      <c r="G111" s="2" t="str">
        <f>_xlfn.XLOOKUP(Table1[[#This Row],[Customer_ID]],Customer_Dim!$A$2:$A$501,Customer_Dim!$E$2:$E$501)</f>
        <v>Danielstad</v>
      </c>
      <c r="H111" t="s">
        <v>690</v>
      </c>
      <c r="I111" t="str">
        <f>VLOOKUP(Table1[[#This Row],[Product_ID]],Product_Dim!$A$2:$G$101,2,FALSE)</f>
        <v>Women's High Heels-Clothing</v>
      </c>
      <c r="J111" t="s">
        <v>1705</v>
      </c>
      <c r="K111" t="str">
        <f>VLOOKUP(Table1[[#This Row],[Store_ID]],Store_Dim!$A$3:$D$22,2,FALSE)</f>
        <v>Rivera-Warner-East</v>
      </c>
      <c r="L111" t="s">
        <v>1725</v>
      </c>
      <c r="M111" t="s">
        <v>3958</v>
      </c>
      <c r="N111" s="3">
        <v>376.46</v>
      </c>
      <c r="O111" s="4">
        <v>0.09</v>
      </c>
      <c r="P111" t="s">
        <v>1777</v>
      </c>
      <c r="Q111" s="4">
        <v>1027.7357999999999</v>
      </c>
    </row>
    <row r="112" spans="1:17" x14ac:dyDescent="0.3">
      <c r="A112" t="s">
        <v>1884</v>
      </c>
      <c r="B112" t="str">
        <f t="shared" si="1"/>
        <v>Q3</v>
      </c>
      <c r="C112" t="str">
        <f>TEXT(Table1[[#This Row],[Order_Date]],"mmmm")</f>
        <v>July</v>
      </c>
      <c r="D112">
        <f>YEAR(Table1[[#This Row],[Order_Date]])</f>
        <v>2025</v>
      </c>
      <c r="E112" s="7">
        <v>45851</v>
      </c>
      <c r="F112" s="2" t="str">
        <f>VLOOKUP(Table1[[#This Row],[Customer_ID]],Customer_Dim!$A$2:$H$501,2,FALSE)</f>
        <v>Daniel Boyd</v>
      </c>
      <c r="G112" s="2" t="str">
        <f>_xlfn.XLOOKUP(Table1[[#This Row],[Customer_ID]],Customer_Dim!$A$2:$A$501,Customer_Dim!$E$2:$E$501)</f>
        <v>West Pamelafurt</v>
      </c>
      <c r="H112" t="s">
        <v>40</v>
      </c>
      <c r="I112" t="str">
        <f>VLOOKUP(Table1[[#This Row],[Product_ID]],Product_Dim!$A$2:$G$101,2,FALSE)</f>
        <v>Smart Home WiFi Camera-Electronics</v>
      </c>
      <c r="J112" t="s">
        <v>1607</v>
      </c>
      <c r="K112" t="str">
        <f>VLOOKUP(Table1[[#This Row],[Store_ID]],Store_Dim!$A$3:$D$22,2,FALSE)</f>
        <v>Bean, Jones and Park-West</v>
      </c>
      <c r="L112" t="s">
        <v>1744</v>
      </c>
      <c r="M112" t="s">
        <v>3959</v>
      </c>
      <c r="N112" s="3">
        <v>239.83</v>
      </c>
      <c r="O112" s="4">
        <v>0.08</v>
      </c>
      <c r="P112" t="s">
        <v>1772</v>
      </c>
      <c r="Q112" s="4">
        <v>882.57440000000008</v>
      </c>
    </row>
    <row r="113" spans="1:17" x14ac:dyDescent="0.3">
      <c r="A113" t="s">
        <v>1885</v>
      </c>
      <c r="B113" t="str">
        <f t="shared" si="1"/>
        <v>Q2</v>
      </c>
      <c r="C113" t="str">
        <f>TEXT(Table1[[#This Row],[Order_Date]],"mmmm")</f>
        <v>May</v>
      </c>
      <c r="D113">
        <f>YEAR(Table1[[#This Row],[Order_Date]])</f>
        <v>2025</v>
      </c>
      <c r="E113" s="7">
        <v>45798</v>
      </c>
      <c r="F113" s="2" t="str">
        <f>VLOOKUP(Table1[[#This Row],[Customer_ID]],Customer_Dim!$A$2:$H$501,2,FALSE)</f>
        <v>Michael Jones</v>
      </c>
      <c r="G113" s="2" t="str">
        <f>_xlfn.XLOOKUP(Table1[[#This Row],[Customer_ID]],Customer_Dim!$A$2:$A$501,Customer_Dim!$E$2:$E$501)</f>
        <v>North Edwardton</v>
      </c>
      <c r="H113" t="s">
        <v>409</v>
      </c>
      <c r="I113" t="str">
        <f>VLOOKUP(Table1[[#This Row],[Product_ID]],Product_Dim!$A$2:$G$101,2,FALSE)</f>
        <v>Gaming Mouse Pad XL-Electronics</v>
      </c>
      <c r="J113" t="s">
        <v>1703</v>
      </c>
      <c r="K113" t="str">
        <f>VLOOKUP(Table1[[#This Row],[Store_ID]],Store_Dim!$A$3:$D$22,2,FALSE)</f>
        <v>Johnson-Wright-North</v>
      </c>
      <c r="L113" t="s">
        <v>1733</v>
      </c>
      <c r="M113" t="s">
        <v>3960</v>
      </c>
      <c r="N113" s="3">
        <v>845.71</v>
      </c>
      <c r="O113" s="4">
        <v>0.01</v>
      </c>
      <c r="P113" t="s">
        <v>1774</v>
      </c>
      <c r="Q113" s="4">
        <v>1674.5057999999999</v>
      </c>
    </row>
    <row r="114" spans="1:17" x14ac:dyDescent="0.3">
      <c r="A114" t="s">
        <v>1886</v>
      </c>
      <c r="B114" t="str">
        <f t="shared" si="1"/>
        <v>Q1</v>
      </c>
      <c r="C114" t="str">
        <f>TEXT(Table1[[#This Row],[Order_Date]],"mmmm")</f>
        <v>February</v>
      </c>
      <c r="D114">
        <f>YEAR(Table1[[#This Row],[Order_Date]])</f>
        <v>2025</v>
      </c>
      <c r="E114" s="7">
        <v>45705</v>
      </c>
      <c r="F114" s="2" t="str">
        <f>VLOOKUP(Table1[[#This Row],[Customer_ID]],Customer_Dim!$A$2:$H$501,2,FALSE)</f>
        <v>Melissa Duffy Md</v>
      </c>
      <c r="G114" s="2" t="str">
        <f>_xlfn.XLOOKUP(Table1[[#This Row],[Customer_ID]],Customer_Dim!$A$2:$A$501,Customer_Dim!$E$2:$E$501)</f>
        <v>East Jenna</v>
      </c>
      <c r="H114" t="s">
        <v>310</v>
      </c>
      <c r="I114" t="str">
        <f>VLOOKUP(Table1[[#This Row],[Product_ID]],Product_Dim!$A$2:$G$101,2,FALSE)</f>
        <v>Wireless Mouse-Electronics</v>
      </c>
      <c r="J114" t="s">
        <v>1675</v>
      </c>
      <c r="K114" t="str">
        <f>VLOOKUP(Table1[[#This Row],[Store_ID]],Store_Dim!$A$3:$D$22,2,FALSE)</f>
        <v>Gardner, Humphrey and Contreras-East</v>
      </c>
      <c r="L114" t="s">
        <v>1753</v>
      </c>
      <c r="M114" t="s">
        <v>3958</v>
      </c>
      <c r="N114" s="3">
        <v>948.69</v>
      </c>
      <c r="O114" s="4">
        <v>0.28999999999999998</v>
      </c>
      <c r="P114" t="s">
        <v>1772</v>
      </c>
      <c r="Q114" s="4">
        <v>2020.7097000000001</v>
      </c>
    </row>
    <row r="115" spans="1:17" x14ac:dyDescent="0.3">
      <c r="A115" t="s">
        <v>1887</v>
      </c>
      <c r="B115" t="str">
        <f t="shared" si="1"/>
        <v>Q2</v>
      </c>
      <c r="C115" t="str">
        <f>TEXT(Table1[[#This Row],[Order_Date]],"mmmm")</f>
        <v>May</v>
      </c>
      <c r="D115">
        <f>YEAR(Table1[[#This Row],[Order_Date]])</f>
        <v>2024</v>
      </c>
      <c r="E115" s="7">
        <v>45413</v>
      </c>
      <c r="F115" s="2" t="str">
        <f>VLOOKUP(Table1[[#This Row],[Customer_ID]],Customer_Dim!$A$2:$H$501,2,FALSE)</f>
        <v>Michael Foley</v>
      </c>
      <c r="G115" s="2" t="str">
        <f>_xlfn.XLOOKUP(Table1[[#This Row],[Customer_ID]],Customer_Dim!$A$2:$A$501,Customer_Dim!$E$2:$E$501)</f>
        <v>Oneillfurt</v>
      </c>
      <c r="H115" t="s">
        <v>1424</v>
      </c>
      <c r="I115" t="str">
        <f>VLOOKUP(Table1[[#This Row],[Product_ID]],Product_Dim!$A$2:$G$101,2,FALSE)</f>
        <v>Decorative Floor Vase-Home</v>
      </c>
      <c r="J115" t="s">
        <v>1577</v>
      </c>
      <c r="K115" t="str">
        <f>VLOOKUP(Table1[[#This Row],[Store_ID]],Store_Dim!$A$3:$D$22,2,FALSE)</f>
        <v>Hill, Wagner and Ballard-East</v>
      </c>
      <c r="L115" t="s">
        <v>1748</v>
      </c>
      <c r="M115" t="s">
        <v>3957</v>
      </c>
      <c r="N115" s="3">
        <v>281.97000000000003</v>
      </c>
      <c r="O115" s="4">
        <v>0.2</v>
      </c>
      <c r="P115" t="s">
        <v>1774</v>
      </c>
      <c r="Q115" s="4">
        <v>225.57599999999999</v>
      </c>
    </row>
    <row r="116" spans="1:17" x14ac:dyDescent="0.3">
      <c r="A116" t="s">
        <v>1888</v>
      </c>
      <c r="B116" t="str">
        <f t="shared" si="1"/>
        <v>Q3</v>
      </c>
      <c r="C116" t="str">
        <f>TEXT(Table1[[#This Row],[Order_Date]],"mmmm")</f>
        <v>July</v>
      </c>
      <c r="D116">
        <f>YEAR(Table1[[#This Row],[Order_Date]])</f>
        <v>2024</v>
      </c>
      <c r="E116" s="7">
        <v>45482</v>
      </c>
      <c r="F116" s="2" t="str">
        <f>VLOOKUP(Table1[[#This Row],[Customer_ID]],Customer_Dim!$A$2:$H$501,2,FALSE)</f>
        <v>Patrick Roberts</v>
      </c>
      <c r="G116" s="2" t="str">
        <f>_xlfn.XLOOKUP(Table1[[#This Row],[Customer_ID]],Customer_Dim!$A$2:$A$501,Customer_Dim!$E$2:$E$501)</f>
        <v>Jaredville</v>
      </c>
      <c r="H116" t="s">
        <v>506</v>
      </c>
      <c r="I116" t="str">
        <f>VLOOKUP(Table1[[#This Row],[Product_ID]],Product_Dim!$A$2:$G$101,2,FALSE)</f>
        <v>Women's High Heels-Clothing</v>
      </c>
      <c r="J116" t="s">
        <v>1705</v>
      </c>
      <c r="K116" t="str">
        <f>VLOOKUP(Table1[[#This Row],[Store_ID]],Store_Dim!$A$3:$D$22,2,FALSE)</f>
        <v>Alexander Group-South</v>
      </c>
      <c r="L116" t="s">
        <v>1735</v>
      </c>
      <c r="M116" t="s">
        <v>3960</v>
      </c>
      <c r="N116" s="3">
        <v>731.01</v>
      </c>
      <c r="O116" s="4">
        <v>0.05</v>
      </c>
      <c r="P116" t="s">
        <v>1774</v>
      </c>
      <c r="Q116" s="4">
        <v>1388.9190000000001</v>
      </c>
    </row>
    <row r="117" spans="1:17" x14ac:dyDescent="0.3">
      <c r="A117" t="s">
        <v>1889</v>
      </c>
      <c r="B117" t="str">
        <f t="shared" si="1"/>
        <v>Q3</v>
      </c>
      <c r="C117" t="str">
        <f>TEXT(Table1[[#This Row],[Order_Date]],"mmmm")</f>
        <v>September</v>
      </c>
      <c r="D117">
        <f>YEAR(Table1[[#This Row],[Order_Date]])</f>
        <v>2025</v>
      </c>
      <c r="E117" s="7">
        <v>45925</v>
      </c>
      <c r="F117" s="2" t="str">
        <f>VLOOKUP(Table1[[#This Row],[Customer_ID]],Customer_Dim!$A$2:$H$501,2,FALSE)</f>
        <v>Christopher David</v>
      </c>
      <c r="G117" s="2" t="str">
        <f>_xlfn.XLOOKUP(Table1[[#This Row],[Customer_ID]],Customer_Dim!$A$2:$A$501,Customer_Dim!$E$2:$E$501)</f>
        <v>Karenmouth</v>
      </c>
      <c r="H117" t="s">
        <v>814</v>
      </c>
      <c r="I117" t="str">
        <f>VLOOKUP(Table1[[#This Row],[Product_ID]],Product_Dim!$A$2:$G$101,2,FALSE)</f>
        <v>Women's Beanie Hat-Clothing</v>
      </c>
      <c r="J117" t="s">
        <v>1693</v>
      </c>
      <c r="K117" t="str">
        <f>VLOOKUP(Table1[[#This Row],[Store_ID]],Store_Dim!$A$3:$D$22,2,FALSE)</f>
        <v>Martinez-Mullins-South</v>
      </c>
      <c r="L117" t="s">
        <v>1742</v>
      </c>
      <c r="M117" t="s">
        <v>3959</v>
      </c>
      <c r="N117" s="3">
        <v>930.85</v>
      </c>
      <c r="O117" s="4">
        <v>0.13</v>
      </c>
      <c r="P117" t="s">
        <v>1774</v>
      </c>
      <c r="Q117" s="4">
        <v>3239.3580000000002</v>
      </c>
    </row>
    <row r="118" spans="1:17" x14ac:dyDescent="0.3">
      <c r="A118" t="s">
        <v>1890</v>
      </c>
      <c r="B118" t="str">
        <f t="shared" si="1"/>
        <v>Q2</v>
      </c>
      <c r="C118" t="str">
        <f>TEXT(Table1[[#This Row],[Order_Date]],"mmmm")</f>
        <v>May</v>
      </c>
      <c r="D118">
        <f>YEAR(Table1[[#This Row],[Order_Date]])</f>
        <v>2024</v>
      </c>
      <c r="E118" s="7">
        <v>45420</v>
      </c>
      <c r="F118" s="2" t="str">
        <f>VLOOKUP(Table1[[#This Row],[Customer_ID]],Customer_Dim!$A$2:$H$501,2,FALSE)</f>
        <v>Monica Miller</v>
      </c>
      <c r="G118" s="2" t="str">
        <f>_xlfn.XLOOKUP(Table1[[#This Row],[Customer_ID]],Customer_Dim!$A$2:$A$501,Customer_Dim!$E$2:$E$501)</f>
        <v>Lake David</v>
      </c>
      <c r="H118" t="s">
        <v>1287</v>
      </c>
      <c r="I118" t="str">
        <f>VLOOKUP(Table1[[#This Row],[Product_ID]],Product_Dim!$A$2:$G$101,2,FALSE)</f>
        <v>Men's Running Jacket-Clothing</v>
      </c>
      <c r="J118" t="s">
        <v>1529</v>
      </c>
      <c r="K118" t="str">
        <f>VLOOKUP(Table1[[#This Row],[Store_ID]],Store_Dim!$A$3:$D$22,2,FALSE)</f>
        <v>Bean, Jones and Park-West</v>
      </c>
      <c r="L118" t="s">
        <v>1744</v>
      </c>
      <c r="M118" t="s">
        <v>3959</v>
      </c>
      <c r="N118" s="3">
        <v>770.77</v>
      </c>
      <c r="O118" s="4">
        <v>0.22</v>
      </c>
      <c r="P118" t="s">
        <v>1772</v>
      </c>
      <c r="Q118" s="4">
        <v>2404.8024</v>
      </c>
    </row>
    <row r="119" spans="1:17" x14ac:dyDescent="0.3">
      <c r="A119" t="s">
        <v>1891</v>
      </c>
      <c r="B119" t="str">
        <f t="shared" si="1"/>
        <v>Q3</v>
      </c>
      <c r="C119" t="str">
        <f>TEXT(Table1[[#This Row],[Order_Date]],"mmmm")</f>
        <v>September</v>
      </c>
      <c r="D119">
        <f>YEAR(Table1[[#This Row],[Order_Date]])</f>
        <v>2024</v>
      </c>
      <c r="E119" s="7">
        <v>45554</v>
      </c>
      <c r="F119" s="2" t="str">
        <f>VLOOKUP(Table1[[#This Row],[Customer_ID]],Customer_Dim!$A$2:$H$501,2,FALSE)</f>
        <v>Amber Mcclain</v>
      </c>
      <c r="G119" s="2" t="str">
        <f>_xlfn.XLOOKUP(Table1[[#This Row],[Customer_ID]],Customer_Dim!$A$2:$A$501,Customer_Dim!$E$2:$E$501)</f>
        <v>Brendaburgh</v>
      </c>
      <c r="H119" t="s">
        <v>244</v>
      </c>
      <c r="I119" t="str">
        <f>VLOOKUP(Table1[[#This Row],[Product_ID]],Product_Dim!$A$2:$G$101,2,FALSE)</f>
        <v>Men's Winter Jacket-Clothing</v>
      </c>
      <c r="J119" t="s">
        <v>1615</v>
      </c>
      <c r="K119" t="str">
        <f>VLOOKUP(Table1[[#This Row],[Store_ID]],Store_Dim!$A$3:$D$22,2,FALSE)</f>
        <v>Alexander Group-South</v>
      </c>
      <c r="L119" t="s">
        <v>1735</v>
      </c>
      <c r="M119" t="s">
        <v>3958</v>
      </c>
      <c r="N119" s="3">
        <v>479.63</v>
      </c>
      <c r="O119" s="4">
        <v>0.3</v>
      </c>
      <c r="P119" t="s">
        <v>1774</v>
      </c>
      <c r="Q119" s="4">
        <v>1007.223</v>
      </c>
    </row>
    <row r="120" spans="1:17" x14ac:dyDescent="0.3">
      <c r="A120" t="s">
        <v>1892</v>
      </c>
      <c r="B120" t="str">
        <f t="shared" si="1"/>
        <v>Q2</v>
      </c>
      <c r="C120" t="str">
        <f>TEXT(Table1[[#This Row],[Order_Date]],"mmmm")</f>
        <v>April</v>
      </c>
      <c r="D120">
        <f>YEAR(Table1[[#This Row],[Order_Date]])</f>
        <v>2024</v>
      </c>
      <c r="E120" s="7">
        <v>45405</v>
      </c>
      <c r="F120" s="2" t="str">
        <f>VLOOKUP(Table1[[#This Row],[Customer_ID]],Customer_Dim!$A$2:$H$501,2,FALSE)</f>
        <v>Lance Baker</v>
      </c>
      <c r="G120" s="2" t="str">
        <f>_xlfn.XLOOKUP(Table1[[#This Row],[Customer_ID]],Customer_Dim!$A$2:$A$501,Customer_Dim!$E$2:$E$501)</f>
        <v>Port Victoria</v>
      </c>
      <c r="H120" t="s">
        <v>367</v>
      </c>
      <c r="I120" t="str">
        <f>VLOOKUP(Table1[[#This Row],[Product_ID]],Product_Dim!$A$2:$G$101,2,FALSE)</f>
        <v>Portable Power Bank-Electronics</v>
      </c>
      <c r="J120" t="s">
        <v>1601</v>
      </c>
      <c r="K120" t="str">
        <f>VLOOKUP(Table1[[#This Row],[Store_ID]],Store_Dim!$A$3:$D$22,2,FALSE)</f>
        <v>Aguirre-Keller-South</v>
      </c>
      <c r="L120" t="s">
        <v>1750</v>
      </c>
      <c r="M120" t="s">
        <v>3957</v>
      </c>
      <c r="N120" s="3">
        <v>165</v>
      </c>
      <c r="O120" s="4">
        <v>0.3</v>
      </c>
      <c r="P120" t="s">
        <v>1777</v>
      </c>
      <c r="Q120" s="4">
        <v>115.5</v>
      </c>
    </row>
    <row r="121" spans="1:17" x14ac:dyDescent="0.3">
      <c r="A121" t="s">
        <v>1893</v>
      </c>
      <c r="B121" t="str">
        <f t="shared" si="1"/>
        <v>Q3</v>
      </c>
      <c r="C121" t="str">
        <f>TEXT(Table1[[#This Row],[Order_Date]],"mmmm")</f>
        <v>July</v>
      </c>
      <c r="D121">
        <f>YEAR(Table1[[#This Row],[Order_Date]])</f>
        <v>2024</v>
      </c>
      <c r="E121" s="7">
        <v>45503</v>
      </c>
      <c r="F121" s="2" t="str">
        <f>VLOOKUP(Table1[[#This Row],[Customer_ID]],Customer_Dim!$A$2:$H$501,2,FALSE)</f>
        <v>Sean Powell</v>
      </c>
      <c r="G121" s="2" t="str">
        <f>_xlfn.XLOOKUP(Table1[[#This Row],[Customer_ID]],Customer_Dim!$A$2:$A$501,Customer_Dim!$E$2:$E$501)</f>
        <v>South Kevin</v>
      </c>
      <c r="H121" t="s">
        <v>524</v>
      </c>
      <c r="I121" t="str">
        <f>VLOOKUP(Table1[[#This Row],[Product_ID]],Product_Dim!$A$2:$G$101,2,FALSE)</f>
        <v>Knee Support Brace-Sports</v>
      </c>
      <c r="J121" t="s">
        <v>1561</v>
      </c>
      <c r="K121" t="str">
        <f>VLOOKUP(Table1[[#This Row],[Store_ID]],Store_Dim!$A$3:$D$22,2,FALSE)</f>
        <v>Bean, Jones and Park-West</v>
      </c>
      <c r="L121" t="s">
        <v>1744</v>
      </c>
      <c r="M121" t="s">
        <v>3960</v>
      </c>
      <c r="N121" s="3">
        <v>151.51</v>
      </c>
      <c r="O121" s="4">
        <v>0.28999999999999998</v>
      </c>
      <c r="P121" t="s">
        <v>1777</v>
      </c>
      <c r="Q121" s="4">
        <v>215.14420000000001</v>
      </c>
    </row>
    <row r="122" spans="1:17" x14ac:dyDescent="0.3">
      <c r="A122" t="s">
        <v>1894</v>
      </c>
      <c r="B122" t="str">
        <f t="shared" si="1"/>
        <v>Q4</v>
      </c>
      <c r="C122" t="str">
        <f>TEXT(Table1[[#This Row],[Order_Date]],"mmmm")</f>
        <v>December</v>
      </c>
      <c r="D122">
        <f>YEAR(Table1[[#This Row],[Order_Date]])</f>
        <v>2023</v>
      </c>
      <c r="E122" s="7">
        <v>45274</v>
      </c>
      <c r="F122" s="2" t="str">
        <f>VLOOKUP(Table1[[#This Row],[Customer_ID]],Customer_Dim!$A$2:$H$501,2,FALSE)</f>
        <v>Timothy Juarez</v>
      </c>
      <c r="G122" s="2" t="str">
        <f>_xlfn.XLOOKUP(Table1[[#This Row],[Customer_ID]],Customer_Dim!$A$2:$A$501,Customer_Dim!$E$2:$E$501)</f>
        <v>Grahamstad</v>
      </c>
      <c r="H122" t="s">
        <v>737</v>
      </c>
      <c r="I122" t="str">
        <f>VLOOKUP(Table1[[#This Row],[Product_ID]],Product_Dim!$A$2:$G$101,2,FALSE)</f>
        <v>Basketball-Sports</v>
      </c>
      <c r="J122" t="s">
        <v>1585</v>
      </c>
      <c r="K122" t="str">
        <f>VLOOKUP(Table1[[#This Row],[Store_ID]],Store_Dim!$A$3:$D$22,2,FALSE)</f>
        <v>Holloway Ltd-North</v>
      </c>
      <c r="L122" t="s">
        <v>1759</v>
      </c>
      <c r="M122" t="s">
        <v>3960</v>
      </c>
      <c r="N122" s="3">
        <v>872.93</v>
      </c>
      <c r="O122" s="4">
        <v>0.28999999999999998</v>
      </c>
      <c r="P122" t="s">
        <v>1777</v>
      </c>
      <c r="Q122" s="4">
        <v>1239.5606</v>
      </c>
    </row>
    <row r="123" spans="1:17" x14ac:dyDescent="0.3">
      <c r="A123" t="s">
        <v>1895</v>
      </c>
      <c r="B123" t="str">
        <f t="shared" si="1"/>
        <v>Q3</v>
      </c>
      <c r="C123" t="str">
        <f>TEXT(Table1[[#This Row],[Order_Date]],"mmmm")</f>
        <v>September</v>
      </c>
      <c r="D123">
        <f>YEAR(Table1[[#This Row],[Order_Date]])</f>
        <v>2024</v>
      </c>
      <c r="E123" s="7">
        <v>45558</v>
      </c>
      <c r="F123" s="2" t="str">
        <f>VLOOKUP(Table1[[#This Row],[Customer_ID]],Customer_Dim!$A$2:$H$501,2,FALSE)</f>
        <v>Matthew Payne</v>
      </c>
      <c r="G123" s="2" t="str">
        <f>_xlfn.XLOOKUP(Table1[[#This Row],[Customer_ID]],Customer_Dim!$A$2:$A$501,Customer_Dim!$E$2:$E$501)</f>
        <v>Grahamfurt</v>
      </c>
      <c r="H123" t="s">
        <v>835</v>
      </c>
      <c r="I123" t="str">
        <f>VLOOKUP(Table1[[#This Row],[Product_ID]],Product_Dim!$A$2:$G$101,2,FALSE)</f>
        <v>Carbon Fiber Tennis Racket-Sports</v>
      </c>
      <c r="J123" t="s">
        <v>1567</v>
      </c>
      <c r="K123" t="str">
        <f>VLOOKUP(Table1[[#This Row],[Store_ID]],Store_Dim!$A$3:$D$22,2,FALSE)</f>
        <v>Hill, Wagner and Ballard-East</v>
      </c>
      <c r="L123" t="s">
        <v>1748</v>
      </c>
      <c r="M123" t="s">
        <v>3958</v>
      </c>
      <c r="N123" s="3">
        <v>432.4</v>
      </c>
      <c r="O123" s="4">
        <v>0.04</v>
      </c>
      <c r="P123" t="s">
        <v>1772</v>
      </c>
      <c r="Q123" s="4">
        <v>1245.3119999999999</v>
      </c>
    </row>
    <row r="124" spans="1:17" x14ac:dyDescent="0.3">
      <c r="A124" t="s">
        <v>1896</v>
      </c>
      <c r="B124" t="str">
        <f t="shared" si="1"/>
        <v>Q3</v>
      </c>
      <c r="C124" t="str">
        <f>TEXT(Table1[[#This Row],[Order_Date]],"mmmm")</f>
        <v>August</v>
      </c>
      <c r="D124">
        <f>YEAR(Table1[[#This Row],[Order_Date]])</f>
        <v>2025</v>
      </c>
      <c r="E124" s="7">
        <v>45886</v>
      </c>
      <c r="F124" s="2" t="str">
        <f>VLOOKUP(Table1[[#This Row],[Customer_ID]],Customer_Dim!$A$2:$H$501,2,FALSE)</f>
        <v>Jasmine Snyder</v>
      </c>
      <c r="G124" s="2" t="str">
        <f>_xlfn.XLOOKUP(Table1[[#This Row],[Customer_ID]],Customer_Dim!$A$2:$A$501,Customer_Dim!$E$2:$E$501)</f>
        <v>Hudsonfort</v>
      </c>
      <c r="H124" t="s">
        <v>1051</v>
      </c>
      <c r="I124" t="str">
        <f>VLOOKUP(Table1[[#This Row],[Product_ID]],Product_Dim!$A$2:$G$101,2,FALSE)</f>
        <v>Boxing Hand Wraps-Sports</v>
      </c>
      <c r="J124" t="s">
        <v>1623</v>
      </c>
      <c r="K124" t="str">
        <f>VLOOKUP(Table1[[#This Row],[Store_ID]],Store_Dim!$A$3:$D$22,2,FALSE)</f>
        <v>Martinez-Mullins-South</v>
      </c>
      <c r="L124" t="s">
        <v>1742</v>
      </c>
      <c r="M124" t="s">
        <v>3960</v>
      </c>
      <c r="N124" s="3">
        <v>197.76</v>
      </c>
      <c r="O124" s="4">
        <v>0.04</v>
      </c>
      <c r="P124" t="s">
        <v>1772</v>
      </c>
      <c r="Q124" s="4">
        <v>379.69920000000002</v>
      </c>
    </row>
    <row r="125" spans="1:17" x14ac:dyDescent="0.3">
      <c r="A125" t="s">
        <v>1897</v>
      </c>
      <c r="B125" t="str">
        <f t="shared" si="1"/>
        <v>Q1</v>
      </c>
      <c r="C125" t="str">
        <f>TEXT(Table1[[#This Row],[Order_Date]],"mmmm")</f>
        <v>January</v>
      </c>
      <c r="D125">
        <f>YEAR(Table1[[#This Row],[Order_Date]])</f>
        <v>2025</v>
      </c>
      <c r="E125" s="7">
        <v>45674</v>
      </c>
      <c r="F125" s="2" t="str">
        <f>VLOOKUP(Table1[[#This Row],[Customer_ID]],Customer_Dim!$A$2:$H$501,2,FALSE)</f>
        <v>Elizabeth Foster</v>
      </c>
      <c r="G125" s="2" t="str">
        <f>_xlfn.XLOOKUP(Table1[[#This Row],[Customer_ID]],Customer_Dim!$A$2:$A$501,Customer_Dim!$E$2:$E$501)</f>
        <v>Anthonymouth</v>
      </c>
      <c r="H125" t="s">
        <v>1450</v>
      </c>
      <c r="I125" t="str">
        <f>VLOOKUP(Table1[[#This Row],[Product_ID]],Product_Dim!$A$2:$G$101,2,FALSE)</f>
        <v>Noise-Canceling Headphones-Electronics</v>
      </c>
      <c r="J125" t="s">
        <v>1603</v>
      </c>
      <c r="K125" t="str">
        <f>VLOOKUP(Table1[[#This Row],[Store_ID]],Store_Dim!$A$3:$D$22,2,FALSE)</f>
        <v>Black-Horn-South</v>
      </c>
      <c r="L125" t="s">
        <v>1730</v>
      </c>
      <c r="M125" t="s">
        <v>3958</v>
      </c>
      <c r="N125" s="3">
        <v>334.6</v>
      </c>
      <c r="O125" s="4">
        <v>0.11</v>
      </c>
      <c r="P125" t="s">
        <v>1774</v>
      </c>
      <c r="Q125" s="4">
        <v>893.38200000000006</v>
      </c>
    </row>
    <row r="126" spans="1:17" x14ac:dyDescent="0.3">
      <c r="A126" t="s">
        <v>1898</v>
      </c>
      <c r="B126" t="str">
        <f t="shared" si="1"/>
        <v>Q2</v>
      </c>
      <c r="C126" t="str">
        <f>TEXT(Table1[[#This Row],[Order_Date]],"mmmm")</f>
        <v>April</v>
      </c>
      <c r="D126">
        <f>YEAR(Table1[[#This Row],[Order_Date]])</f>
        <v>2025</v>
      </c>
      <c r="E126" s="7">
        <v>45777</v>
      </c>
      <c r="F126" s="2" t="str">
        <f>VLOOKUP(Table1[[#This Row],[Customer_ID]],Customer_Dim!$A$2:$H$501,2,FALSE)</f>
        <v>Melissa Duffy Md</v>
      </c>
      <c r="G126" s="2" t="str">
        <f>_xlfn.XLOOKUP(Table1[[#This Row],[Customer_ID]],Customer_Dim!$A$2:$A$501,Customer_Dim!$E$2:$E$501)</f>
        <v>East Jenna</v>
      </c>
      <c r="H126" t="s">
        <v>310</v>
      </c>
      <c r="I126" t="str">
        <f>VLOOKUP(Table1[[#This Row],[Product_ID]],Product_Dim!$A$2:$G$101,2,FALSE)</f>
        <v>Decorative Wall Mirror-Home</v>
      </c>
      <c r="J126" t="s">
        <v>1551</v>
      </c>
      <c r="K126" t="str">
        <f>VLOOKUP(Table1[[#This Row],[Store_ID]],Store_Dim!$A$3:$D$22,2,FALSE)</f>
        <v>Johnson-Wright-North</v>
      </c>
      <c r="L126" t="s">
        <v>1733</v>
      </c>
      <c r="M126" t="s">
        <v>3960</v>
      </c>
      <c r="N126" s="3">
        <v>44.35</v>
      </c>
      <c r="O126" s="4">
        <v>0.2</v>
      </c>
      <c r="P126" t="s">
        <v>1777</v>
      </c>
      <c r="Q126" s="4">
        <v>70.960000000000008</v>
      </c>
    </row>
    <row r="127" spans="1:17" x14ac:dyDescent="0.3">
      <c r="A127" t="s">
        <v>1899</v>
      </c>
      <c r="B127" t="str">
        <f t="shared" si="1"/>
        <v>Q4</v>
      </c>
      <c r="C127" t="str">
        <f>TEXT(Table1[[#This Row],[Order_Date]],"mmmm")</f>
        <v>November</v>
      </c>
      <c r="D127">
        <f>YEAR(Table1[[#This Row],[Order_Date]])</f>
        <v>2024</v>
      </c>
      <c r="E127" s="7">
        <v>45598</v>
      </c>
      <c r="F127" s="2" t="str">
        <f>VLOOKUP(Table1[[#This Row],[Customer_ID]],Customer_Dim!$A$2:$H$501,2,FALSE)</f>
        <v>Traci Gonzalez</v>
      </c>
      <c r="G127" s="2" t="str">
        <f>_xlfn.XLOOKUP(Table1[[#This Row],[Customer_ID]],Customer_Dim!$A$2:$A$501,Customer_Dim!$E$2:$E$501)</f>
        <v>Snyderfurt</v>
      </c>
      <c r="H127" t="s">
        <v>1513</v>
      </c>
      <c r="I127" t="str">
        <f>VLOOKUP(Table1[[#This Row],[Product_ID]],Product_Dim!$A$2:$G$101,2,FALSE)</f>
        <v>Wireless Bluetooth Earbuds-Electronics</v>
      </c>
      <c r="J127" t="s">
        <v>1539</v>
      </c>
      <c r="K127" t="str">
        <f>VLOOKUP(Table1[[#This Row],[Store_ID]],Store_Dim!$A$3:$D$22,2,FALSE)</f>
        <v>Benson-Elliott-East</v>
      </c>
      <c r="L127" t="s">
        <v>1740</v>
      </c>
      <c r="M127" t="s">
        <v>3957</v>
      </c>
      <c r="N127" s="3">
        <v>846.31</v>
      </c>
      <c r="O127" s="4">
        <v>0.05</v>
      </c>
      <c r="P127" t="s">
        <v>1774</v>
      </c>
      <c r="Q127" s="4">
        <v>803.9944999999999</v>
      </c>
    </row>
    <row r="128" spans="1:17" x14ac:dyDescent="0.3">
      <c r="A128" t="s">
        <v>1900</v>
      </c>
      <c r="B128" t="str">
        <f t="shared" si="1"/>
        <v>Q3</v>
      </c>
      <c r="C128" t="str">
        <f>TEXT(Table1[[#This Row],[Order_Date]],"mmmm")</f>
        <v>August</v>
      </c>
      <c r="D128">
        <f>YEAR(Table1[[#This Row],[Order_Date]])</f>
        <v>2025</v>
      </c>
      <c r="E128" s="7">
        <v>45884</v>
      </c>
      <c r="F128" s="2" t="str">
        <f>VLOOKUP(Table1[[#This Row],[Customer_ID]],Customer_Dim!$A$2:$H$501,2,FALSE)</f>
        <v>Joseph Richards</v>
      </c>
      <c r="G128" s="2" t="str">
        <f>_xlfn.XLOOKUP(Table1[[#This Row],[Customer_ID]],Customer_Dim!$A$2:$A$501,Customer_Dim!$E$2:$E$501)</f>
        <v>Wigginsville</v>
      </c>
      <c r="H128" t="s">
        <v>444</v>
      </c>
      <c r="I128" t="str">
        <f>VLOOKUP(Table1[[#This Row],[Product_ID]],Product_Dim!$A$2:$G$101,2,FALSE)</f>
        <v>Bedroom Table Lamp-Home</v>
      </c>
      <c r="J128" t="s">
        <v>1593</v>
      </c>
      <c r="K128" t="str">
        <f>VLOOKUP(Table1[[#This Row],[Store_ID]],Store_Dim!$A$3:$D$22,2,FALSE)</f>
        <v>Thomas, Bridges and Harris-North</v>
      </c>
      <c r="L128" t="s">
        <v>1751</v>
      </c>
      <c r="M128" t="s">
        <v>3957</v>
      </c>
      <c r="N128" s="3">
        <v>996.48</v>
      </c>
      <c r="O128" s="4">
        <v>7.0000000000000007E-2</v>
      </c>
      <c r="P128" t="s">
        <v>1777</v>
      </c>
      <c r="Q128" s="4">
        <v>926.7263999999999</v>
      </c>
    </row>
    <row r="129" spans="1:17" x14ac:dyDescent="0.3">
      <c r="A129" t="s">
        <v>1901</v>
      </c>
      <c r="B129" t="str">
        <f t="shared" si="1"/>
        <v>Q3</v>
      </c>
      <c r="C129" t="str">
        <f>TEXT(Table1[[#This Row],[Order_Date]],"mmmm")</f>
        <v>September</v>
      </c>
      <c r="D129">
        <f>YEAR(Table1[[#This Row],[Order_Date]])</f>
        <v>2025</v>
      </c>
      <c r="E129" s="7">
        <v>45916</v>
      </c>
      <c r="F129" s="2" t="str">
        <f>VLOOKUP(Table1[[#This Row],[Customer_ID]],Customer_Dim!$A$2:$H$501,2,FALSE)</f>
        <v>Jeffrey Gomez</v>
      </c>
      <c r="G129" s="2" t="str">
        <f>_xlfn.XLOOKUP(Table1[[#This Row],[Customer_ID]],Customer_Dim!$A$2:$A$501,Customer_Dim!$E$2:$E$501)</f>
        <v>Lake Nicole</v>
      </c>
      <c r="H129" t="s">
        <v>873</v>
      </c>
      <c r="I129" t="str">
        <f>VLOOKUP(Table1[[#This Row],[Product_ID]],Product_Dim!$A$2:$G$101,2,FALSE)</f>
        <v>USB-C Laptop Charger-Electronics</v>
      </c>
      <c r="J129" t="s">
        <v>1709</v>
      </c>
      <c r="K129" t="str">
        <f>VLOOKUP(Table1[[#This Row],[Store_ID]],Store_Dim!$A$3:$D$22,2,FALSE)</f>
        <v>Benson-Elliott-East</v>
      </c>
      <c r="L129" t="s">
        <v>1740</v>
      </c>
      <c r="M129" t="s">
        <v>3958</v>
      </c>
      <c r="N129" s="3">
        <v>949.19</v>
      </c>
      <c r="O129" s="4">
        <v>0.03</v>
      </c>
      <c r="P129" t="s">
        <v>1777</v>
      </c>
      <c r="Q129" s="4">
        <v>2762.1428999999998</v>
      </c>
    </row>
    <row r="130" spans="1:17" x14ac:dyDescent="0.3">
      <c r="A130" t="s">
        <v>1902</v>
      </c>
      <c r="B130" t="str">
        <f t="shared" ref="B130:B193" si="2">"Q" &amp;ROUNDUP(MONTH(E130)/3,0)</f>
        <v>Q1</v>
      </c>
      <c r="C130" t="str">
        <f>TEXT(Table1[[#This Row],[Order_Date]],"mmmm")</f>
        <v>February</v>
      </c>
      <c r="D130">
        <f>YEAR(Table1[[#This Row],[Order_Date]])</f>
        <v>2024</v>
      </c>
      <c r="E130" s="7">
        <v>45347</v>
      </c>
      <c r="F130" s="2" t="str">
        <f>VLOOKUP(Table1[[#This Row],[Customer_ID]],Customer_Dim!$A$2:$H$501,2,FALSE)</f>
        <v>Charles Norman Phd</v>
      </c>
      <c r="G130" s="2" t="str">
        <f>_xlfn.XLOOKUP(Table1[[#This Row],[Customer_ID]],Customer_Dim!$A$2:$A$501,Customer_Dim!$E$2:$E$501)</f>
        <v>East Jennifer</v>
      </c>
      <c r="H130" t="s">
        <v>1225</v>
      </c>
      <c r="I130" t="str">
        <f>VLOOKUP(Table1[[#This Row],[Product_ID]],Product_Dim!$A$2:$G$101,2,FALSE)</f>
        <v>Vitamin E Body Lotion-Beauty</v>
      </c>
      <c r="J130" t="s">
        <v>1711</v>
      </c>
      <c r="K130" t="str">
        <f>VLOOKUP(Table1[[#This Row],[Store_ID]],Store_Dim!$A$3:$D$22,2,FALSE)</f>
        <v>Moore, Padilla and Butler-South</v>
      </c>
      <c r="L130" t="s">
        <v>1746</v>
      </c>
      <c r="M130" t="s">
        <v>3960</v>
      </c>
      <c r="N130" s="3">
        <v>724.97</v>
      </c>
      <c r="O130" s="4">
        <v>0.1</v>
      </c>
      <c r="P130" t="s">
        <v>1772</v>
      </c>
      <c r="Q130" s="4">
        <v>1304.9459999999999</v>
      </c>
    </row>
    <row r="131" spans="1:17" x14ac:dyDescent="0.3">
      <c r="A131" t="s">
        <v>1903</v>
      </c>
      <c r="B131" t="str">
        <f t="shared" si="2"/>
        <v>Q1</v>
      </c>
      <c r="C131" t="str">
        <f>TEXT(Table1[[#This Row],[Order_Date]],"mmmm")</f>
        <v>March</v>
      </c>
      <c r="D131">
        <f>YEAR(Table1[[#This Row],[Order_Date]])</f>
        <v>2025</v>
      </c>
      <c r="E131" s="7">
        <v>45723</v>
      </c>
      <c r="F131" s="2" t="str">
        <f>VLOOKUP(Table1[[#This Row],[Customer_ID]],Customer_Dim!$A$2:$H$501,2,FALSE)</f>
        <v>William Rodriguez</v>
      </c>
      <c r="G131" s="2" t="str">
        <f>_xlfn.XLOOKUP(Table1[[#This Row],[Customer_ID]],Customer_Dim!$A$2:$A$501,Customer_Dim!$E$2:$E$501)</f>
        <v>Port Chad</v>
      </c>
      <c r="H131" t="s">
        <v>983</v>
      </c>
      <c r="I131" t="str">
        <f>VLOOKUP(Table1[[#This Row],[Product_ID]],Product_Dim!$A$2:$G$101,2,FALSE)</f>
        <v>Men's Graphic T-Shirt-Clothing</v>
      </c>
      <c r="J131" t="s">
        <v>1525</v>
      </c>
      <c r="K131" t="str">
        <f>VLOOKUP(Table1[[#This Row],[Store_ID]],Store_Dim!$A$3:$D$22,2,FALSE)</f>
        <v>Frederick-Wright-West</v>
      </c>
      <c r="L131" t="s">
        <v>1757</v>
      </c>
      <c r="M131" t="s">
        <v>3957</v>
      </c>
      <c r="N131" s="3">
        <v>783.25</v>
      </c>
      <c r="O131" s="4">
        <v>0.3</v>
      </c>
      <c r="P131" t="s">
        <v>1772</v>
      </c>
      <c r="Q131" s="4">
        <v>548.27499999999998</v>
      </c>
    </row>
    <row r="132" spans="1:17" x14ac:dyDescent="0.3">
      <c r="A132" t="s">
        <v>1904</v>
      </c>
      <c r="B132" t="str">
        <f t="shared" si="2"/>
        <v>Q3</v>
      </c>
      <c r="C132" t="str">
        <f>TEXT(Table1[[#This Row],[Order_Date]],"mmmm")</f>
        <v>July</v>
      </c>
      <c r="D132">
        <f>YEAR(Table1[[#This Row],[Order_Date]])</f>
        <v>2024</v>
      </c>
      <c r="E132" s="7">
        <v>45495</v>
      </c>
      <c r="F132" s="2" t="str">
        <f>VLOOKUP(Table1[[#This Row],[Customer_ID]],Customer_Dim!$A$2:$H$501,2,FALSE)</f>
        <v>Ryan Moore</v>
      </c>
      <c r="G132" s="2" t="str">
        <f>_xlfn.XLOOKUP(Table1[[#This Row],[Customer_ID]],Customer_Dim!$A$2:$A$501,Customer_Dim!$E$2:$E$501)</f>
        <v>Cartershire</v>
      </c>
      <c r="H132" t="s">
        <v>1066</v>
      </c>
      <c r="I132" t="str">
        <f>VLOOKUP(Table1[[#This Row],[Product_ID]],Product_Dim!$A$2:$G$101,2,FALSE)</f>
        <v>Soccer Training Cone Set-Sports</v>
      </c>
      <c r="J132" t="s">
        <v>1557</v>
      </c>
      <c r="K132" t="str">
        <f>VLOOKUP(Table1[[#This Row],[Store_ID]],Store_Dim!$A$3:$D$22,2,FALSE)</f>
        <v>Johnson-Wright-North</v>
      </c>
      <c r="L132" t="s">
        <v>1733</v>
      </c>
      <c r="M132" t="s">
        <v>3957</v>
      </c>
      <c r="N132" s="3">
        <v>942.38</v>
      </c>
      <c r="O132" s="4">
        <v>0.17</v>
      </c>
      <c r="P132" t="s">
        <v>1772</v>
      </c>
      <c r="Q132" s="4">
        <v>782.17539999999997</v>
      </c>
    </row>
    <row r="133" spans="1:17" x14ac:dyDescent="0.3">
      <c r="A133" t="s">
        <v>1905</v>
      </c>
      <c r="B133" t="str">
        <f t="shared" si="2"/>
        <v>Q2</v>
      </c>
      <c r="C133" t="str">
        <f>TEXT(Table1[[#This Row],[Order_Date]],"mmmm")</f>
        <v>June</v>
      </c>
      <c r="D133">
        <f>YEAR(Table1[[#This Row],[Order_Date]])</f>
        <v>2024</v>
      </c>
      <c r="E133" s="7">
        <v>45444</v>
      </c>
      <c r="F133" s="2" t="str">
        <f>VLOOKUP(Table1[[#This Row],[Customer_ID]],Customer_Dim!$A$2:$H$501,2,FALSE)</f>
        <v>Christopher Ford</v>
      </c>
      <c r="G133" s="2" t="str">
        <f>_xlfn.XLOOKUP(Table1[[#This Row],[Customer_ID]],Customer_Dim!$A$2:$A$501,Customer_Dim!$E$2:$E$501)</f>
        <v>North Seanfurt</v>
      </c>
      <c r="H133" t="s">
        <v>1507</v>
      </c>
      <c r="I133" t="str">
        <f>VLOOKUP(Table1[[#This Row],[Product_ID]],Product_Dim!$A$2:$G$101,2,FALSE)</f>
        <v>HDMI Cable – 2m-Electronics</v>
      </c>
      <c r="J133" t="s">
        <v>1625</v>
      </c>
      <c r="K133" t="str">
        <f>VLOOKUP(Table1[[#This Row],[Store_ID]],Store_Dim!$A$3:$D$22,2,FALSE)</f>
        <v>Aguirre-Keller-South</v>
      </c>
      <c r="L133" t="s">
        <v>1750</v>
      </c>
      <c r="M133" t="s">
        <v>3958</v>
      </c>
      <c r="N133" s="3">
        <v>298.35000000000002</v>
      </c>
      <c r="O133" s="4">
        <v>0.05</v>
      </c>
      <c r="P133" t="s">
        <v>1777</v>
      </c>
      <c r="Q133" s="4">
        <v>850.29750000000001</v>
      </c>
    </row>
    <row r="134" spans="1:17" x14ac:dyDescent="0.3">
      <c r="A134" t="s">
        <v>1906</v>
      </c>
      <c r="B134" t="str">
        <f t="shared" si="2"/>
        <v>Q1</v>
      </c>
      <c r="C134" t="str">
        <f>TEXT(Table1[[#This Row],[Order_Date]],"mmmm")</f>
        <v>January</v>
      </c>
      <c r="D134">
        <f>YEAR(Table1[[#This Row],[Order_Date]])</f>
        <v>2025</v>
      </c>
      <c r="E134" s="7">
        <v>45662</v>
      </c>
      <c r="F134" s="2" t="str">
        <f>VLOOKUP(Table1[[#This Row],[Customer_ID]],Customer_Dim!$A$2:$H$501,2,FALSE)</f>
        <v>Daniel Rivas</v>
      </c>
      <c r="G134" s="2" t="str">
        <f>_xlfn.XLOOKUP(Table1[[#This Row],[Customer_ID]],Customer_Dim!$A$2:$A$501,Customer_Dim!$E$2:$E$501)</f>
        <v>Dominiquefort</v>
      </c>
      <c r="H134" t="s">
        <v>542</v>
      </c>
      <c r="I134" t="str">
        <f>VLOOKUP(Table1[[#This Row],[Product_ID]],Product_Dim!$A$2:$G$101,2,FALSE)</f>
        <v>Car Dashboard Phone Holder-Electronics</v>
      </c>
      <c r="J134" t="s">
        <v>1619</v>
      </c>
      <c r="K134" t="str">
        <f>VLOOKUP(Table1[[#This Row],[Store_ID]],Store_Dim!$A$3:$D$22,2,FALSE)</f>
        <v>Thomas, Bridges and Harris-North</v>
      </c>
      <c r="L134" t="s">
        <v>1751</v>
      </c>
      <c r="M134" t="s">
        <v>3959</v>
      </c>
      <c r="N134" s="3">
        <v>950.04</v>
      </c>
      <c r="O134" s="4">
        <v>0.13</v>
      </c>
      <c r="P134" t="s">
        <v>1774</v>
      </c>
      <c r="Q134" s="4">
        <v>3306.1392000000001</v>
      </c>
    </row>
    <row r="135" spans="1:17" x14ac:dyDescent="0.3">
      <c r="A135" t="s">
        <v>1907</v>
      </c>
      <c r="B135" t="str">
        <f t="shared" si="2"/>
        <v>Q3</v>
      </c>
      <c r="C135" t="str">
        <f>TEXT(Table1[[#This Row],[Order_Date]],"mmmm")</f>
        <v>September</v>
      </c>
      <c r="D135">
        <f>YEAR(Table1[[#This Row],[Order_Date]])</f>
        <v>2025</v>
      </c>
      <c r="E135" s="7">
        <v>45910</v>
      </c>
      <c r="F135" s="2" t="str">
        <f>VLOOKUP(Table1[[#This Row],[Customer_ID]],Customer_Dim!$A$2:$H$501,2,FALSE)</f>
        <v>Victor Mcintosh</v>
      </c>
      <c r="G135" s="2" t="str">
        <f>_xlfn.XLOOKUP(Table1[[#This Row],[Customer_ID]],Customer_Dim!$A$2:$A$501,Customer_Dim!$E$2:$E$501)</f>
        <v>Tiffanyshire</v>
      </c>
      <c r="H135" t="s">
        <v>1024</v>
      </c>
      <c r="I135" t="str">
        <f>VLOOKUP(Table1[[#This Row],[Product_ID]],Product_Dim!$A$2:$G$101,2,FALSE)</f>
        <v>Foam Roller-Sports</v>
      </c>
      <c r="J135" t="s">
        <v>1637</v>
      </c>
      <c r="K135" t="str">
        <f>VLOOKUP(Table1[[#This Row],[Store_ID]],Store_Dim!$A$3:$D$22,2,FALSE)</f>
        <v>Alexander Group-South</v>
      </c>
      <c r="L135" t="s">
        <v>1735</v>
      </c>
      <c r="M135" t="s">
        <v>3960</v>
      </c>
      <c r="N135" s="3">
        <v>267.19</v>
      </c>
      <c r="O135" s="4">
        <v>7.0000000000000007E-2</v>
      </c>
      <c r="P135" t="s">
        <v>1772</v>
      </c>
      <c r="Q135" s="4">
        <v>496.97340000000003</v>
      </c>
    </row>
    <row r="136" spans="1:17" x14ac:dyDescent="0.3">
      <c r="A136" t="s">
        <v>1908</v>
      </c>
      <c r="B136" t="str">
        <f t="shared" si="2"/>
        <v>Q2</v>
      </c>
      <c r="C136" t="str">
        <f>TEXT(Table1[[#This Row],[Order_Date]],"mmmm")</f>
        <v>June</v>
      </c>
      <c r="D136">
        <f>YEAR(Table1[[#This Row],[Order_Date]])</f>
        <v>2025</v>
      </c>
      <c r="E136" s="7">
        <v>45827</v>
      </c>
      <c r="F136" s="2" t="str">
        <f>VLOOKUP(Table1[[#This Row],[Customer_ID]],Customer_Dim!$A$2:$H$501,2,FALSE)</f>
        <v>Mary Boyd</v>
      </c>
      <c r="G136" s="2" t="str">
        <f>_xlfn.XLOOKUP(Table1[[#This Row],[Customer_ID]],Customer_Dim!$A$2:$A$501,Customer_Dim!$E$2:$E$501)</f>
        <v>New Logan</v>
      </c>
      <c r="H136" t="s">
        <v>651</v>
      </c>
      <c r="I136" t="str">
        <f>VLOOKUP(Table1[[#This Row],[Product_ID]],Product_Dim!$A$2:$G$101,2,FALSE)</f>
        <v>LED Bedside Lamp-Home</v>
      </c>
      <c r="J136" t="s">
        <v>1697</v>
      </c>
      <c r="K136" t="str">
        <f>VLOOKUP(Table1[[#This Row],[Store_ID]],Store_Dim!$A$3:$D$22,2,FALSE)</f>
        <v>Shelton PLC-North</v>
      </c>
      <c r="L136" t="s">
        <v>1755</v>
      </c>
      <c r="M136" t="s">
        <v>3959</v>
      </c>
      <c r="N136" s="3">
        <v>72.63</v>
      </c>
      <c r="O136" s="4">
        <v>0.06</v>
      </c>
      <c r="P136" t="s">
        <v>1774</v>
      </c>
      <c r="Q136" s="4">
        <v>273.08879999999999</v>
      </c>
    </row>
    <row r="137" spans="1:17" x14ac:dyDescent="0.3">
      <c r="A137" t="s">
        <v>1909</v>
      </c>
      <c r="B137" t="str">
        <f t="shared" si="2"/>
        <v>Q3</v>
      </c>
      <c r="C137" t="str">
        <f>TEXT(Table1[[#This Row],[Order_Date]],"mmmm")</f>
        <v>September</v>
      </c>
      <c r="D137">
        <f>YEAR(Table1[[#This Row],[Order_Date]])</f>
        <v>2024</v>
      </c>
      <c r="E137" s="7">
        <v>45544</v>
      </c>
      <c r="F137" s="2" t="str">
        <f>VLOOKUP(Table1[[#This Row],[Customer_ID]],Customer_Dim!$A$2:$H$501,2,FALSE)</f>
        <v>Jose Stewart</v>
      </c>
      <c r="G137" s="2" t="str">
        <f>_xlfn.XLOOKUP(Table1[[#This Row],[Customer_ID]],Customer_Dim!$A$2:$A$501,Customer_Dim!$E$2:$E$501)</f>
        <v>South Robert</v>
      </c>
      <c r="H137" t="s">
        <v>1309</v>
      </c>
      <c r="I137" t="str">
        <f>VLOOKUP(Table1[[#This Row],[Product_ID]],Product_Dim!$A$2:$G$101,2,FALSE)</f>
        <v>Men's Track Pants-Clothing</v>
      </c>
      <c r="J137" t="s">
        <v>1629</v>
      </c>
      <c r="K137" t="str">
        <f>VLOOKUP(Table1[[#This Row],[Store_ID]],Store_Dim!$A$3:$D$22,2,FALSE)</f>
        <v>Gray Ltd-North</v>
      </c>
      <c r="L137" t="s">
        <v>1738</v>
      </c>
      <c r="M137" t="s">
        <v>3958</v>
      </c>
      <c r="N137" s="3">
        <v>576.52</v>
      </c>
      <c r="O137" s="4">
        <v>0.22</v>
      </c>
      <c r="P137" t="s">
        <v>1777</v>
      </c>
      <c r="Q137" s="4">
        <v>1349.0568000000001</v>
      </c>
    </row>
    <row r="138" spans="1:17" x14ac:dyDescent="0.3">
      <c r="A138" t="s">
        <v>1910</v>
      </c>
      <c r="B138" t="str">
        <f t="shared" si="2"/>
        <v>Q2</v>
      </c>
      <c r="C138" t="str">
        <f>TEXT(Table1[[#This Row],[Order_Date]],"mmmm")</f>
        <v>April</v>
      </c>
      <c r="D138">
        <f>YEAR(Table1[[#This Row],[Order_Date]])</f>
        <v>2025</v>
      </c>
      <c r="E138" s="7">
        <v>45751</v>
      </c>
      <c r="F138" s="2" t="str">
        <f>VLOOKUP(Table1[[#This Row],[Customer_ID]],Customer_Dim!$A$2:$H$501,2,FALSE)</f>
        <v>Heather Valenzuela</v>
      </c>
      <c r="G138" s="2" t="str">
        <f>_xlfn.XLOOKUP(Table1[[#This Row],[Customer_ID]],Customer_Dim!$A$2:$A$501,Customer_Dim!$E$2:$E$501)</f>
        <v>New Angiefurt</v>
      </c>
      <c r="H138" t="s">
        <v>1083</v>
      </c>
      <c r="I138" t="str">
        <f>VLOOKUP(Table1[[#This Row],[Product_ID]],Product_Dim!$A$2:$G$101,2,FALSE)</f>
        <v>Hair Repair Oil Treatment-Beauty</v>
      </c>
      <c r="J138" t="s">
        <v>1665</v>
      </c>
      <c r="K138" t="str">
        <f>VLOOKUP(Table1[[#This Row],[Store_ID]],Store_Dim!$A$3:$D$22,2,FALSE)</f>
        <v>Moore, Padilla and Butler-South</v>
      </c>
      <c r="L138" t="s">
        <v>1746</v>
      </c>
      <c r="M138" t="s">
        <v>3958</v>
      </c>
      <c r="N138" s="3">
        <v>849.36</v>
      </c>
      <c r="O138" s="4">
        <v>0.03</v>
      </c>
      <c r="P138" t="s">
        <v>1772</v>
      </c>
      <c r="Q138" s="4">
        <v>2471.6376</v>
      </c>
    </row>
    <row r="139" spans="1:17" x14ac:dyDescent="0.3">
      <c r="A139" t="s">
        <v>1911</v>
      </c>
      <c r="B139" t="str">
        <f t="shared" si="2"/>
        <v>Q2</v>
      </c>
      <c r="C139" t="str">
        <f>TEXT(Table1[[#This Row],[Order_Date]],"mmmm")</f>
        <v>April</v>
      </c>
      <c r="D139">
        <f>YEAR(Table1[[#This Row],[Order_Date]])</f>
        <v>2024</v>
      </c>
      <c r="E139" s="7">
        <v>45392</v>
      </c>
      <c r="F139" s="2" t="str">
        <f>VLOOKUP(Table1[[#This Row],[Customer_ID]],Customer_Dim!$A$2:$H$501,2,FALSE)</f>
        <v>Laura Mathews</v>
      </c>
      <c r="G139" s="2" t="str">
        <f>_xlfn.XLOOKUP(Table1[[#This Row],[Customer_ID]],Customer_Dim!$A$2:$A$501,Customer_Dim!$E$2:$E$501)</f>
        <v>Chambersfurt</v>
      </c>
      <c r="H139" t="s">
        <v>1442</v>
      </c>
      <c r="I139" t="str">
        <f>VLOOKUP(Table1[[#This Row],[Product_ID]],Product_Dim!$A$2:$G$101,2,FALSE)</f>
        <v>Boxing Hand Wraps-Sports</v>
      </c>
      <c r="J139" t="s">
        <v>1623</v>
      </c>
      <c r="K139" t="str">
        <f>VLOOKUP(Table1[[#This Row],[Store_ID]],Store_Dim!$A$3:$D$22,2,FALSE)</f>
        <v>Benson-Elliott-East</v>
      </c>
      <c r="L139" t="s">
        <v>1740</v>
      </c>
      <c r="M139" t="s">
        <v>3957</v>
      </c>
      <c r="N139" s="3">
        <v>245.85</v>
      </c>
      <c r="O139" s="4">
        <v>0.18</v>
      </c>
      <c r="P139" t="s">
        <v>1777</v>
      </c>
      <c r="Q139" s="4">
        <v>201.59700000000001</v>
      </c>
    </row>
    <row r="140" spans="1:17" x14ac:dyDescent="0.3">
      <c r="A140" t="s">
        <v>1912</v>
      </c>
      <c r="B140" t="str">
        <f t="shared" si="2"/>
        <v>Q4</v>
      </c>
      <c r="C140" t="str">
        <f>TEXT(Table1[[#This Row],[Order_Date]],"mmmm")</f>
        <v>October</v>
      </c>
      <c r="D140">
        <f>YEAR(Table1[[#This Row],[Order_Date]])</f>
        <v>2024</v>
      </c>
      <c r="E140" s="7">
        <v>45589</v>
      </c>
      <c r="F140" s="2" t="str">
        <f>VLOOKUP(Table1[[#This Row],[Customer_ID]],Customer_Dim!$A$2:$H$501,2,FALSE)</f>
        <v>Michelle Myers</v>
      </c>
      <c r="G140" s="2" t="str">
        <f>_xlfn.XLOOKUP(Table1[[#This Row],[Customer_ID]],Customer_Dim!$A$2:$A$501,Customer_Dim!$E$2:$E$501)</f>
        <v>West Daniel</v>
      </c>
      <c r="H140" t="s">
        <v>583</v>
      </c>
      <c r="I140" t="str">
        <f>VLOOKUP(Table1[[#This Row],[Product_ID]],Product_Dim!$A$2:$G$101,2,FALSE)</f>
        <v>Cricket Bat-Sports</v>
      </c>
      <c r="J140" t="s">
        <v>1717</v>
      </c>
      <c r="K140" t="str">
        <f>VLOOKUP(Table1[[#This Row],[Store_ID]],Store_Dim!$A$3:$D$22,2,FALSE)</f>
        <v>Hill, Wagner and Ballard-East</v>
      </c>
      <c r="L140" t="s">
        <v>1748</v>
      </c>
      <c r="M140" t="s">
        <v>3958</v>
      </c>
      <c r="N140" s="3">
        <v>237.68</v>
      </c>
      <c r="O140" s="4">
        <v>0.1</v>
      </c>
      <c r="P140" t="s">
        <v>1777</v>
      </c>
      <c r="Q140" s="4">
        <v>641.73599999999999</v>
      </c>
    </row>
    <row r="141" spans="1:17" x14ac:dyDescent="0.3">
      <c r="A141" t="s">
        <v>1913</v>
      </c>
      <c r="B141" t="str">
        <f t="shared" si="2"/>
        <v>Q2</v>
      </c>
      <c r="C141" t="str">
        <f>TEXT(Table1[[#This Row],[Order_Date]],"mmmm")</f>
        <v>April</v>
      </c>
      <c r="D141">
        <f>YEAR(Table1[[#This Row],[Order_Date]])</f>
        <v>2025</v>
      </c>
      <c r="E141" s="7">
        <v>45756</v>
      </c>
      <c r="F141" s="2" t="str">
        <f>VLOOKUP(Table1[[#This Row],[Customer_ID]],Customer_Dim!$A$2:$H$501,2,FALSE)</f>
        <v>Carol Lewis</v>
      </c>
      <c r="G141" s="2" t="str">
        <f>_xlfn.XLOOKUP(Table1[[#This Row],[Customer_ID]],Customer_Dim!$A$2:$A$501,Customer_Dim!$E$2:$E$501)</f>
        <v>Ryanport</v>
      </c>
      <c r="H141" t="s">
        <v>1048</v>
      </c>
      <c r="I141" t="str">
        <f>VLOOKUP(Table1[[#This Row],[Product_ID]],Product_Dim!$A$2:$G$101,2,FALSE)</f>
        <v>Hair Repair Oil Treatment-Beauty</v>
      </c>
      <c r="J141" t="s">
        <v>1665</v>
      </c>
      <c r="K141" t="str">
        <f>VLOOKUP(Table1[[#This Row],[Store_ID]],Store_Dim!$A$3:$D$22,2,FALSE)</f>
        <v>Mcdonald Inc-South</v>
      </c>
      <c r="L141" t="s">
        <v>1754</v>
      </c>
      <c r="M141" t="s">
        <v>3959</v>
      </c>
      <c r="N141" s="3">
        <v>715.85</v>
      </c>
      <c r="O141" s="4">
        <v>0.25</v>
      </c>
      <c r="P141" t="s">
        <v>1774</v>
      </c>
      <c r="Q141" s="4">
        <v>2147.5500000000002</v>
      </c>
    </row>
    <row r="142" spans="1:17" x14ac:dyDescent="0.3">
      <c r="A142" t="s">
        <v>1914</v>
      </c>
      <c r="B142" t="str">
        <f t="shared" si="2"/>
        <v>Q4</v>
      </c>
      <c r="C142" t="str">
        <f>TEXT(Table1[[#This Row],[Order_Date]],"mmmm")</f>
        <v>November</v>
      </c>
      <c r="D142">
        <f>YEAR(Table1[[#This Row],[Order_Date]])</f>
        <v>2023</v>
      </c>
      <c r="E142" s="7">
        <v>45255</v>
      </c>
      <c r="F142" s="2" t="str">
        <f>VLOOKUP(Table1[[#This Row],[Customer_ID]],Customer_Dim!$A$2:$H$501,2,FALSE)</f>
        <v>Amy Wilson</v>
      </c>
      <c r="G142" s="2" t="str">
        <f>_xlfn.XLOOKUP(Table1[[#This Row],[Customer_ID]],Customer_Dim!$A$2:$A$501,Customer_Dim!$E$2:$E$501)</f>
        <v>Morrisburgh</v>
      </c>
      <c r="H142" t="s">
        <v>562</v>
      </c>
      <c r="I142" t="str">
        <f>VLOOKUP(Table1[[#This Row],[Product_ID]],Product_Dim!$A$2:$G$101,2,FALSE)</f>
        <v>Gaming Mouse Pad XL-Electronics</v>
      </c>
      <c r="J142" t="s">
        <v>1703</v>
      </c>
      <c r="K142" t="str">
        <f>VLOOKUP(Table1[[#This Row],[Store_ID]],Store_Dim!$A$3:$D$22,2,FALSE)</f>
        <v>Gray Ltd-North</v>
      </c>
      <c r="L142" t="s">
        <v>1738</v>
      </c>
      <c r="M142" t="s">
        <v>3960</v>
      </c>
      <c r="N142" s="3">
        <v>478.85</v>
      </c>
      <c r="O142" s="4">
        <v>0.01</v>
      </c>
      <c r="P142" t="s">
        <v>1777</v>
      </c>
      <c r="Q142" s="4">
        <v>948.12300000000005</v>
      </c>
    </row>
    <row r="143" spans="1:17" x14ac:dyDescent="0.3">
      <c r="A143" t="s">
        <v>1915</v>
      </c>
      <c r="B143" t="str">
        <f t="shared" si="2"/>
        <v>Q1</v>
      </c>
      <c r="C143" t="str">
        <f>TEXT(Table1[[#This Row],[Order_Date]],"mmmm")</f>
        <v>March</v>
      </c>
      <c r="D143">
        <f>YEAR(Table1[[#This Row],[Order_Date]])</f>
        <v>2025</v>
      </c>
      <c r="E143" s="7">
        <v>45718</v>
      </c>
      <c r="F143" s="2" t="str">
        <f>VLOOKUP(Table1[[#This Row],[Customer_ID]],Customer_Dim!$A$2:$H$501,2,FALSE)</f>
        <v>Edward Hall</v>
      </c>
      <c r="G143" s="2" t="str">
        <f>_xlfn.XLOOKUP(Table1[[#This Row],[Customer_ID]],Customer_Dim!$A$2:$A$501,Customer_Dim!$E$2:$E$501)</f>
        <v>New William</v>
      </c>
      <c r="H143" t="s">
        <v>391</v>
      </c>
      <c r="I143" t="str">
        <f>VLOOKUP(Table1[[#This Row],[Product_ID]],Product_Dim!$A$2:$G$101,2,FALSE)</f>
        <v>Makeup Brush Set-Beauty</v>
      </c>
      <c r="J143" t="s">
        <v>1617</v>
      </c>
      <c r="K143" t="str">
        <f>VLOOKUP(Table1[[#This Row],[Store_ID]],Store_Dim!$A$3:$D$22,2,FALSE)</f>
        <v>Rivera-Warner-East</v>
      </c>
      <c r="L143" t="s">
        <v>1725</v>
      </c>
      <c r="M143" t="s">
        <v>3957</v>
      </c>
      <c r="N143" s="3">
        <v>503.95</v>
      </c>
      <c r="O143" s="4">
        <v>0.26</v>
      </c>
      <c r="P143" t="s">
        <v>1777</v>
      </c>
      <c r="Q143" s="4">
        <v>372.923</v>
      </c>
    </row>
    <row r="144" spans="1:17" x14ac:dyDescent="0.3">
      <c r="A144" t="s">
        <v>1916</v>
      </c>
      <c r="B144" t="str">
        <f t="shared" si="2"/>
        <v>Q4</v>
      </c>
      <c r="C144" t="str">
        <f>TEXT(Table1[[#This Row],[Order_Date]],"mmmm")</f>
        <v>October</v>
      </c>
      <c r="D144">
        <f>YEAR(Table1[[#This Row],[Order_Date]])</f>
        <v>2024</v>
      </c>
      <c r="E144" s="7">
        <v>45573</v>
      </c>
      <c r="F144" s="2" t="str">
        <f>VLOOKUP(Table1[[#This Row],[Customer_ID]],Customer_Dim!$A$2:$H$501,2,FALSE)</f>
        <v>John Donaldson</v>
      </c>
      <c r="G144" s="2" t="str">
        <f>_xlfn.XLOOKUP(Table1[[#This Row],[Customer_ID]],Customer_Dim!$A$2:$A$501,Customer_Dim!$E$2:$E$501)</f>
        <v>New Edward</v>
      </c>
      <c r="H144" t="s">
        <v>1229</v>
      </c>
      <c r="I144" t="str">
        <f>VLOOKUP(Table1[[#This Row],[Product_ID]],Product_Dim!$A$2:$G$101,2,FALSE)</f>
        <v>Women's Hair Dryer Brush-Beauty</v>
      </c>
      <c r="J144" t="s">
        <v>1655</v>
      </c>
      <c r="K144" t="str">
        <f>VLOOKUP(Table1[[#This Row],[Store_ID]],Store_Dim!$A$3:$D$22,2,FALSE)</f>
        <v>Thomas, Bridges and Harris-North</v>
      </c>
      <c r="L144" t="s">
        <v>1751</v>
      </c>
      <c r="M144" t="s">
        <v>3960</v>
      </c>
      <c r="N144" s="3">
        <v>975.48</v>
      </c>
      <c r="O144" s="4">
        <v>0.26</v>
      </c>
      <c r="P144" t="s">
        <v>1777</v>
      </c>
      <c r="Q144" s="4">
        <v>1443.7103999999999</v>
      </c>
    </row>
    <row r="145" spans="1:17" x14ac:dyDescent="0.3">
      <c r="A145" t="s">
        <v>1917</v>
      </c>
      <c r="B145" t="str">
        <f t="shared" si="2"/>
        <v>Q3</v>
      </c>
      <c r="C145" t="str">
        <f>TEXT(Table1[[#This Row],[Order_Date]],"mmmm")</f>
        <v>August</v>
      </c>
      <c r="D145">
        <f>YEAR(Table1[[#This Row],[Order_Date]])</f>
        <v>2025</v>
      </c>
      <c r="E145" s="7">
        <v>45884</v>
      </c>
      <c r="F145" s="2" t="str">
        <f>VLOOKUP(Table1[[#This Row],[Customer_ID]],Customer_Dim!$A$2:$H$501,2,FALSE)</f>
        <v>Terry Moses</v>
      </c>
      <c r="G145" s="2" t="str">
        <f>_xlfn.XLOOKUP(Table1[[#This Row],[Customer_ID]],Customer_Dim!$A$2:$A$501,Customer_Dim!$E$2:$E$501)</f>
        <v>Leahmouth</v>
      </c>
      <c r="H145" t="s">
        <v>1235</v>
      </c>
      <c r="I145" t="str">
        <f>VLOOKUP(Table1[[#This Row],[Product_ID]],Product_Dim!$A$2:$G$101,2,FALSE)</f>
        <v>Gaming Mechanical Keyboard-Electronics</v>
      </c>
      <c r="J145" t="s">
        <v>1591</v>
      </c>
      <c r="K145" t="str">
        <f>VLOOKUP(Table1[[#This Row],[Store_ID]],Store_Dim!$A$3:$D$22,2,FALSE)</f>
        <v>Frederick-Wright-West</v>
      </c>
      <c r="L145" t="s">
        <v>1757</v>
      </c>
      <c r="M145" t="s">
        <v>3959</v>
      </c>
      <c r="N145" s="3">
        <v>450.12</v>
      </c>
      <c r="O145" s="4">
        <v>0.28999999999999998</v>
      </c>
      <c r="P145" t="s">
        <v>1777</v>
      </c>
      <c r="Q145" s="4">
        <v>1278.3407999999999</v>
      </c>
    </row>
    <row r="146" spans="1:17" x14ac:dyDescent="0.3">
      <c r="A146" t="s">
        <v>1918</v>
      </c>
      <c r="B146" t="str">
        <f t="shared" si="2"/>
        <v>Q2</v>
      </c>
      <c r="C146" t="str">
        <f>TEXT(Table1[[#This Row],[Order_Date]],"mmmm")</f>
        <v>June</v>
      </c>
      <c r="D146">
        <f>YEAR(Table1[[#This Row],[Order_Date]])</f>
        <v>2024</v>
      </c>
      <c r="E146" s="7">
        <v>45448</v>
      </c>
      <c r="F146" s="2" t="str">
        <f>VLOOKUP(Table1[[#This Row],[Customer_ID]],Customer_Dim!$A$2:$H$501,2,FALSE)</f>
        <v>Lindsay Beasley</v>
      </c>
      <c r="G146" s="2" t="str">
        <f>_xlfn.XLOOKUP(Table1[[#This Row],[Customer_ID]],Customer_Dim!$A$2:$A$501,Customer_Dim!$E$2:$E$501)</f>
        <v>Wesleyhaven</v>
      </c>
      <c r="H146" t="s">
        <v>1333</v>
      </c>
      <c r="I146" t="str">
        <f>VLOOKUP(Table1[[#This Row],[Product_ID]],Product_Dim!$A$2:$G$101,2,FALSE)</f>
        <v>Women's Summer Dress-Clothing</v>
      </c>
      <c r="J146" t="s">
        <v>1595</v>
      </c>
      <c r="K146" t="str">
        <f>VLOOKUP(Table1[[#This Row],[Store_ID]],Store_Dim!$A$3:$D$22,2,FALSE)</f>
        <v>Bean, Jones and Park-West</v>
      </c>
      <c r="L146" t="s">
        <v>1744</v>
      </c>
      <c r="M146" t="s">
        <v>3958</v>
      </c>
      <c r="N146" s="3">
        <v>237.24</v>
      </c>
      <c r="O146" s="4">
        <v>0.24</v>
      </c>
      <c r="P146" t="s">
        <v>1774</v>
      </c>
      <c r="Q146" s="4">
        <v>540.90719999999999</v>
      </c>
    </row>
    <row r="147" spans="1:17" x14ac:dyDescent="0.3">
      <c r="A147" t="s">
        <v>1919</v>
      </c>
      <c r="B147" t="str">
        <f t="shared" si="2"/>
        <v>Q3</v>
      </c>
      <c r="C147" t="str">
        <f>TEXT(Table1[[#This Row],[Order_Date]],"mmmm")</f>
        <v>August</v>
      </c>
      <c r="D147">
        <f>YEAR(Table1[[#This Row],[Order_Date]])</f>
        <v>2024</v>
      </c>
      <c r="E147" s="7">
        <v>45522</v>
      </c>
      <c r="F147" s="2" t="str">
        <f>VLOOKUP(Table1[[#This Row],[Customer_ID]],Customer_Dim!$A$2:$H$501,2,FALSE)</f>
        <v>John Perez</v>
      </c>
      <c r="G147" s="2" t="str">
        <f>_xlfn.XLOOKUP(Table1[[#This Row],[Customer_ID]],Customer_Dim!$A$2:$A$501,Customer_Dim!$E$2:$E$501)</f>
        <v>Brandontown</v>
      </c>
      <c r="H147" t="s">
        <v>1401</v>
      </c>
      <c r="I147" t="str">
        <f>VLOOKUP(Table1[[#This Row],[Product_ID]],Product_Dim!$A$2:$G$101,2,FALSE)</f>
        <v>Sports Stopwatch Pro-Sports</v>
      </c>
      <c r="J147" t="s">
        <v>1631</v>
      </c>
      <c r="K147" t="str">
        <f>VLOOKUP(Table1[[#This Row],[Store_ID]],Store_Dim!$A$3:$D$22,2,FALSE)</f>
        <v>Shelton PLC-North</v>
      </c>
      <c r="L147" t="s">
        <v>1755</v>
      </c>
      <c r="M147" t="s">
        <v>3960</v>
      </c>
      <c r="N147" s="3">
        <v>536.84</v>
      </c>
      <c r="O147" s="4">
        <v>0.09</v>
      </c>
      <c r="P147" t="s">
        <v>1777</v>
      </c>
      <c r="Q147" s="4">
        <v>977.04880000000014</v>
      </c>
    </row>
    <row r="148" spans="1:17" x14ac:dyDescent="0.3">
      <c r="A148" t="s">
        <v>1920</v>
      </c>
      <c r="B148" t="str">
        <f t="shared" si="2"/>
        <v>Q4</v>
      </c>
      <c r="C148" t="str">
        <f>TEXT(Table1[[#This Row],[Order_Date]],"mmmm")</f>
        <v>November</v>
      </c>
      <c r="D148">
        <f>YEAR(Table1[[#This Row],[Order_Date]])</f>
        <v>2024</v>
      </c>
      <c r="E148" s="7">
        <v>45626</v>
      </c>
      <c r="F148" s="2" t="str">
        <f>VLOOKUP(Table1[[#This Row],[Customer_ID]],Customer_Dim!$A$2:$H$501,2,FALSE)</f>
        <v>Adam Castro</v>
      </c>
      <c r="G148" s="2" t="str">
        <f>_xlfn.XLOOKUP(Table1[[#This Row],[Customer_ID]],Customer_Dim!$A$2:$A$501,Customer_Dim!$E$2:$E$501)</f>
        <v>New Donnabury</v>
      </c>
      <c r="H148" t="s">
        <v>1355</v>
      </c>
      <c r="I148" t="str">
        <f>VLOOKUP(Table1[[#This Row],[Product_ID]],Product_Dim!$A$2:$G$101,2,FALSE)</f>
        <v>Women's Summer Dress-Clothing</v>
      </c>
      <c r="J148" t="s">
        <v>1595</v>
      </c>
      <c r="K148" t="str">
        <f>VLOOKUP(Table1[[#This Row],[Store_ID]],Store_Dim!$A$3:$D$22,2,FALSE)</f>
        <v>Mann-Austin-East</v>
      </c>
      <c r="L148" t="s">
        <v>1763</v>
      </c>
      <c r="M148" t="s">
        <v>3958</v>
      </c>
      <c r="N148" s="3">
        <v>584.41</v>
      </c>
      <c r="O148" s="4">
        <v>0.14946477334789737</v>
      </c>
      <c r="P148" t="s">
        <v>1777</v>
      </c>
      <c r="Q148" s="4">
        <v>1753.23</v>
      </c>
    </row>
    <row r="149" spans="1:17" x14ac:dyDescent="0.3">
      <c r="A149" t="s">
        <v>1921</v>
      </c>
      <c r="B149" t="str">
        <f t="shared" si="2"/>
        <v>Q4</v>
      </c>
      <c r="C149" t="str">
        <f>TEXT(Table1[[#This Row],[Order_Date]],"mmmm")</f>
        <v>November</v>
      </c>
      <c r="D149">
        <f>YEAR(Table1[[#This Row],[Order_Date]])</f>
        <v>2024</v>
      </c>
      <c r="E149" s="7">
        <v>45617</v>
      </c>
      <c r="F149" s="2" t="str">
        <f>VLOOKUP(Table1[[#This Row],[Customer_ID]],Customer_Dim!$A$2:$H$501,2,FALSE)</f>
        <v>Lisa Chandler</v>
      </c>
      <c r="G149" s="2" t="str">
        <f>_xlfn.XLOOKUP(Table1[[#This Row],[Customer_ID]],Customer_Dim!$A$2:$A$501,Customer_Dim!$E$2:$E$501)</f>
        <v>Port Richard</v>
      </c>
      <c r="H149" t="s">
        <v>923</v>
      </c>
      <c r="I149" t="str">
        <f>VLOOKUP(Table1[[#This Row],[Product_ID]],Product_Dim!$A$2:$G$101,2,FALSE)</f>
        <v>Fitness Resistance Bands-Sports</v>
      </c>
      <c r="J149" t="s">
        <v>1687</v>
      </c>
      <c r="K149" t="str">
        <f>VLOOKUP(Table1[[#This Row],[Store_ID]],Store_Dim!$A$3:$D$22,2,FALSE)</f>
        <v>Mann-Austin-East</v>
      </c>
      <c r="L149" t="s">
        <v>1763</v>
      </c>
      <c r="M149" t="s">
        <v>3957</v>
      </c>
      <c r="N149" s="3">
        <v>653.87</v>
      </c>
      <c r="O149" s="4">
        <v>0.14000000000000001</v>
      </c>
      <c r="P149" t="s">
        <v>1774</v>
      </c>
      <c r="Q149" s="4">
        <v>562.32820000000004</v>
      </c>
    </row>
    <row r="150" spans="1:17" x14ac:dyDescent="0.3">
      <c r="A150" t="s">
        <v>1922</v>
      </c>
      <c r="B150" t="str">
        <f t="shared" si="2"/>
        <v>Q3</v>
      </c>
      <c r="C150" t="str">
        <f>TEXT(Table1[[#This Row],[Order_Date]],"mmmm")</f>
        <v>August</v>
      </c>
      <c r="D150">
        <f>YEAR(Table1[[#This Row],[Order_Date]])</f>
        <v>2025</v>
      </c>
      <c r="E150" s="7">
        <v>45878</v>
      </c>
      <c r="F150" s="2" t="str">
        <f>VLOOKUP(Table1[[#This Row],[Customer_ID]],Customer_Dim!$A$2:$H$501,2,FALSE)</f>
        <v>Amanda Powell</v>
      </c>
      <c r="G150" s="2" t="str">
        <f>_xlfn.XLOOKUP(Table1[[#This Row],[Customer_ID]],Customer_Dim!$A$2:$A$501,Customer_Dim!$E$2:$E$501)</f>
        <v>South William</v>
      </c>
      <c r="H150" t="s">
        <v>1499</v>
      </c>
      <c r="I150" t="str">
        <f>VLOOKUP(Table1[[#This Row],[Product_ID]],Product_Dim!$A$2:$G$101,2,FALSE)</f>
        <v>LED Bedside Lamp-Home</v>
      </c>
      <c r="J150" t="s">
        <v>1697</v>
      </c>
      <c r="K150" t="str">
        <f>VLOOKUP(Table1[[#This Row],[Store_ID]],Store_Dim!$A$3:$D$22,2,FALSE)</f>
        <v>Rivera-Warner-East</v>
      </c>
      <c r="L150" t="s">
        <v>1725</v>
      </c>
      <c r="M150" t="s">
        <v>3957</v>
      </c>
      <c r="N150" s="3">
        <v>652.03</v>
      </c>
      <c r="O150" s="4">
        <v>0.27</v>
      </c>
      <c r="P150" t="s">
        <v>1772</v>
      </c>
      <c r="Q150" s="4">
        <v>475.9819</v>
      </c>
    </row>
    <row r="151" spans="1:17" x14ac:dyDescent="0.3">
      <c r="A151" t="s">
        <v>1923</v>
      </c>
      <c r="B151" t="str">
        <f t="shared" si="2"/>
        <v>Q3</v>
      </c>
      <c r="C151" t="str">
        <f>TEXT(Table1[[#This Row],[Order_Date]],"mmmm")</f>
        <v>July</v>
      </c>
      <c r="D151">
        <f>YEAR(Table1[[#This Row],[Order_Date]])</f>
        <v>2024</v>
      </c>
      <c r="E151" s="7">
        <v>45502</v>
      </c>
      <c r="F151" s="2" t="str">
        <f>VLOOKUP(Table1[[#This Row],[Customer_ID]],Customer_Dim!$A$2:$H$501,2,FALSE)</f>
        <v>Christy Vasquez</v>
      </c>
      <c r="G151" s="2" t="str">
        <f>_xlfn.XLOOKUP(Table1[[#This Row],[Customer_ID]],Customer_Dim!$A$2:$A$501,Customer_Dim!$E$2:$E$501)</f>
        <v>Port Travisstad</v>
      </c>
      <c r="H151" t="s">
        <v>330</v>
      </c>
      <c r="I151" t="str">
        <f>VLOOKUP(Table1[[#This Row],[Product_ID]],Product_Dim!$A$2:$G$101,2,FALSE)</f>
        <v>Men's Leather Belt-Clothing</v>
      </c>
      <c r="J151" t="s">
        <v>1533</v>
      </c>
      <c r="K151" t="str">
        <f>VLOOKUP(Table1[[#This Row],[Store_ID]],Store_Dim!$A$3:$D$22,2,FALSE)</f>
        <v>Thomas, Bridges and Harris-North</v>
      </c>
      <c r="L151" t="s">
        <v>1751</v>
      </c>
      <c r="M151" t="s">
        <v>3958</v>
      </c>
      <c r="N151" s="3">
        <v>513.36</v>
      </c>
      <c r="O151" s="4">
        <v>7.0000000000000007E-2</v>
      </c>
      <c r="P151" t="s">
        <v>1777</v>
      </c>
      <c r="Q151" s="4">
        <v>1432.2744</v>
      </c>
    </row>
    <row r="152" spans="1:17" x14ac:dyDescent="0.3">
      <c r="A152" t="s">
        <v>1924</v>
      </c>
      <c r="B152" t="str">
        <f t="shared" si="2"/>
        <v>Q2</v>
      </c>
      <c r="C152" t="str">
        <f>TEXT(Table1[[#This Row],[Order_Date]],"mmmm")</f>
        <v>May</v>
      </c>
      <c r="D152">
        <f>YEAR(Table1[[#This Row],[Order_Date]])</f>
        <v>2024</v>
      </c>
      <c r="E152" s="7">
        <v>45433</v>
      </c>
      <c r="F152" s="2" t="str">
        <f>VLOOKUP(Table1[[#This Row],[Customer_ID]],Customer_Dim!$A$2:$H$501,2,FALSE)</f>
        <v>Mr. Mark Beasley</v>
      </c>
      <c r="G152" s="2" t="str">
        <f>_xlfn.XLOOKUP(Table1[[#This Row],[Customer_ID]],Customer_Dim!$A$2:$A$501,Customer_Dim!$E$2:$E$501)</f>
        <v>West Johnchester</v>
      </c>
      <c r="H152" t="s">
        <v>248</v>
      </c>
      <c r="I152" t="str">
        <f>VLOOKUP(Table1[[#This Row],[Product_ID]],Product_Dim!$A$2:$G$101,2,FALSE)</f>
        <v>Rugby Ball-Sports</v>
      </c>
      <c r="J152" t="s">
        <v>1627</v>
      </c>
      <c r="K152" t="str">
        <f>VLOOKUP(Table1[[#This Row],[Store_ID]],Store_Dim!$A$3:$D$22,2,FALSE)</f>
        <v>Gray Ltd-North</v>
      </c>
      <c r="L152" t="s">
        <v>1738</v>
      </c>
      <c r="M152" t="s">
        <v>3959</v>
      </c>
      <c r="N152" s="3">
        <v>355.64</v>
      </c>
      <c r="O152" s="4">
        <v>0.16</v>
      </c>
      <c r="P152" t="s">
        <v>1777</v>
      </c>
      <c r="Q152" s="4">
        <v>1194.9503999999999</v>
      </c>
    </row>
    <row r="153" spans="1:17" x14ac:dyDescent="0.3">
      <c r="A153" t="s">
        <v>1925</v>
      </c>
      <c r="B153" t="str">
        <f t="shared" si="2"/>
        <v>Q4</v>
      </c>
      <c r="C153" t="str">
        <f>TEXT(Table1[[#This Row],[Order_Date]],"mmmm")</f>
        <v>October</v>
      </c>
      <c r="D153">
        <f>YEAR(Table1[[#This Row],[Order_Date]])</f>
        <v>2024</v>
      </c>
      <c r="E153" s="7">
        <v>45594</v>
      </c>
      <c r="F153" s="2" t="str">
        <f>VLOOKUP(Table1[[#This Row],[Customer_ID]],Customer_Dim!$A$2:$H$501,2,FALSE)</f>
        <v>Paul Fox</v>
      </c>
      <c r="G153" s="2" t="str">
        <f>_xlfn.XLOOKUP(Table1[[#This Row],[Customer_ID]],Customer_Dim!$A$2:$A$501,Customer_Dim!$E$2:$E$501)</f>
        <v>Michaelton</v>
      </c>
      <c r="H153" t="s">
        <v>97</v>
      </c>
      <c r="I153" t="str">
        <f>VLOOKUP(Table1[[#This Row],[Product_ID]],Product_Dim!$A$2:$G$101,2,FALSE)</f>
        <v>USB-C Fast Charger-Electronics</v>
      </c>
      <c r="J153" t="s">
        <v>1549</v>
      </c>
      <c r="K153" t="str">
        <f>VLOOKUP(Table1[[#This Row],[Store_ID]],Store_Dim!$A$3:$D$22,2,FALSE)</f>
        <v>Bean, Jones and Park-West</v>
      </c>
      <c r="L153" t="s">
        <v>1744</v>
      </c>
      <c r="M153" t="s">
        <v>3959</v>
      </c>
      <c r="N153" s="3">
        <v>535.4</v>
      </c>
      <c r="O153" s="4">
        <v>0.26</v>
      </c>
      <c r="P153" t="s">
        <v>1774</v>
      </c>
      <c r="Q153" s="4">
        <v>1584.7840000000001</v>
      </c>
    </row>
    <row r="154" spans="1:17" x14ac:dyDescent="0.3">
      <c r="A154" t="s">
        <v>1926</v>
      </c>
      <c r="B154" t="str">
        <f t="shared" si="2"/>
        <v>Q2</v>
      </c>
      <c r="C154" t="str">
        <f>TEXT(Table1[[#This Row],[Order_Date]],"mmmm")</f>
        <v>May</v>
      </c>
      <c r="D154">
        <f>YEAR(Table1[[#This Row],[Order_Date]])</f>
        <v>2025</v>
      </c>
      <c r="E154" s="7">
        <v>45798</v>
      </c>
      <c r="F154" s="2" t="str">
        <f>VLOOKUP(Table1[[#This Row],[Customer_ID]],Customer_Dim!$A$2:$H$501,2,FALSE)</f>
        <v>Brian Hammond</v>
      </c>
      <c r="G154" s="2" t="str">
        <f>_xlfn.XLOOKUP(Table1[[#This Row],[Customer_ID]],Customer_Dim!$A$2:$A$501,Customer_Dim!$E$2:$E$501)</f>
        <v>North Nicholas</v>
      </c>
      <c r="H154" t="s">
        <v>773</v>
      </c>
      <c r="I154" t="str">
        <f>VLOOKUP(Table1[[#This Row],[Product_ID]],Product_Dim!$A$2:$G$101,2,FALSE)</f>
        <v>Men's Sports Shorts-Clothing</v>
      </c>
      <c r="J154" t="s">
        <v>1661</v>
      </c>
      <c r="K154" t="str">
        <f>VLOOKUP(Table1[[#This Row],[Store_ID]],Store_Dim!$A$3:$D$22,2,FALSE)</f>
        <v>Mann-Austin-East</v>
      </c>
      <c r="L154" t="s">
        <v>1763</v>
      </c>
      <c r="M154" t="s">
        <v>3960</v>
      </c>
      <c r="N154" s="3">
        <v>108.74</v>
      </c>
      <c r="O154" s="4">
        <v>0.11</v>
      </c>
      <c r="P154" t="s">
        <v>1774</v>
      </c>
      <c r="Q154" s="4">
        <v>193.55719999999999</v>
      </c>
    </row>
    <row r="155" spans="1:17" x14ac:dyDescent="0.3">
      <c r="A155" t="s">
        <v>1927</v>
      </c>
      <c r="B155" t="str">
        <f t="shared" si="2"/>
        <v>Q4</v>
      </c>
      <c r="C155" t="str">
        <f>TEXT(Table1[[#This Row],[Order_Date]],"mmmm")</f>
        <v>October</v>
      </c>
      <c r="D155">
        <f>YEAR(Table1[[#This Row],[Order_Date]])</f>
        <v>2024</v>
      </c>
      <c r="E155" s="7">
        <v>45579</v>
      </c>
      <c r="F155" s="2" t="str">
        <f>VLOOKUP(Table1[[#This Row],[Customer_ID]],Customer_Dim!$A$2:$H$501,2,FALSE)</f>
        <v>Elizabeth Johnson</v>
      </c>
      <c r="G155" s="2" t="str">
        <f>_xlfn.XLOOKUP(Table1[[#This Row],[Customer_ID]],Customer_Dim!$A$2:$A$501,Customer_Dim!$E$2:$E$501)</f>
        <v>Anitaland</v>
      </c>
      <c r="H155" t="s">
        <v>980</v>
      </c>
      <c r="I155" t="str">
        <f>VLOOKUP(Table1[[#This Row],[Product_ID]],Product_Dim!$A$2:$G$101,2,FALSE)</f>
        <v>HD Smart TV Stick-Electronics</v>
      </c>
      <c r="J155" t="s">
        <v>1545</v>
      </c>
      <c r="K155" t="str">
        <f>VLOOKUP(Table1[[#This Row],[Store_ID]],Store_Dim!$A$3:$D$22,2,FALSE)</f>
        <v>Mann-Austin-East</v>
      </c>
      <c r="L155" t="s">
        <v>1763</v>
      </c>
      <c r="M155" t="s">
        <v>3958</v>
      </c>
      <c r="N155" s="3">
        <v>591.98</v>
      </c>
      <c r="O155" s="4">
        <v>0.16</v>
      </c>
      <c r="P155" t="s">
        <v>1772</v>
      </c>
      <c r="Q155" s="4">
        <v>1491.7896000000001</v>
      </c>
    </row>
    <row r="156" spans="1:17" x14ac:dyDescent="0.3">
      <c r="A156" t="s">
        <v>1928</v>
      </c>
      <c r="B156" t="str">
        <f t="shared" si="2"/>
        <v>Q4</v>
      </c>
      <c r="C156" t="str">
        <f>TEXT(Table1[[#This Row],[Order_Date]],"mmmm")</f>
        <v>November</v>
      </c>
      <c r="D156">
        <f>YEAR(Table1[[#This Row],[Order_Date]])</f>
        <v>2024</v>
      </c>
      <c r="E156" s="7">
        <v>45613</v>
      </c>
      <c r="F156" s="2" t="str">
        <f>VLOOKUP(Table1[[#This Row],[Customer_ID]],Customer_Dim!$A$2:$H$501,2,FALSE)</f>
        <v>Eric Wolfe</v>
      </c>
      <c r="G156" s="2" t="str">
        <f>_xlfn.XLOOKUP(Table1[[#This Row],[Customer_ID]],Customer_Dim!$A$2:$A$501,Customer_Dim!$E$2:$E$501)</f>
        <v>Garciaview</v>
      </c>
      <c r="H156" t="s">
        <v>1246</v>
      </c>
      <c r="I156" t="str">
        <f>VLOOKUP(Table1[[#This Row],[Product_ID]],Product_Dim!$A$2:$G$101,2,FALSE)</f>
        <v>Car Dashboard Phone Holder-Electronics</v>
      </c>
      <c r="J156" t="s">
        <v>1619</v>
      </c>
      <c r="K156" t="str">
        <f>VLOOKUP(Table1[[#This Row],[Store_ID]],Store_Dim!$A$3:$D$22,2,FALSE)</f>
        <v>Black-Horn-South</v>
      </c>
      <c r="L156" t="s">
        <v>1730</v>
      </c>
      <c r="M156" t="s">
        <v>3957</v>
      </c>
      <c r="N156" s="3">
        <v>345.06</v>
      </c>
      <c r="O156" s="4">
        <v>0.13</v>
      </c>
      <c r="P156" t="s">
        <v>1777</v>
      </c>
      <c r="Q156" s="4">
        <v>300.2022</v>
      </c>
    </row>
    <row r="157" spans="1:17" x14ac:dyDescent="0.3">
      <c r="A157" t="s">
        <v>1929</v>
      </c>
      <c r="B157" t="str">
        <f t="shared" si="2"/>
        <v>Q1</v>
      </c>
      <c r="C157" t="str">
        <f>TEXT(Table1[[#This Row],[Order_Date]],"mmmm")</f>
        <v>March</v>
      </c>
      <c r="D157">
        <f>YEAR(Table1[[#This Row],[Order_Date]])</f>
        <v>2025</v>
      </c>
      <c r="E157" s="7">
        <v>45745</v>
      </c>
      <c r="F157" s="2" t="str">
        <f>VLOOKUP(Table1[[#This Row],[Customer_ID]],Customer_Dim!$A$2:$H$501,2,FALSE)</f>
        <v>Brandy Thompson</v>
      </c>
      <c r="G157" s="2" t="str">
        <f>_xlfn.XLOOKUP(Table1[[#This Row],[Customer_ID]],Customer_Dim!$A$2:$A$501,Customer_Dim!$E$2:$E$501)</f>
        <v>West Patriciaview</v>
      </c>
      <c r="H157" t="s">
        <v>959</v>
      </c>
      <c r="I157" t="str">
        <f>VLOOKUP(Table1[[#This Row],[Product_ID]],Product_Dim!$A$2:$G$101,2,FALSE)</f>
        <v>USB-C Laptop Charger-Electronics</v>
      </c>
      <c r="J157" t="s">
        <v>1709</v>
      </c>
      <c r="K157" t="str">
        <f>VLOOKUP(Table1[[#This Row],[Store_ID]],Store_Dim!$A$3:$D$22,2,FALSE)</f>
        <v>Thomas, Bridges and Harris-North</v>
      </c>
      <c r="L157" t="s">
        <v>1751</v>
      </c>
      <c r="M157" t="s">
        <v>3959</v>
      </c>
      <c r="N157" s="3">
        <v>986.41</v>
      </c>
      <c r="O157" s="4">
        <v>0.22</v>
      </c>
      <c r="P157" t="s">
        <v>1772</v>
      </c>
      <c r="Q157" s="4">
        <v>3077.5992000000001</v>
      </c>
    </row>
    <row r="158" spans="1:17" x14ac:dyDescent="0.3">
      <c r="A158" t="s">
        <v>1930</v>
      </c>
      <c r="B158" t="str">
        <f t="shared" si="2"/>
        <v>Q3</v>
      </c>
      <c r="C158" t="str">
        <f>TEXT(Table1[[#This Row],[Order_Date]],"mmmm")</f>
        <v>July</v>
      </c>
      <c r="D158">
        <f>YEAR(Table1[[#This Row],[Order_Date]])</f>
        <v>2024</v>
      </c>
      <c r="E158" s="7">
        <v>45494</v>
      </c>
      <c r="F158" s="2" t="str">
        <f>VLOOKUP(Table1[[#This Row],[Customer_ID]],Customer_Dim!$A$2:$H$501,2,FALSE)</f>
        <v>Casey Simpson</v>
      </c>
      <c r="G158" s="2" t="str">
        <f>_xlfn.XLOOKUP(Table1[[#This Row],[Customer_ID]],Customer_Dim!$A$2:$A$501,Customer_Dim!$E$2:$E$501)</f>
        <v>West Mathewside</v>
      </c>
      <c r="H158" t="s">
        <v>995</v>
      </c>
      <c r="I158" t="str">
        <f>VLOOKUP(Table1[[#This Row],[Product_ID]],Product_Dim!$A$2:$G$101,2,FALSE)</f>
        <v>Men's Roll-On Perfume-Beauty</v>
      </c>
      <c r="J158" t="s">
        <v>1621</v>
      </c>
      <c r="K158" t="str">
        <f>VLOOKUP(Table1[[#This Row],[Store_ID]],Store_Dim!$A$3:$D$22,2,FALSE)</f>
        <v>Rivera-Warner-East</v>
      </c>
      <c r="L158" t="s">
        <v>1725</v>
      </c>
      <c r="M158" t="s">
        <v>3960</v>
      </c>
      <c r="N158" s="3">
        <v>921.52</v>
      </c>
      <c r="O158" s="4">
        <v>0</v>
      </c>
      <c r="P158" t="s">
        <v>1774</v>
      </c>
      <c r="Q158" s="4">
        <v>1843.04</v>
      </c>
    </row>
    <row r="159" spans="1:17" x14ac:dyDescent="0.3">
      <c r="A159" t="s">
        <v>1931</v>
      </c>
      <c r="B159" t="str">
        <f t="shared" si="2"/>
        <v>Q3</v>
      </c>
      <c r="C159" t="str">
        <f>TEXT(Table1[[#This Row],[Order_Date]],"mmmm")</f>
        <v>August</v>
      </c>
      <c r="D159">
        <f>YEAR(Table1[[#This Row],[Order_Date]])</f>
        <v>2025</v>
      </c>
      <c r="E159" s="7">
        <v>45883</v>
      </c>
      <c r="F159" s="2" t="str">
        <f>VLOOKUP(Table1[[#This Row],[Customer_ID]],Customer_Dim!$A$2:$H$501,2,FALSE)</f>
        <v>David Cobb</v>
      </c>
      <c r="G159" s="2" t="str">
        <f>_xlfn.XLOOKUP(Table1[[#This Row],[Customer_ID]],Customer_Dim!$A$2:$A$501,Customer_Dim!$E$2:$E$501)</f>
        <v>Lake Thomas</v>
      </c>
      <c r="H159" t="s">
        <v>342</v>
      </c>
      <c r="I159" t="str">
        <f>VLOOKUP(Table1[[#This Row],[Product_ID]],Product_Dim!$A$2:$G$101,2,FALSE)</f>
        <v>Ceramic Plant Pot-Home</v>
      </c>
      <c r="J159" t="s">
        <v>1633</v>
      </c>
      <c r="K159" t="str">
        <f>VLOOKUP(Table1[[#This Row],[Store_ID]],Store_Dim!$A$3:$D$22,2,FALSE)</f>
        <v>Gray Ltd-North</v>
      </c>
      <c r="L159" t="s">
        <v>1738</v>
      </c>
      <c r="M159" t="s">
        <v>3957</v>
      </c>
      <c r="N159" s="3">
        <v>83.1</v>
      </c>
      <c r="O159" s="4">
        <v>0.04</v>
      </c>
      <c r="P159" t="s">
        <v>1774</v>
      </c>
      <c r="Q159" s="4">
        <v>79.775999999999996</v>
      </c>
    </row>
    <row r="160" spans="1:17" x14ac:dyDescent="0.3">
      <c r="A160" t="s">
        <v>1932</v>
      </c>
      <c r="B160" t="str">
        <f t="shared" si="2"/>
        <v>Q4</v>
      </c>
      <c r="C160" t="str">
        <f>TEXT(Table1[[#This Row],[Order_Date]],"mmmm")</f>
        <v>November</v>
      </c>
      <c r="D160">
        <f>YEAR(Table1[[#This Row],[Order_Date]])</f>
        <v>2024</v>
      </c>
      <c r="E160" s="7">
        <v>45601</v>
      </c>
      <c r="F160" s="2" t="str">
        <f>VLOOKUP(Table1[[#This Row],[Customer_ID]],Customer_Dim!$A$2:$H$501,2,FALSE)</f>
        <v>Gregory Allen</v>
      </c>
      <c r="G160" s="2" t="str">
        <f>_xlfn.XLOOKUP(Table1[[#This Row],[Customer_ID]],Customer_Dim!$A$2:$A$501,Customer_Dim!$E$2:$E$501)</f>
        <v>West Bruce</v>
      </c>
      <c r="H160" t="s">
        <v>1141</v>
      </c>
      <c r="I160" t="str">
        <f>VLOOKUP(Table1[[#This Row],[Product_ID]],Product_Dim!$A$2:$G$101,2,FALSE)</f>
        <v>Sports Stopwatch Timer-Sports</v>
      </c>
      <c r="J160" t="s">
        <v>1579</v>
      </c>
      <c r="K160" t="str">
        <f>VLOOKUP(Table1[[#This Row],[Store_ID]],Store_Dim!$A$3:$D$22,2,FALSE)</f>
        <v>Aguirre-Keller-South</v>
      </c>
      <c r="L160" t="s">
        <v>1750</v>
      </c>
      <c r="M160" t="s">
        <v>3960</v>
      </c>
      <c r="N160" s="3">
        <v>60.98</v>
      </c>
      <c r="O160" s="4">
        <v>0.23</v>
      </c>
      <c r="P160" t="s">
        <v>1774</v>
      </c>
      <c r="Q160" s="4">
        <v>93.909199999999998</v>
      </c>
    </row>
    <row r="161" spans="1:17" x14ac:dyDescent="0.3">
      <c r="A161" t="s">
        <v>1933</v>
      </c>
      <c r="B161" t="str">
        <f t="shared" si="2"/>
        <v>Q2</v>
      </c>
      <c r="C161" t="str">
        <f>TEXT(Table1[[#This Row],[Order_Date]],"mmmm")</f>
        <v>June</v>
      </c>
      <c r="D161">
        <f>YEAR(Table1[[#This Row],[Order_Date]])</f>
        <v>2024</v>
      </c>
      <c r="E161" s="7">
        <v>45454</v>
      </c>
      <c r="F161" s="2" t="str">
        <f>VLOOKUP(Table1[[#This Row],[Customer_ID]],Customer_Dim!$A$2:$H$501,2,FALSE)</f>
        <v>Alejandro Evans</v>
      </c>
      <c r="G161" s="2" t="str">
        <f>_xlfn.XLOOKUP(Table1[[#This Row],[Customer_ID]],Customer_Dim!$A$2:$A$501,Customer_Dim!$E$2:$E$501)</f>
        <v>Cannonberg</v>
      </c>
      <c r="H161" t="s">
        <v>1216</v>
      </c>
      <c r="I161" t="str">
        <f>VLOOKUP(Table1[[#This Row],[Product_ID]],Product_Dim!$A$2:$G$101,2,FALSE)</f>
        <v>Face Foundation Kit-Beauty</v>
      </c>
      <c r="J161" t="s">
        <v>1701</v>
      </c>
      <c r="K161" t="str">
        <f>VLOOKUP(Table1[[#This Row],[Store_ID]],Store_Dim!$A$3:$D$22,2,FALSE)</f>
        <v>Frederick-Wright-West</v>
      </c>
      <c r="L161" t="s">
        <v>1757</v>
      </c>
      <c r="M161" t="s">
        <v>3960</v>
      </c>
      <c r="N161" s="3">
        <v>122.23</v>
      </c>
      <c r="O161" s="4">
        <v>0.21</v>
      </c>
      <c r="P161" t="s">
        <v>1777</v>
      </c>
      <c r="Q161" s="4">
        <v>193.1234</v>
      </c>
    </row>
    <row r="162" spans="1:17" x14ac:dyDescent="0.3">
      <c r="A162" t="s">
        <v>1934</v>
      </c>
      <c r="B162" t="str">
        <f t="shared" si="2"/>
        <v>Q3</v>
      </c>
      <c r="C162" t="str">
        <f>TEXT(Table1[[#This Row],[Order_Date]],"mmmm")</f>
        <v>September</v>
      </c>
      <c r="D162">
        <f>YEAR(Table1[[#This Row],[Order_Date]])</f>
        <v>2025</v>
      </c>
      <c r="E162" s="7">
        <v>45918</v>
      </c>
      <c r="F162" s="2" t="str">
        <f>VLOOKUP(Table1[[#This Row],[Customer_ID]],Customer_Dim!$A$2:$H$501,2,FALSE)</f>
        <v>Bridget Allen</v>
      </c>
      <c r="G162" s="2" t="str">
        <f>_xlfn.XLOOKUP(Table1[[#This Row],[Customer_ID]],Customer_Dim!$A$2:$A$501,Customer_Dim!$E$2:$E$501)</f>
        <v>Lake Shaneburgh</v>
      </c>
      <c r="H162" t="s">
        <v>89</v>
      </c>
      <c r="I162" t="str">
        <f>VLOOKUP(Table1[[#This Row],[Product_ID]],Product_Dim!$A$2:$G$101,2,FALSE)</f>
        <v>Kitchen Storage Rack-Home</v>
      </c>
      <c r="J162" t="s">
        <v>1663</v>
      </c>
      <c r="K162" t="str">
        <f>VLOOKUP(Table1[[#This Row],[Store_ID]],Store_Dim!$A$3:$D$22,2,FALSE)</f>
        <v>Guerrero-Schmitt-East</v>
      </c>
      <c r="L162" t="s">
        <v>1761</v>
      </c>
      <c r="M162" t="s">
        <v>3960</v>
      </c>
      <c r="N162" s="3">
        <v>623.38</v>
      </c>
      <c r="O162" s="4">
        <v>0.13</v>
      </c>
      <c r="P162" t="s">
        <v>1772</v>
      </c>
      <c r="Q162" s="4">
        <v>1084.6812</v>
      </c>
    </row>
    <row r="163" spans="1:17" x14ac:dyDescent="0.3">
      <c r="A163" t="s">
        <v>1935</v>
      </c>
      <c r="B163" t="str">
        <f t="shared" si="2"/>
        <v>Q1</v>
      </c>
      <c r="C163" t="str">
        <f>TEXT(Table1[[#This Row],[Order_Date]],"mmmm")</f>
        <v>March</v>
      </c>
      <c r="D163">
        <f>YEAR(Table1[[#This Row],[Order_Date]])</f>
        <v>2025</v>
      </c>
      <c r="E163" s="7">
        <v>45729</v>
      </c>
      <c r="F163" s="2" t="str">
        <f>VLOOKUP(Table1[[#This Row],[Customer_ID]],Customer_Dim!$A$2:$H$501,2,FALSE)</f>
        <v>Cheryl Copeland</v>
      </c>
      <c r="G163" s="2" t="str">
        <f>_xlfn.XLOOKUP(Table1[[#This Row],[Customer_ID]],Customer_Dim!$A$2:$A$501,Customer_Dim!$E$2:$E$501)</f>
        <v>Snowmouth</v>
      </c>
      <c r="H163" t="s">
        <v>215</v>
      </c>
      <c r="I163" t="str">
        <f>VLOOKUP(Table1[[#This Row],[Product_ID]],Product_Dim!$A$2:$G$101,2,FALSE)</f>
        <v>Kitchen Storage Rack-Home</v>
      </c>
      <c r="J163" t="s">
        <v>1663</v>
      </c>
      <c r="K163" t="str">
        <f>VLOOKUP(Table1[[#This Row],[Store_ID]],Store_Dim!$A$3:$D$22,2,FALSE)</f>
        <v>Rivera-Warner-East</v>
      </c>
      <c r="L163" t="s">
        <v>1725</v>
      </c>
      <c r="M163" t="s">
        <v>3957</v>
      </c>
      <c r="N163" s="3">
        <v>479.58</v>
      </c>
      <c r="O163" s="4">
        <v>0.05</v>
      </c>
      <c r="P163" t="s">
        <v>1774</v>
      </c>
      <c r="Q163" s="4">
        <v>455.60099999999989</v>
      </c>
    </row>
    <row r="164" spans="1:17" x14ac:dyDescent="0.3">
      <c r="A164" t="s">
        <v>1936</v>
      </c>
      <c r="B164" t="str">
        <f t="shared" si="2"/>
        <v>Q4</v>
      </c>
      <c r="C164" t="str">
        <f>TEXT(Table1[[#This Row],[Order_Date]],"mmmm")</f>
        <v>December</v>
      </c>
      <c r="D164">
        <f>YEAR(Table1[[#This Row],[Order_Date]])</f>
        <v>2023</v>
      </c>
      <c r="E164" s="7">
        <v>45276</v>
      </c>
      <c r="F164" s="2" t="str">
        <f>VLOOKUP(Table1[[#This Row],[Customer_ID]],Customer_Dim!$A$2:$H$501,2,FALSE)</f>
        <v>Tracy Stephens</v>
      </c>
      <c r="G164" s="2" t="str">
        <f>_xlfn.XLOOKUP(Table1[[#This Row],[Customer_ID]],Customer_Dim!$A$2:$A$501,Customer_Dim!$E$2:$E$501)</f>
        <v>New Joshuatown</v>
      </c>
      <c r="H164" t="s">
        <v>933</v>
      </c>
      <c r="I164" t="str">
        <f>VLOOKUP(Table1[[#This Row],[Product_ID]],Product_Dim!$A$2:$G$101,2,FALSE)</f>
        <v>Shin Guards – Adult-Sports</v>
      </c>
      <c r="J164" t="s">
        <v>1669</v>
      </c>
      <c r="K164" t="str">
        <f>VLOOKUP(Table1[[#This Row],[Store_ID]],Store_Dim!$A$3:$D$22,2,FALSE)</f>
        <v>Benson-Elliott-East</v>
      </c>
      <c r="L164" t="s">
        <v>1740</v>
      </c>
      <c r="M164" t="s">
        <v>3958</v>
      </c>
      <c r="N164" s="3">
        <v>369.32</v>
      </c>
      <c r="O164" s="4">
        <v>0.14000000000000001</v>
      </c>
      <c r="P164" t="s">
        <v>1774</v>
      </c>
      <c r="Q164" s="4">
        <v>952.84559999999999</v>
      </c>
    </row>
    <row r="165" spans="1:17" x14ac:dyDescent="0.3">
      <c r="A165" t="s">
        <v>1937</v>
      </c>
      <c r="B165" t="str">
        <f t="shared" si="2"/>
        <v>Q3</v>
      </c>
      <c r="C165" t="str">
        <f>TEXT(Table1[[#This Row],[Order_Date]],"mmmm")</f>
        <v>July</v>
      </c>
      <c r="D165">
        <f>YEAR(Table1[[#This Row],[Order_Date]])</f>
        <v>2025</v>
      </c>
      <c r="E165" s="7">
        <v>45851</v>
      </c>
      <c r="F165" s="2" t="str">
        <f>VLOOKUP(Table1[[#This Row],[Customer_ID]],Customer_Dim!$A$2:$H$501,2,FALSE)</f>
        <v>Nathan Campbell</v>
      </c>
      <c r="G165" s="2" t="str">
        <f>_xlfn.XLOOKUP(Table1[[#This Row],[Customer_ID]],Customer_Dim!$A$2:$A$501,Customer_Dim!$E$2:$E$501)</f>
        <v>Rodrigueztown</v>
      </c>
      <c r="H165" t="s">
        <v>275</v>
      </c>
      <c r="I165" t="str">
        <f>VLOOKUP(Table1[[#This Row],[Product_ID]],Product_Dim!$A$2:$G$101,2,FALSE)</f>
        <v>Vitamin C Face Serum-Beauty</v>
      </c>
      <c r="J165" t="s">
        <v>1587</v>
      </c>
      <c r="K165" t="str">
        <f>VLOOKUP(Table1[[#This Row],[Store_ID]],Store_Dim!$A$3:$D$22,2,FALSE)</f>
        <v>Martinez, Adkins and Johnson-North</v>
      </c>
      <c r="L165" t="s">
        <v>1728</v>
      </c>
      <c r="M165" t="s">
        <v>3957</v>
      </c>
      <c r="N165" s="3">
        <v>488.31</v>
      </c>
      <c r="O165" s="4">
        <v>0.03</v>
      </c>
      <c r="P165" t="s">
        <v>1774</v>
      </c>
      <c r="Q165" s="4">
        <v>473.66070000000002</v>
      </c>
    </row>
    <row r="166" spans="1:17" x14ac:dyDescent="0.3">
      <c r="A166" t="s">
        <v>1938</v>
      </c>
      <c r="B166" t="str">
        <f t="shared" si="2"/>
        <v>Q2</v>
      </c>
      <c r="C166" t="str">
        <f>TEXT(Table1[[#This Row],[Order_Date]],"mmmm")</f>
        <v>May</v>
      </c>
      <c r="D166">
        <f>YEAR(Table1[[#This Row],[Order_Date]])</f>
        <v>2024</v>
      </c>
      <c r="E166" s="7">
        <v>45418</v>
      </c>
      <c r="F166" s="2" t="str">
        <f>VLOOKUP(Table1[[#This Row],[Customer_ID]],Customer_Dim!$A$2:$H$501,2,FALSE)</f>
        <v>Arthur Warren</v>
      </c>
      <c r="G166" s="2" t="str">
        <f>_xlfn.XLOOKUP(Table1[[#This Row],[Customer_ID]],Customer_Dim!$A$2:$A$501,Customer_Dim!$E$2:$E$501)</f>
        <v>Ericshire</v>
      </c>
      <c r="H166" t="s">
        <v>870</v>
      </c>
      <c r="I166" t="str">
        <f>VLOOKUP(Table1[[#This Row],[Product_ID]],Product_Dim!$A$2:$G$101,2,FALSE)</f>
        <v>Sports Stopwatch Pro-Sports</v>
      </c>
      <c r="J166" t="s">
        <v>1631</v>
      </c>
      <c r="K166" t="str">
        <f>VLOOKUP(Table1[[#This Row],[Store_ID]],Store_Dim!$A$3:$D$22,2,FALSE)</f>
        <v>Thomas, Bridges and Harris-North</v>
      </c>
      <c r="L166" t="s">
        <v>1751</v>
      </c>
      <c r="M166" t="s">
        <v>3959</v>
      </c>
      <c r="N166" s="3">
        <v>164.04</v>
      </c>
      <c r="O166" s="4">
        <v>0.26</v>
      </c>
      <c r="P166" t="s">
        <v>1772</v>
      </c>
      <c r="Q166" s="4">
        <v>485.55839999999989</v>
      </c>
    </row>
    <row r="167" spans="1:17" x14ac:dyDescent="0.3">
      <c r="A167" t="s">
        <v>1939</v>
      </c>
      <c r="B167" t="str">
        <f t="shared" si="2"/>
        <v>Q3</v>
      </c>
      <c r="C167" t="str">
        <f>TEXT(Table1[[#This Row],[Order_Date]],"mmmm")</f>
        <v>August</v>
      </c>
      <c r="D167">
        <f>YEAR(Table1[[#This Row],[Order_Date]])</f>
        <v>2024</v>
      </c>
      <c r="E167" s="7">
        <v>45508</v>
      </c>
      <c r="F167" s="2" t="str">
        <f>VLOOKUP(Table1[[#This Row],[Customer_ID]],Customer_Dim!$A$2:$H$501,2,FALSE)</f>
        <v>Christopher Brown</v>
      </c>
      <c r="G167" s="2" t="str">
        <f>_xlfn.XLOOKUP(Table1[[#This Row],[Customer_ID]],Customer_Dim!$A$2:$A$501,Customer_Dim!$E$2:$E$501)</f>
        <v>Sandrastad</v>
      </c>
      <c r="H167" t="s">
        <v>265</v>
      </c>
      <c r="I167" t="str">
        <f>VLOOKUP(Table1[[#This Row],[Product_ID]],Product_Dim!$A$2:$G$101,2,FALSE)</f>
        <v>Ceramic Kitchen Bowl Set-Home</v>
      </c>
      <c r="J167" t="s">
        <v>1543</v>
      </c>
      <c r="K167" t="str">
        <f>VLOOKUP(Table1[[#This Row],[Store_ID]],Store_Dim!$A$3:$D$22,2,FALSE)</f>
        <v>Holloway Ltd-North</v>
      </c>
      <c r="L167" t="s">
        <v>1759</v>
      </c>
      <c r="M167" t="s">
        <v>3958</v>
      </c>
      <c r="N167" s="3">
        <v>707.95</v>
      </c>
      <c r="O167" s="4">
        <v>0.18</v>
      </c>
      <c r="P167" t="s">
        <v>1774</v>
      </c>
      <c r="Q167" s="4">
        <v>1741.557</v>
      </c>
    </row>
    <row r="168" spans="1:17" x14ac:dyDescent="0.3">
      <c r="A168" t="s">
        <v>1940</v>
      </c>
      <c r="B168" t="str">
        <f t="shared" si="2"/>
        <v>Q4</v>
      </c>
      <c r="C168" t="str">
        <f>TEXT(Table1[[#This Row],[Order_Date]],"mmmm")</f>
        <v>December</v>
      </c>
      <c r="D168">
        <f>YEAR(Table1[[#This Row],[Order_Date]])</f>
        <v>2023</v>
      </c>
      <c r="E168" s="7">
        <v>45269</v>
      </c>
      <c r="F168" s="2" t="str">
        <f>VLOOKUP(Table1[[#This Row],[Customer_ID]],Customer_Dim!$A$2:$H$501,2,FALSE)</f>
        <v>Crystal Waters</v>
      </c>
      <c r="G168" s="2" t="str">
        <f>_xlfn.XLOOKUP(Table1[[#This Row],[Customer_ID]],Customer_Dim!$A$2:$A$501,Customer_Dim!$E$2:$E$501)</f>
        <v>North Michelleport</v>
      </c>
      <c r="H168" t="s">
        <v>925</v>
      </c>
      <c r="I168" t="str">
        <f>VLOOKUP(Table1[[#This Row],[Product_ID]],Product_Dim!$A$2:$G$101,2,FALSE)</f>
        <v>Men's Sports Shorts-Clothing</v>
      </c>
      <c r="J168" t="s">
        <v>1661</v>
      </c>
      <c r="K168" t="str">
        <f>VLOOKUP(Table1[[#This Row],[Store_ID]],Store_Dim!$A$3:$D$22,2,FALSE)</f>
        <v>Bean, Jones and Park-West</v>
      </c>
      <c r="L168" t="s">
        <v>1744</v>
      </c>
      <c r="M168" t="s">
        <v>3959</v>
      </c>
      <c r="N168" s="3">
        <v>714.47</v>
      </c>
      <c r="O168" s="4">
        <v>0.18</v>
      </c>
      <c r="P168" t="s">
        <v>1777</v>
      </c>
      <c r="Q168" s="4">
        <v>2343.4616000000001</v>
      </c>
    </row>
    <row r="169" spans="1:17" x14ac:dyDescent="0.3">
      <c r="A169" t="s">
        <v>1941</v>
      </c>
      <c r="B169" t="str">
        <f t="shared" si="2"/>
        <v>Q3</v>
      </c>
      <c r="C169" t="str">
        <f>TEXT(Table1[[#This Row],[Order_Date]],"mmmm")</f>
        <v>July</v>
      </c>
      <c r="D169">
        <f>YEAR(Table1[[#This Row],[Order_Date]])</f>
        <v>2025</v>
      </c>
      <c r="E169" s="7">
        <v>45866</v>
      </c>
      <c r="F169" s="2" t="str">
        <f>VLOOKUP(Table1[[#This Row],[Customer_ID]],Customer_Dim!$A$2:$H$501,2,FALSE)</f>
        <v>Tyler Cook</v>
      </c>
      <c r="G169" s="2" t="str">
        <f>_xlfn.XLOOKUP(Table1[[#This Row],[Customer_ID]],Customer_Dim!$A$2:$A$501,Customer_Dim!$E$2:$E$501)</f>
        <v>Kramerview</v>
      </c>
      <c r="H169" t="s">
        <v>1275</v>
      </c>
      <c r="I169" t="str">
        <f>VLOOKUP(Table1[[#This Row],[Product_ID]],Product_Dim!$A$2:$G$101,2,FALSE)</f>
        <v>Decorative Lamp Shade-Home</v>
      </c>
      <c r="J169" t="s">
        <v>1681</v>
      </c>
      <c r="K169" t="str">
        <f>VLOOKUP(Table1[[#This Row],[Store_ID]],Store_Dim!$A$3:$D$22,2,FALSE)</f>
        <v>Martinez-Mullins-South</v>
      </c>
      <c r="L169" t="s">
        <v>1742</v>
      </c>
      <c r="M169" t="s">
        <v>3959</v>
      </c>
      <c r="N169" s="3">
        <v>422.09</v>
      </c>
      <c r="O169" s="4">
        <v>0.04</v>
      </c>
      <c r="P169" t="s">
        <v>1772</v>
      </c>
      <c r="Q169" s="4">
        <v>1620.8255999999999</v>
      </c>
    </row>
    <row r="170" spans="1:17" x14ac:dyDescent="0.3">
      <c r="A170" t="s">
        <v>1942</v>
      </c>
      <c r="B170" t="str">
        <f t="shared" si="2"/>
        <v>Q2</v>
      </c>
      <c r="C170" t="str">
        <f>TEXT(Table1[[#This Row],[Order_Date]],"mmmm")</f>
        <v>June</v>
      </c>
      <c r="D170">
        <f>YEAR(Table1[[#This Row],[Order_Date]])</f>
        <v>2024</v>
      </c>
      <c r="E170" s="7">
        <v>45462</v>
      </c>
      <c r="F170" s="2" t="str">
        <f>VLOOKUP(Table1[[#This Row],[Customer_ID]],Customer_Dim!$A$2:$H$501,2,FALSE)</f>
        <v>Travis Holland</v>
      </c>
      <c r="G170" s="2" t="str">
        <f>_xlfn.XLOOKUP(Table1[[#This Row],[Customer_ID]],Customer_Dim!$A$2:$A$501,Customer_Dim!$E$2:$E$501)</f>
        <v>Webstermouth</v>
      </c>
      <c r="H170" t="s">
        <v>376</v>
      </c>
      <c r="I170" t="str">
        <f>VLOOKUP(Table1[[#This Row],[Product_ID]],Product_Dim!$A$2:$G$101,2,FALSE)</f>
        <v>Stainless Steel Cutlery Set-Home</v>
      </c>
      <c r="J170" t="s">
        <v>1583</v>
      </c>
      <c r="K170" t="str">
        <f>VLOOKUP(Table1[[#This Row],[Store_ID]],Store_Dim!$A$3:$D$22,2,FALSE)</f>
        <v>Moore, Padilla and Butler-South</v>
      </c>
      <c r="L170" t="s">
        <v>1746</v>
      </c>
      <c r="M170" t="s">
        <v>3957</v>
      </c>
      <c r="N170" s="3">
        <v>998.19</v>
      </c>
      <c r="O170" s="4">
        <v>0.2</v>
      </c>
      <c r="P170" t="s">
        <v>1772</v>
      </c>
      <c r="Q170" s="4">
        <v>798.55200000000013</v>
      </c>
    </row>
    <row r="171" spans="1:17" x14ac:dyDescent="0.3">
      <c r="A171" t="s">
        <v>1943</v>
      </c>
      <c r="B171" t="str">
        <f t="shared" si="2"/>
        <v>Q1</v>
      </c>
      <c r="C171" t="str">
        <f>TEXT(Table1[[#This Row],[Order_Date]],"mmmm")</f>
        <v>January</v>
      </c>
      <c r="D171">
        <f>YEAR(Table1[[#This Row],[Order_Date]])</f>
        <v>2024</v>
      </c>
      <c r="E171" s="7">
        <v>45313</v>
      </c>
      <c r="F171" s="2" t="str">
        <f>VLOOKUP(Table1[[#This Row],[Customer_ID]],Customer_Dim!$A$2:$H$501,2,FALSE)</f>
        <v>James Orozco</v>
      </c>
      <c r="G171" s="2" t="str">
        <f>_xlfn.XLOOKUP(Table1[[#This Row],[Customer_ID]],Customer_Dim!$A$2:$A$501,Customer_Dim!$E$2:$E$501)</f>
        <v>Simpsonfort</v>
      </c>
      <c r="H171" t="s">
        <v>1153</v>
      </c>
      <c r="I171" t="str">
        <f>VLOOKUP(Table1[[#This Row],[Product_ID]],Product_Dim!$A$2:$G$101,2,FALSE)</f>
        <v>Professional Jump Rope-Sports</v>
      </c>
      <c r="J171" t="s">
        <v>1667</v>
      </c>
      <c r="K171" t="str">
        <f>VLOOKUP(Table1[[#This Row],[Store_ID]],Store_Dim!$A$3:$D$22,2,FALSE)</f>
        <v>Martinez-Mullins-South</v>
      </c>
      <c r="L171" t="s">
        <v>1742</v>
      </c>
      <c r="M171" t="s">
        <v>3960</v>
      </c>
      <c r="N171" s="3">
        <v>343.42</v>
      </c>
      <c r="O171" s="4">
        <v>0.12</v>
      </c>
      <c r="P171" t="s">
        <v>1777</v>
      </c>
      <c r="Q171" s="4">
        <v>604.41920000000005</v>
      </c>
    </row>
    <row r="172" spans="1:17" x14ac:dyDescent="0.3">
      <c r="A172" t="s">
        <v>1944</v>
      </c>
      <c r="B172" t="str">
        <f t="shared" si="2"/>
        <v>Q2</v>
      </c>
      <c r="C172" t="str">
        <f>TEXT(Table1[[#This Row],[Order_Date]],"mmmm")</f>
        <v>April</v>
      </c>
      <c r="D172">
        <f>YEAR(Table1[[#This Row],[Order_Date]])</f>
        <v>2024</v>
      </c>
      <c r="E172" s="7">
        <v>45390</v>
      </c>
      <c r="F172" s="2" t="str">
        <f>VLOOKUP(Table1[[#This Row],[Customer_ID]],Customer_Dim!$A$2:$H$501,2,FALSE)</f>
        <v>Kristen Fischer</v>
      </c>
      <c r="G172" s="2" t="str">
        <f>_xlfn.XLOOKUP(Table1[[#This Row],[Customer_ID]],Customer_Dim!$A$2:$A$501,Customer_Dim!$E$2:$E$501)</f>
        <v>Lake Christopher</v>
      </c>
      <c r="H172" t="s">
        <v>811</v>
      </c>
      <c r="I172" t="str">
        <f>VLOOKUP(Table1[[#This Row],[Product_ID]],Product_Dim!$A$2:$G$101,2,FALSE)</f>
        <v>Gaming Mechanical Keyboard-Electronics</v>
      </c>
      <c r="J172" t="s">
        <v>1591</v>
      </c>
      <c r="K172" t="str">
        <f>VLOOKUP(Table1[[#This Row],[Store_ID]],Store_Dim!$A$3:$D$22,2,FALSE)</f>
        <v>Benson-Elliott-East</v>
      </c>
      <c r="L172" t="s">
        <v>1740</v>
      </c>
      <c r="M172" t="s">
        <v>3957</v>
      </c>
      <c r="N172" s="3">
        <v>152.16999999999999</v>
      </c>
      <c r="O172" s="4">
        <v>0.28000000000000003</v>
      </c>
      <c r="P172" t="s">
        <v>1777</v>
      </c>
      <c r="Q172" s="4">
        <v>109.5624</v>
      </c>
    </row>
    <row r="173" spans="1:17" x14ac:dyDescent="0.3">
      <c r="A173" t="s">
        <v>1945</v>
      </c>
      <c r="B173" t="str">
        <f t="shared" si="2"/>
        <v>Q2</v>
      </c>
      <c r="C173" t="str">
        <f>TEXT(Table1[[#This Row],[Order_Date]],"mmmm")</f>
        <v>May</v>
      </c>
      <c r="D173">
        <f>YEAR(Table1[[#This Row],[Order_Date]])</f>
        <v>2025</v>
      </c>
      <c r="E173" s="7">
        <v>45795</v>
      </c>
      <c r="F173" s="2" t="str">
        <f>VLOOKUP(Table1[[#This Row],[Customer_ID]],Customer_Dim!$A$2:$H$501,2,FALSE)</f>
        <v>Michelle Rogers</v>
      </c>
      <c r="G173" s="2" t="str">
        <f>_xlfn.XLOOKUP(Table1[[#This Row],[Customer_ID]],Customer_Dim!$A$2:$A$501,Customer_Dim!$E$2:$E$501)</f>
        <v>East Jessicaborough</v>
      </c>
      <c r="H173" t="s">
        <v>573</v>
      </c>
      <c r="I173" t="str">
        <f>VLOOKUP(Table1[[#This Row],[Product_ID]],Product_Dim!$A$2:$G$101,2,FALSE)</f>
        <v>Men's Roll-On Perfume-Beauty</v>
      </c>
      <c r="J173" t="s">
        <v>1621</v>
      </c>
      <c r="K173" t="str">
        <f>VLOOKUP(Table1[[#This Row],[Store_ID]],Store_Dim!$A$3:$D$22,2,FALSE)</f>
        <v>Aguirre-Keller-South</v>
      </c>
      <c r="L173" t="s">
        <v>1750</v>
      </c>
      <c r="M173" t="s">
        <v>3957</v>
      </c>
      <c r="N173" s="3">
        <v>325.08</v>
      </c>
      <c r="O173" s="4">
        <v>0.26</v>
      </c>
      <c r="P173" t="s">
        <v>1774</v>
      </c>
      <c r="Q173" s="4">
        <v>240.5592</v>
      </c>
    </row>
    <row r="174" spans="1:17" x14ac:dyDescent="0.3">
      <c r="A174" t="s">
        <v>1946</v>
      </c>
      <c r="B174" t="str">
        <f t="shared" si="2"/>
        <v>Q4</v>
      </c>
      <c r="C174" t="str">
        <f>TEXT(Table1[[#This Row],[Order_Date]],"mmmm")</f>
        <v>December</v>
      </c>
      <c r="D174">
        <f>YEAR(Table1[[#This Row],[Order_Date]])</f>
        <v>2023</v>
      </c>
      <c r="E174" s="7">
        <v>45267</v>
      </c>
      <c r="F174" s="2" t="str">
        <f>VLOOKUP(Table1[[#This Row],[Customer_ID]],Customer_Dim!$A$2:$H$501,2,FALSE)</f>
        <v>Evelyn Brown</v>
      </c>
      <c r="G174" s="2" t="str">
        <f>_xlfn.XLOOKUP(Table1[[#This Row],[Customer_ID]],Customer_Dim!$A$2:$A$501,Customer_Dim!$E$2:$E$501)</f>
        <v>West Victoriaborough</v>
      </c>
      <c r="H174" t="s">
        <v>1069</v>
      </c>
      <c r="I174" t="str">
        <f>VLOOKUP(Table1[[#This Row],[Product_ID]],Product_Dim!$A$2:$G$101,2,FALSE)</f>
        <v>Face Foundation Kit-Beauty</v>
      </c>
      <c r="J174" t="s">
        <v>1701</v>
      </c>
      <c r="K174" t="str">
        <f>VLOOKUP(Table1[[#This Row],[Store_ID]],Store_Dim!$A$3:$D$22,2,FALSE)</f>
        <v>Hill, Wagner and Ballard-East</v>
      </c>
      <c r="L174" t="s">
        <v>1748</v>
      </c>
      <c r="M174" t="s">
        <v>3960</v>
      </c>
      <c r="N174" s="3">
        <v>827.92</v>
      </c>
      <c r="O174" s="4">
        <v>0.25</v>
      </c>
      <c r="P174" t="s">
        <v>1777</v>
      </c>
      <c r="Q174" s="4">
        <v>1241.8800000000001</v>
      </c>
    </row>
    <row r="175" spans="1:17" x14ac:dyDescent="0.3">
      <c r="A175" t="s">
        <v>1947</v>
      </c>
      <c r="B175" t="str">
        <f t="shared" si="2"/>
        <v>Q1</v>
      </c>
      <c r="C175" t="str">
        <f>TEXT(Table1[[#This Row],[Order_Date]],"mmmm")</f>
        <v>January</v>
      </c>
      <c r="D175">
        <f>YEAR(Table1[[#This Row],[Order_Date]])</f>
        <v>2024</v>
      </c>
      <c r="E175" s="7">
        <v>45314</v>
      </c>
      <c r="F175" s="2" t="str">
        <f>VLOOKUP(Table1[[#This Row],[Customer_ID]],Customer_Dim!$A$2:$H$501,2,FALSE)</f>
        <v>Sara Ingram</v>
      </c>
      <c r="G175" s="2" t="str">
        <f>_xlfn.XLOOKUP(Table1[[#This Row],[Customer_ID]],Customer_Dim!$A$2:$A$501,Customer_Dim!$E$2:$E$501)</f>
        <v>East Dillonview</v>
      </c>
      <c r="H175" t="s">
        <v>1475</v>
      </c>
      <c r="I175" t="str">
        <f>VLOOKUP(Table1[[#This Row],[Product_ID]],Product_Dim!$A$2:$G$101,2,FALSE)</f>
        <v>Wireless Bluetooth Speaker-Electronics</v>
      </c>
      <c r="J175" t="s">
        <v>1575</v>
      </c>
      <c r="K175" t="str">
        <f>VLOOKUP(Table1[[#This Row],[Store_ID]],Store_Dim!$A$3:$D$22,2,FALSE)</f>
        <v>Black-Horn-South</v>
      </c>
      <c r="L175" t="s">
        <v>1730</v>
      </c>
      <c r="M175" t="s">
        <v>3960</v>
      </c>
      <c r="N175" s="3">
        <v>593.47</v>
      </c>
      <c r="O175" s="4">
        <v>0.1</v>
      </c>
      <c r="P175" t="s">
        <v>1777</v>
      </c>
      <c r="Q175" s="4">
        <v>1068.2460000000001</v>
      </c>
    </row>
    <row r="176" spans="1:17" x14ac:dyDescent="0.3">
      <c r="A176" t="s">
        <v>1948</v>
      </c>
      <c r="B176" t="str">
        <f t="shared" si="2"/>
        <v>Q4</v>
      </c>
      <c r="C176" t="str">
        <f>TEXT(Table1[[#This Row],[Order_Date]],"mmmm")</f>
        <v>December</v>
      </c>
      <c r="D176">
        <f>YEAR(Table1[[#This Row],[Order_Date]])</f>
        <v>2023</v>
      </c>
      <c r="E176" s="7">
        <v>45267</v>
      </c>
      <c r="F176" s="2" t="str">
        <f>VLOOKUP(Table1[[#This Row],[Customer_ID]],Customer_Dim!$A$2:$H$501,2,FALSE)</f>
        <v>Gloria Taylor</v>
      </c>
      <c r="G176" s="2" t="str">
        <f>_xlfn.XLOOKUP(Table1[[#This Row],[Customer_ID]],Customer_Dim!$A$2:$A$501,Customer_Dim!$E$2:$E$501)</f>
        <v>North Daniel</v>
      </c>
      <c r="H176" t="s">
        <v>920</v>
      </c>
      <c r="I176" t="str">
        <f>VLOOKUP(Table1[[#This Row],[Product_ID]],Product_Dim!$A$2:$G$101,2,FALSE)</f>
        <v>Outdoor Sports Water Bottle-Sports</v>
      </c>
      <c r="J176" t="s">
        <v>1563</v>
      </c>
      <c r="K176" t="str">
        <f>VLOOKUP(Table1[[#This Row],[Store_ID]],Store_Dim!$A$3:$D$22,2,FALSE)</f>
        <v>Martinez-Mullins-South</v>
      </c>
      <c r="L176" t="s">
        <v>1742</v>
      </c>
      <c r="M176" t="s">
        <v>3959</v>
      </c>
      <c r="N176" s="3">
        <v>756.28</v>
      </c>
      <c r="O176" s="4">
        <v>0.05</v>
      </c>
      <c r="P176" t="s">
        <v>1777</v>
      </c>
      <c r="Q176" s="4">
        <v>2873.864</v>
      </c>
    </row>
    <row r="177" spans="1:17" x14ac:dyDescent="0.3">
      <c r="A177" t="s">
        <v>1949</v>
      </c>
      <c r="B177" t="str">
        <f t="shared" si="2"/>
        <v>Q4</v>
      </c>
      <c r="C177" t="str">
        <f>TEXT(Table1[[#This Row],[Order_Date]],"mmmm")</f>
        <v>December</v>
      </c>
      <c r="D177">
        <f>YEAR(Table1[[#This Row],[Order_Date]])</f>
        <v>2024</v>
      </c>
      <c r="E177" s="7">
        <v>45641</v>
      </c>
      <c r="F177" s="2" t="str">
        <f>VLOOKUP(Table1[[#This Row],[Customer_ID]],Customer_Dim!$A$2:$H$501,2,FALSE)</f>
        <v>Charles Conley</v>
      </c>
      <c r="G177" s="2" t="str">
        <f>_xlfn.XLOOKUP(Table1[[#This Row],[Customer_ID]],Customer_Dim!$A$2:$A$501,Customer_Dim!$E$2:$E$501)</f>
        <v>Nathanshire</v>
      </c>
      <c r="H177" t="s">
        <v>1165</v>
      </c>
      <c r="I177" t="str">
        <f>VLOOKUP(Table1[[#This Row],[Product_ID]],Product_Dim!$A$2:$G$101,2,FALSE)</f>
        <v>Microwave Oven-Home</v>
      </c>
      <c r="J177" t="s">
        <v>1707</v>
      </c>
      <c r="K177" t="str">
        <f>VLOOKUP(Table1[[#This Row],[Store_ID]],Store_Dim!$A$3:$D$22,2,FALSE)</f>
        <v>Martinez, Adkins and Johnson-North</v>
      </c>
      <c r="L177" t="s">
        <v>1728</v>
      </c>
      <c r="M177" t="s">
        <v>3960</v>
      </c>
      <c r="N177" s="3">
        <v>707.65</v>
      </c>
      <c r="O177" s="4">
        <v>0.14000000000000001</v>
      </c>
      <c r="P177" t="s">
        <v>1772</v>
      </c>
      <c r="Q177" s="4">
        <v>1217.1579999999999</v>
      </c>
    </row>
    <row r="178" spans="1:17" x14ac:dyDescent="0.3">
      <c r="A178" t="s">
        <v>1950</v>
      </c>
      <c r="B178" t="str">
        <f t="shared" si="2"/>
        <v>Q1</v>
      </c>
      <c r="C178" t="str">
        <f>TEXT(Table1[[#This Row],[Order_Date]],"mmmm")</f>
        <v>March</v>
      </c>
      <c r="D178">
        <f>YEAR(Table1[[#This Row],[Order_Date]])</f>
        <v>2024</v>
      </c>
      <c r="E178" s="7">
        <v>45371</v>
      </c>
      <c r="F178" s="2" t="str">
        <f>VLOOKUP(Table1[[#This Row],[Customer_ID]],Customer_Dim!$A$2:$H$501,2,FALSE)</f>
        <v>Susan Mcdonald</v>
      </c>
      <c r="G178" s="2" t="str">
        <f>_xlfn.XLOOKUP(Table1[[#This Row],[Customer_ID]],Customer_Dim!$A$2:$A$501,Customer_Dim!$E$2:$E$501)</f>
        <v>East Ellen</v>
      </c>
      <c r="H178" t="s">
        <v>436</v>
      </c>
      <c r="I178" t="str">
        <f>VLOOKUP(Table1[[#This Row],[Product_ID]],Product_Dim!$A$2:$G$101,2,FALSE)</f>
        <v>Women's Scarf Set-Clothing</v>
      </c>
      <c r="J178" t="s">
        <v>1573</v>
      </c>
      <c r="K178" t="str">
        <f>VLOOKUP(Table1[[#This Row],[Store_ID]],Store_Dim!$A$3:$D$22,2,FALSE)</f>
        <v>Shelton PLC-North</v>
      </c>
      <c r="L178" t="s">
        <v>1755</v>
      </c>
      <c r="M178" t="s">
        <v>3957</v>
      </c>
      <c r="N178" s="3">
        <v>857.35</v>
      </c>
      <c r="O178" s="4">
        <v>0.28000000000000003</v>
      </c>
      <c r="P178" t="s">
        <v>1774</v>
      </c>
      <c r="Q178" s="4">
        <v>617.29200000000003</v>
      </c>
    </row>
    <row r="179" spans="1:17" x14ac:dyDescent="0.3">
      <c r="A179" t="s">
        <v>1951</v>
      </c>
      <c r="B179" t="str">
        <f t="shared" si="2"/>
        <v>Q1</v>
      </c>
      <c r="C179" t="str">
        <f>TEXT(Table1[[#This Row],[Order_Date]],"mmmm")</f>
        <v>January</v>
      </c>
      <c r="D179">
        <f>YEAR(Table1[[#This Row],[Order_Date]])</f>
        <v>2025</v>
      </c>
      <c r="E179" s="7">
        <v>45670</v>
      </c>
      <c r="F179" s="2" t="str">
        <f>VLOOKUP(Table1[[#This Row],[Customer_ID]],Customer_Dim!$A$2:$H$501,2,FALSE)</f>
        <v>Philip Pennington</v>
      </c>
      <c r="G179" s="2" t="str">
        <f>_xlfn.XLOOKUP(Table1[[#This Row],[Customer_ID]],Customer_Dim!$A$2:$A$501,Customer_Dim!$E$2:$E$501)</f>
        <v>East Valerieview</v>
      </c>
      <c r="H179" t="s">
        <v>1516</v>
      </c>
      <c r="I179" t="str">
        <f>VLOOKUP(Table1[[#This Row],[Product_ID]],Product_Dim!$A$2:$G$101,2,FALSE)</f>
        <v>Ceramic Plant Pot-Home</v>
      </c>
      <c r="J179" t="s">
        <v>1633</v>
      </c>
      <c r="K179" t="str">
        <f>VLOOKUP(Table1[[#This Row],[Store_ID]],Store_Dim!$A$3:$D$22,2,FALSE)</f>
        <v>Bean, Jones and Park-West</v>
      </c>
      <c r="L179" t="s">
        <v>1744</v>
      </c>
      <c r="M179" t="s">
        <v>3957</v>
      </c>
      <c r="N179" s="3">
        <v>79</v>
      </c>
      <c r="O179" s="4">
        <v>0.04</v>
      </c>
      <c r="P179" t="s">
        <v>1774</v>
      </c>
      <c r="Q179" s="4">
        <v>75.84</v>
      </c>
    </row>
    <row r="180" spans="1:17" x14ac:dyDescent="0.3">
      <c r="A180" t="s">
        <v>1952</v>
      </c>
      <c r="B180" t="str">
        <f t="shared" si="2"/>
        <v>Q3</v>
      </c>
      <c r="C180" t="str">
        <f>TEXT(Table1[[#This Row],[Order_Date]],"mmmm")</f>
        <v>August</v>
      </c>
      <c r="D180">
        <f>YEAR(Table1[[#This Row],[Order_Date]])</f>
        <v>2025</v>
      </c>
      <c r="E180" s="7">
        <v>45885</v>
      </c>
      <c r="F180" s="2" t="str">
        <f>VLOOKUP(Table1[[#This Row],[Customer_ID]],Customer_Dim!$A$2:$H$501,2,FALSE)</f>
        <v>Cody Diaz</v>
      </c>
      <c r="G180" s="2" t="str">
        <f>_xlfn.XLOOKUP(Table1[[#This Row],[Customer_ID]],Customer_Dim!$A$2:$A$501,Customer_Dim!$E$2:$E$501)</f>
        <v>South Aaronside</v>
      </c>
      <c r="H180" t="s">
        <v>241</v>
      </c>
      <c r="I180" t="str">
        <f>VLOOKUP(Table1[[#This Row],[Product_ID]],Product_Dim!$A$2:$G$101,2,FALSE)</f>
        <v>Vitamin E Body Lotion-Beauty</v>
      </c>
      <c r="J180" t="s">
        <v>1711</v>
      </c>
      <c r="K180" t="str">
        <f>VLOOKUP(Table1[[#This Row],[Store_ID]],Store_Dim!$A$3:$D$22,2,FALSE)</f>
        <v>Gray Ltd-North</v>
      </c>
      <c r="L180" t="s">
        <v>1738</v>
      </c>
      <c r="M180" t="s">
        <v>3959</v>
      </c>
      <c r="N180" s="3">
        <v>638.91</v>
      </c>
      <c r="O180" s="4">
        <v>0.14941111111111116</v>
      </c>
      <c r="P180" t="s">
        <v>1777</v>
      </c>
      <c r="Q180" s="4">
        <v>2555.64</v>
      </c>
    </row>
    <row r="181" spans="1:17" x14ac:dyDescent="0.3">
      <c r="A181" t="s">
        <v>1953</v>
      </c>
      <c r="B181" t="str">
        <f t="shared" si="2"/>
        <v>Q2</v>
      </c>
      <c r="C181" t="str">
        <f>TEXT(Table1[[#This Row],[Order_Date]],"mmmm")</f>
        <v>June</v>
      </c>
      <c r="D181">
        <f>YEAR(Table1[[#This Row],[Order_Date]])</f>
        <v>2025</v>
      </c>
      <c r="E181" s="7">
        <v>45812</v>
      </c>
      <c r="F181" s="2" t="str">
        <f>VLOOKUP(Table1[[#This Row],[Customer_ID]],Customer_Dim!$A$2:$H$501,2,FALSE)</f>
        <v>Krystal Ford</v>
      </c>
      <c r="G181" s="2" t="str">
        <f>_xlfn.XLOOKUP(Table1[[#This Row],[Customer_ID]],Customer_Dim!$A$2:$A$501,Customer_Dim!$E$2:$E$501)</f>
        <v>South David</v>
      </c>
      <c r="H181" t="s">
        <v>292</v>
      </c>
      <c r="I181" t="str">
        <f>VLOOKUP(Table1[[#This Row],[Product_ID]],Product_Dim!$A$2:$G$101,2,FALSE)</f>
        <v>High-Grip Football-Sports</v>
      </c>
      <c r="J181" t="s">
        <v>1613</v>
      </c>
      <c r="K181" t="str">
        <f>VLOOKUP(Table1[[#This Row],[Store_ID]],Store_Dim!$A$3:$D$22,2,FALSE)</f>
        <v>Rivera-Warner-East</v>
      </c>
      <c r="L181" t="s">
        <v>1725</v>
      </c>
      <c r="M181" t="s">
        <v>3960</v>
      </c>
      <c r="N181" s="3">
        <v>522.16999999999996</v>
      </c>
      <c r="O181" s="4">
        <v>0.27</v>
      </c>
      <c r="P181" t="s">
        <v>1772</v>
      </c>
      <c r="Q181" s="4">
        <v>762.36819999999989</v>
      </c>
    </row>
    <row r="182" spans="1:17" x14ac:dyDescent="0.3">
      <c r="A182" t="s">
        <v>1954</v>
      </c>
      <c r="B182" t="str">
        <f t="shared" si="2"/>
        <v>Q4</v>
      </c>
      <c r="C182" t="str">
        <f>TEXT(Table1[[#This Row],[Order_Date]],"mmmm")</f>
        <v>November</v>
      </c>
      <c r="D182">
        <f>YEAR(Table1[[#This Row],[Order_Date]])</f>
        <v>2023</v>
      </c>
      <c r="E182" s="7">
        <v>45235</v>
      </c>
      <c r="F182" s="2" t="str">
        <f>VLOOKUP(Table1[[#This Row],[Customer_ID]],Customer_Dim!$A$2:$H$501,2,FALSE)</f>
        <v>Earl Smith Dds</v>
      </c>
      <c r="G182" s="2" t="str">
        <f>_xlfn.XLOOKUP(Table1[[#This Row],[Customer_ID]],Customer_Dim!$A$2:$A$501,Customer_Dim!$E$2:$E$501)</f>
        <v>West Sarah</v>
      </c>
      <c r="H182" t="s">
        <v>1456</v>
      </c>
      <c r="I182" t="str">
        <f>VLOOKUP(Table1[[#This Row],[Product_ID]],Product_Dim!$A$2:$G$101,2,FALSE)</f>
        <v>Portable Power Bank-Electronics</v>
      </c>
      <c r="J182" t="s">
        <v>1601</v>
      </c>
      <c r="K182" t="str">
        <f>VLOOKUP(Table1[[#This Row],[Store_ID]],Store_Dim!$A$3:$D$22,2,FALSE)</f>
        <v>Thomas, Bridges and Harris-North</v>
      </c>
      <c r="L182" t="s">
        <v>1751</v>
      </c>
      <c r="M182" t="s">
        <v>3958</v>
      </c>
      <c r="N182" s="3">
        <v>954.29</v>
      </c>
      <c r="O182" s="4">
        <v>0.27</v>
      </c>
      <c r="P182" t="s">
        <v>1772</v>
      </c>
      <c r="Q182" s="4">
        <v>2089.8951000000002</v>
      </c>
    </row>
    <row r="183" spans="1:17" x14ac:dyDescent="0.3">
      <c r="A183" t="s">
        <v>1955</v>
      </c>
      <c r="B183" t="str">
        <f t="shared" si="2"/>
        <v>Q1</v>
      </c>
      <c r="C183" t="str">
        <f>TEXT(Table1[[#This Row],[Order_Date]],"mmmm")</f>
        <v>February</v>
      </c>
      <c r="D183">
        <f>YEAR(Table1[[#This Row],[Order_Date]])</f>
        <v>2025</v>
      </c>
      <c r="E183" s="7">
        <v>45710</v>
      </c>
      <c r="F183" s="2" t="str">
        <f>VLOOKUP(Table1[[#This Row],[Customer_ID]],Customer_Dim!$A$2:$H$501,2,FALSE)</f>
        <v>Beth Martin</v>
      </c>
      <c r="G183" s="2" t="str">
        <f>_xlfn.XLOOKUP(Table1[[#This Row],[Customer_ID]],Customer_Dim!$A$2:$A$501,Customer_Dim!$E$2:$E$501)</f>
        <v>Burkefurt</v>
      </c>
      <c r="H183" t="s">
        <v>1409</v>
      </c>
      <c r="I183" t="str">
        <f>VLOOKUP(Table1[[#This Row],[Product_ID]],Product_Dim!$A$2:$G$101,2,FALSE)</f>
        <v>Modern Wall Clock-Home</v>
      </c>
      <c r="J183" t="s">
        <v>1589</v>
      </c>
      <c r="K183" t="str">
        <f>VLOOKUP(Table1[[#This Row],[Store_ID]],Store_Dim!$A$3:$D$22,2,FALSE)</f>
        <v>Gardner, Humphrey and Contreras-East</v>
      </c>
      <c r="L183" t="s">
        <v>1753</v>
      </c>
      <c r="M183" t="s">
        <v>3958</v>
      </c>
      <c r="N183" s="3">
        <v>53.92</v>
      </c>
      <c r="O183" s="4">
        <v>0.15</v>
      </c>
      <c r="P183" t="s">
        <v>1774</v>
      </c>
      <c r="Q183" s="4">
        <v>137.49600000000001</v>
      </c>
    </row>
    <row r="184" spans="1:17" x14ac:dyDescent="0.3">
      <c r="A184" t="s">
        <v>1956</v>
      </c>
      <c r="B184" t="str">
        <f t="shared" si="2"/>
        <v>Q2</v>
      </c>
      <c r="C184" t="str">
        <f>TEXT(Table1[[#This Row],[Order_Date]],"mmmm")</f>
        <v>April</v>
      </c>
      <c r="D184">
        <f>YEAR(Table1[[#This Row],[Order_Date]])</f>
        <v>2025</v>
      </c>
      <c r="E184" s="7">
        <v>45753</v>
      </c>
      <c r="F184" s="2" t="str">
        <f>VLOOKUP(Table1[[#This Row],[Customer_ID]],Customer_Dim!$A$2:$H$501,2,FALSE)</f>
        <v>Alexander Byrd</v>
      </c>
      <c r="G184" s="2" t="str">
        <f>_xlfn.XLOOKUP(Table1[[#This Row],[Customer_ID]],Customer_Dim!$A$2:$A$501,Customer_Dim!$E$2:$E$501)</f>
        <v>Parkerview</v>
      </c>
      <c r="H184" t="s">
        <v>1222</v>
      </c>
      <c r="I184" t="str">
        <f>VLOOKUP(Table1[[#This Row],[Product_ID]],Product_Dim!$A$2:$G$101,2,FALSE)</f>
        <v>Gaming Mechanical Keyboard-Electronics</v>
      </c>
      <c r="J184" t="s">
        <v>1591</v>
      </c>
      <c r="K184" t="str">
        <f>VLOOKUP(Table1[[#This Row],[Store_ID]],Store_Dim!$A$3:$D$22,2,FALSE)</f>
        <v>Rivera-Warner-East</v>
      </c>
      <c r="L184" t="s">
        <v>1725</v>
      </c>
      <c r="M184" t="s">
        <v>3959</v>
      </c>
      <c r="N184" s="3">
        <v>741.88</v>
      </c>
      <c r="O184" s="4">
        <v>0.02</v>
      </c>
      <c r="P184" t="s">
        <v>1777</v>
      </c>
      <c r="Q184" s="4">
        <v>2908.1696000000002</v>
      </c>
    </row>
    <row r="185" spans="1:17" x14ac:dyDescent="0.3">
      <c r="A185" t="s">
        <v>1957</v>
      </c>
      <c r="B185" t="str">
        <f t="shared" si="2"/>
        <v>Q4</v>
      </c>
      <c r="C185" t="str">
        <f>TEXT(Table1[[#This Row],[Order_Date]],"mmmm")</f>
        <v>October</v>
      </c>
      <c r="D185">
        <f>YEAR(Table1[[#This Row],[Order_Date]])</f>
        <v>2024</v>
      </c>
      <c r="E185" s="7">
        <v>45594</v>
      </c>
      <c r="F185" s="2" t="str">
        <f>VLOOKUP(Table1[[#This Row],[Customer_ID]],Customer_Dim!$A$2:$H$501,2,FALSE)</f>
        <v>Robert Jones Dds</v>
      </c>
      <c r="G185" s="2" t="str">
        <f>_xlfn.XLOOKUP(Table1[[#This Row],[Customer_ID]],Customer_Dim!$A$2:$A$501,Customer_Dim!$E$2:$E$501)</f>
        <v>Tristanton</v>
      </c>
      <c r="H185" t="s">
        <v>134</v>
      </c>
      <c r="I185" t="str">
        <f>VLOOKUP(Table1[[#This Row],[Product_ID]],Product_Dim!$A$2:$G$101,2,FALSE)</f>
        <v>Men's Winter Jacket-Clothing</v>
      </c>
      <c r="J185" t="s">
        <v>1615</v>
      </c>
      <c r="K185" t="str">
        <f>VLOOKUP(Table1[[#This Row],[Store_ID]],Store_Dim!$A$3:$D$22,2,FALSE)</f>
        <v>Johnson-Wright-North</v>
      </c>
      <c r="L185" t="s">
        <v>1733</v>
      </c>
      <c r="M185" t="s">
        <v>3957</v>
      </c>
      <c r="N185" s="3">
        <v>547.09</v>
      </c>
      <c r="O185" s="4">
        <v>0.01</v>
      </c>
      <c r="P185" t="s">
        <v>1774</v>
      </c>
      <c r="Q185" s="4">
        <v>541.6191</v>
      </c>
    </row>
    <row r="186" spans="1:17" x14ac:dyDescent="0.3">
      <c r="A186" t="s">
        <v>1958</v>
      </c>
      <c r="B186" t="str">
        <f t="shared" si="2"/>
        <v>Q1</v>
      </c>
      <c r="C186" t="str">
        <f>TEXT(Table1[[#This Row],[Order_Date]],"mmmm")</f>
        <v>January</v>
      </c>
      <c r="D186">
        <f>YEAR(Table1[[#This Row],[Order_Date]])</f>
        <v>2025</v>
      </c>
      <c r="E186" s="7">
        <v>45686</v>
      </c>
      <c r="F186" s="2" t="str">
        <f>VLOOKUP(Table1[[#This Row],[Customer_ID]],Customer_Dim!$A$2:$H$501,2,FALSE)</f>
        <v>Melinda Thomas</v>
      </c>
      <c r="G186" s="2" t="str">
        <f>_xlfn.XLOOKUP(Table1[[#This Row],[Customer_ID]],Customer_Dim!$A$2:$A$501,Customer_Dim!$E$2:$E$501)</f>
        <v>Lake Elizabethside</v>
      </c>
      <c r="H186" t="s">
        <v>1487</v>
      </c>
      <c r="I186" t="str">
        <f>VLOOKUP(Table1[[#This Row],[Product_ID]],Product_Dim!$A$2:$G$101,2,FALSE)</f>
        <v>Face Foundation Kit-Beauty</v>
      </c>
      <c r="J186" t="s">
        <v>1701</v>
      </c>
      <c r="K186" t="str">
        <f>VLOOKUP(Table1[[#This Row],[Store_ID]],Store_Dim!$A$3:$D$22,2,FALSE)</f>
        <v>Johnson-Wright-North</v>
      </c>
      <c r="L186" t="s">
        <v>1733</v>
      </c>
      <c r="M186" t="s">
        <v>3957</v>
      </c>
      <c r="N186" s="3">
        <v>789.35</v>
      </c>
      <c r="O186" s="4">
        <v>0.14000000000000001</v>
      </c>
      <c r="P186" t="s">
        <v>1774</v>
      </c>
      <c r="Q186" s="4">
        <v>678.84100000000001</v>
      </c>
    </row>
    <row r="187" spans="1:17" x14ac:dyDescent="0.3">
      <c r="A187" t="s">
        <v>1959</v>
      </c>
      <c r="B187" t="str">
        <f t="shared" si="2"/>
        <v>Q1</v>
      </c>
      <c r="C187" t="str">
        <f>TEXT(Table1[[#This Row],[Order_Date]],"mmmm")</f>
        <v>March</v>
      </c>
      <c r="D187">
        <f>YEAR(Table1[[#This Row],[Order_Date]])</f>
        <v>2024</v>
      </c>
      <c r="E187" s="7">
        <v>45354</v>
      </c>
      <c r="F187" s="2" t="str">
        <f>VLOOKUP(Table1[[#This Row],[Customer_ID]],Customer_Dim!$A$2:$H$501,2,FALSE)</f>
        <v>Samuel Mullins</v>
      </c>
      <c r="G187" s="2" t="str">
        <f>_xlfn.XLOOKUP(Table1[[#This Row],[Customer_ID]],Customer_Dim!$A$2:$A$501,Customer_Dim!$E$2:$E$501)</f>
        <v>Hartmouth</v>
      </c>
      <c r="H187" t="s">
        <v>1312</v>
      </c>
      <c r="I187" t="str">
        <f>VLOOKUP(Table1[[#This Row],[Product_ID]],Product_Dim!$A$2:$G$101,2,FALSE)</f>
        <v>Organic Sunscreen Lotion-Beauty</v>
      </c>
      <c r="J187" t="s">
        <v>1649</v>
      </c>
      <c r="K187" t="str">
        <f>VLOOKUP(Table1[[#This Row],[Store_ID]],Store_Dim!$A$3:$D$22,2,FALSE)</f>
        <v>Johnson-Wright-North</v>
      </c>
      <c r="L187" t="s">
        <v>1733</v>
      </c>
      <c r="M187" t="s">
        <v>3958</v>
      </c>
      <c r="N187" s="3">
        <v>476.78</v>
      </c>
      <c r="O187" s="4">
        <v>0.09</v>
      </c>
      <c r="P187" t="s">
        <v>1777</v>
      </c>
      <c r="Q187" s="4">
        <v>1301.6094000000001</v>
      </c>
    </row>
    <row r="188" spans="1:17" x14ac:dyDescent="0.3">
      <c r="A188" t="s">
        <v>1960</v>
      </c>
      <c r="B188" t="str">
        <f t="shared" si="2"/>
        <v>Q4</v>
      </c>
      <c r="C188" t="str">
        <f>TEXT(Table1[[#This Row],[Order_Date]],"mmmm")</f>
        <v>November</v>
      </c>
      <c r="D188">
        <f>YEAR(Table1[[#This Row],[Order_Date]])</f>
        <v>2024</v>
      </c>
      <c r="E188" s="7">
        <v>45600</v>
      </c>
      <c r="F188" s="2" t="str">
        <f>VLOOKUP(Table1[[#This Row],[Customer_ID]],Customer_Dim!$A$2:$H$501,2,FALSE)</f>
        <v>April Phillips</v>
      </c>
      <c r="G188" s="2" t="str">
        <f>_xlfn.XLOOKUP(Table1[[#This Row],[Customer_ID]],Customer_Dim!$A$2:$A$501,Customer_Dim!$E$2:$E$501)</f>
        <v>Lake Carolyn</v>
      </c>
      <c r="H188" t="s">
        <v>1384</v>
      </c>
      <c r="I188" t="str">
        <f>VLOOKUP(Table1[[#This Row],[Product_ID]],Product_Dim!$A$2:$G$101,2,FALSE)</f>
        <v>Decorative Lamp Shade-Home</v>
      </c>
      <c r="J188" t="s">
        <v>1681</v>
      </c>
      <c r="K188" t="str">
        <f>VLOOKUP(Table1[[#This Row],[Store_ID]],Store_Dim!$A$3:$D$22,2,FALSE)</f>
        <v>Guerrero-Schmitt-East</v>
      </c>
      <c r="L188" t="s">
        <v>1761</v>
      </c>
      <c r="M188" t="s">
        <v>3960</v>
      </c>
      <c r="N188" s="3">
        <v>504.26</v>
      </c>
      <c r="O188" s="4">
        <v>0.04</v>
      </c>
      <c r="P188" t="s">
        <v>1774</v>
      </c>
      <c r="Q188" s="4">
        <v>968.17919999999992</v>
      </c>
    </row>
    <row r="189" spans="1:17" x14ac:dyDescent="0.3">
      <c r="A189" t="s">
        <v>1961</v>
      </c>
      <c r="B189" t="str">
        <f t="shared" si="2"/>
        <v>Q3</v>
      </c>
      <c r="C189" t="str">
        <f>TEXT(Table1[[#This Row],[Order_Date]],"mmmm")</f>
        <v>September</v>
      </c>
      <c r="D189">
        <f>YEAR(Table1[[#This Row],[Order_Date]])</f>
        <v>2024</v>
      </c>
      <c r="E189" s="7">
        <v>45538</v>
      </c>
      <c r="F189" s="2" t="str">
        <f>VLOOKUP(Table1[[#This Row],[Customer_ID]],Customer_Dim!$A$2:$H$501,2,FALSE)</f>
        <v>Adam Rowland</v>
      </c>
      <c r="G189" s="2" t="str">
        <f>_xlfn.XLOOKUP(Table1[[#This Row],[Customer_ID]],Customer_Dim!$A$2:$A$501,Customer_Dim!$E$2:$E$501)</f>
        <v>Welchview</v>
      </c>
      <c r="H189" t="s">
        <v>858</v>
      </c>
      <c r="I189" t="str">
        <f>VLOOKUP(Table1[[#This Row],[Product_ID]],Product_Dim!$A$2:$G$101,2,FALSE)</f>
        <v>Badminton Racket Set-Sports</v>
      </c>
      <c r="J189" t="s">
        <v>1685</v>
      </c>
      <c r="K189" t="str">
        <f>VLOOKUP(Table1[[#This Row],[Store_ID]],Store_Dim!$A$3:$D$22,2,FALSE)</f>
        <v>Benson-Elliott-East</v>
      </c>
      <c r="L189" t="s">
        <v>1740</v>
      </c>
      <c r="M189" t="s">
        <v>3960</v>
      </c>
      <c r="N189" s="3">
        <v>549.33000000000004</v>
      </c>
      <c r="O189" s="4">
        <v>0.01</v>
      </c>
      <c r="P189" t="s">
        <v>1777</v>
      </c>
      <c r="Q189" s="4">
        <v>1087.6733999999999</v>
      </c>
    </row>
    <row r="190" spans="1:17" x14ac:dyDescent="0.3">
      <c r="A190" t="s">
        <v>1962</v>
      </c>
      <c r="B190" t="str">
        <f t="shared" si="2"/>
        <v>Q2</v>
      </c>
      <c r="C190" t="str">
        <f>TEXT(Table1[[#This Row],[Order_Date]],"mmmm")</f>
        <v>April</v>
      </c>
      <c r="D190">
        <f>YEAR(Table1[[#This Row],[Order_Date]])</f>
        <v>2024</v>
      </c>
      <c r="E190" s="7">
        <v>45411</v>
      </c>
      <c r="F190" s="2" t="str">
        <f>VLOOKUP(Table1[[#This Row],[Customer_ID]],Customer_Dim!$A$2:$H$501,2,FALSE)</f>
        <v>Martha Brown</v>
      </c>
      <c r="G190" s="2" t="str">
        <f>_xlfn.XLOOKUP(Table1[[#This Row],[Customer_ID]],Customer_Dim!$A$2:$A$501,Customer_Dim!$E$2:$E$501)</f>
        <v>Novakstad</v>
      </c>
      <c r="H190" t="s">
        <v>1180</v>
      </c>
      <c r="I190" t="str">
        <f>VLOOKUP(Table1[[#This Row],[Product_ID]],Product_Dim!$A$2:$G$101,2,FALSE)</f>
        <v>Women's Yoga Pants-Clothing</v>
      </c>
      <c r="J190" t="s">
        <v>1531</v>
      </c>
      <c r="K190" t="str">
        <f>VLOOKUP(Table1[[#This Row],[Store_ID]],Store_Dim!$A$3:$D$22,2,FALSE)</f>
        <v>Johnson-Wright-North</v>
      </c>
      <c r="L190" t="s">
        <v>1733</v>
      </c>
      <c r="M190" t="s">
        <v>3958</v>
      </c>
      <c r="N190" s="3">
        <v>620.22</v>
      </c>
      <c r="O190" s="4">
        <v>0.04</v>
      </c>
      <c r="P190" t="s">
        <v>1772</v>
      </c>
      <c r="Q190" s="4">
        <v>1786.2336</v>
      </c>
    </row>
    <row r="191" spans="1:17" x14ac:dyDescent="0.3">
      <c r="A191" t="s">
        <v>1963</v>
      </c>
      <c r="B191" t="str">
        <f t="shared" si="2"/>
        <v>Q2</v>
      </c>
      <c r="C191" t="str">
        <f>TEXT(Table1[[#This Row],[Order_Date]],"mmmm")</f>
        <v>April</v>
      </c>
      <c r="D191">
        <f>YEAR(Table1[[#This Row],[Order_Date]])</f>
        <v>2024</v>
      </c>
      <c r="E191" s="7">
        <v>45411</v>
      </c>
      <c r="F191" s="2" t="str">
        <f>VLOOKUP(Table1[[#This Row],[Customer_ID]],Customer_Dim!$A$2:$H$501,2,FALSE)</f>
        <v>Donna Gregory</v>
      </c>
      <c r="G191" s="2" t="str">
        <f>_xlfn.XLOOKUP(Table1[[#This Row],[Customer_ID]],Customer_Dim!$A$2:$A$501,Customer_Dim!$E$2:$E$501)</f>
        <v>South Amandahaven</v>
      </c>
      <c r="H191" t="s">
        <v>324</v>
      </c>
      <c r="I191" t="str">
        <f>VLOOKUP(Table1[[#This Row],[Product_ID]],Product_Dim!$A$2:$G$101,2,FALSE)</f>
        <v>Men's Winter Jacket-Clothing</v>
      </c>
      <c r="J191" t="s">
        <v>1615</v>
      </c>
      <c r="K191" t="str">
        <f>VLOOKUP(Table1[[#This Row],[Store_ID]],Store_Dim!$A$3:$D$22,2,FALSE)</f>
        <v>Johnson-Wright-North</v>
      </c>
      <c r="L191" t="s">
        <v>1733</v>
      </c>
      <c r="M191" t="s">
        <v>3957</v>
      </c>
      <c r="N191" s="3">
        <v>580.76</v>
      </c>
      <c r="O191" s="4">
        <v>0.1</v>
      </c>
      <c r="P191" t="s">
        <v>1777</v>
      </c>
      <c r="Q191" s="4">
        <v>522.68399999999997</v>
      </c>
    </row>
    <row r="192" spans="1:17" x14ac:dyDescent="0.3">
      <c r="A192" t="s">
        <v>1964</v>
      </c>
      <c r="B192" t="str">
        <f t="shared" si="2"/>
        <v>Q2</v>
      </c>
      <c r="C192" t="str">
        <f>TEXT(Table1[[#This Row],[Order_Date]],"mmmm")</f>
        <v>April</v>
      </c>
      <c r="D192">
        <f>YEAR(Table1[[#This Row],[Order_Date]])</f>
        <v>2025</v>
      </c>
      <c r="E192" s="7">
        <v>45775</v>
      </c>
      <c r="F192" s="2" t="str">
        <f>VLOOKUP(Table1[[#This Row],[Customer_ID]],Customer_Dim!$A$2:$H$501,2,FALSE)</f>
        <v>Mr. Christopher Sims</v>
      </c>
      <c r="G192" s="2" t="str">
        <f>_xlfn.XLOOKUP(Table1[[#This Row],[Customer_ID]],Customer_Dim!$A$2:$A$501,Customer_Dim!$E$2:$E$501)</f>
        <v>Donaldsontown</v>
      </c>
      <c r="H192" t="s">
        <v>1039</v>
      </c>
      <c r="I192" t="str">
        <f>VLOOKUP(Table1[[#This Row],[Product_ID]],Product_Dim!$A$2:$G$101,2,FALSE)</f>
        <v>Hair Repair Oil Treatment-Beauty</v>
      </c>
      <c r="J192" t="s">
        <v>1665</v>
      </c>
      <c r="K192" t="str">
        <f>VLOOKUP(Table1[[#This Row],[Store_ID]],Store_Dim!$A$3:$D$22,2,FALSE)</f>
        <v>Moore, Padilla and Butler-South</v>
      </c>
      <c r="L192" t="s">
        <v>1746</v>
      </c>
      <c r="M192" t="s">
        <v>3958</v>
      </c>
      <c r="N192" s="3">
        <v>444.55</v>
      </c>
      <c r="O192" s="4">
        <v>0.14000000000000001</v>
      </c>
      <c r="P192" t="s">
        <v>1774</v>
      </c>
      <c r="Q192" s="4">
        <v>1146.9390000000001</v>
      </c>
    </row>
    <row r="193" spans="1:17" x14ac:dyDescent="0.3">
      <c r="A193" t="s">
        <v>1965</v>
      </c>
      <c r="B193" t="str">
        <f t="shared" si="2"/>
        <v>Q2</v>
      </c>
      <c r="C193" t="str">
        <f>TEXT(Table1[[#This Row],[Order_Date]],"mmmm")</f>
        <v>June</v>
      </c>
      <c r="D193">
        <f>YEAR(Table1[[#This Row],[Order_Date]])</f>
        <v>2024</v>
      </c>
      <c r="E193" s="7">
        <v>45459</v>
      </c>
      <c r="F193" s="2" t="str">
        <f>VLOOKUP(Table1[[#This Row],[Customer_ID]],Customer_Dim!$A$2:$H$501,2,FALSE)</f>
        <v>Sean Roth</v>
      </c>
      <c r="G193" s="2" t="str">
        <f>_xlfn.XLOOKUP(Table1[[#This Row],[Customer_ID]],Customer_Dim!$A$2:$A$501,Customer_Dim!$E$2:$E$501)</f>
        <v>Lake Michael</v>
      </c>
      <c r="H193" t="s">
        <v>465</v>
      </c>
      <c r="I193" t="str">
        <f>VLOOKUP(Table1[[#This Row],[Product_ID]],Product_Dim!$A$2:$G$101,2,FALSE)</f>
        <v>Men's Winter Jacket-Clothing</v>
      </c>
      <c r="J193" t="s">
        <v>1615</v>
      </c>
      <c r="K193" t="str">
        <f>VLOOKUP(Table1[[#This Row],[Store_ID]],Store_Dim!$A$3:$D$22,2,FALSE)</f>
        <v>Guerrero-Schmitt-East</v>
      </c>
      <c r="L193" t="s">
        <v>1761</v>
      </c>
      <c r="M193" t="s">
        <v>3957</v>
      </c>
      <c r="N193" s="3">
        <v>804.9</v>
      </c>
      <c r="O193" s="4">
        <v>0.03</v>
      </c>
      <c r="P193" t="s">
        <v>1774</v>
      </c>
      <c r="Q193" s="4">
        <v>780.75299999999993</v>
      </c>
    </row>
    <row r="194" spans="1:17" x14ac:dyDescent="0.3">
      <c r="A194" t="s">
        <v>1966</v>
      </c>
      <c r="B194" t="str">
        <f t="shared" ref="B194:B257" si="3">"Q" &amp;ROUNDUP(MONTH(E194)/3,0)</f>
        <v>Q4</v>
      </c>
      <c r="C194" t="str">
        <f>TEXT(Table1[[#This Row],[Order_Date]],"mmmm")</f>
        <v>November</v>
      </c>
      <c r="D194">
        <f>YEAR(Table1[[#This Row],[Order_Date]])</f>
        <v>2024</v>
      </c>
      <c r="E194" s="7">
        <v>45617</v>
      </c>
      <c r="F194" s="2" t="str">
        <f>VLOOKUP(Table1[[#This Row],[Customer_ID]],Customer_Dim!$A$2:$H$501,2,FALSE)</f>
        <v>Edwin Barnes</v>
      </c>
      <c r="G194" s="2" t="str">
        <f>_xlfn.XLOOKUP(Table1[[#This Row],[Customer_ID]],Customer_Dim!$A$2:$A$501,Customer_Dim!$E$2:$E$501)</f>
        <v>Lake Alexandra</v>
      </c>
      <c r="H194" t="s">
        <v>1300</v>
      </c>
      <c r="I194" t="str">
        <f>VLOOKUP(Table1[[#This Row],[Product_ID]],Product_Dim!$A$2:$G$101,2,FALSE)</f>
        <v>Microwave Oven-Home</v>
      </c>
      <c r="J194" t="s">
        <v>1707</v>
      </c>
      <c r="K194" t="str">
        <f>VLOOKUP(Table1[[#This Row],[Store_ID]],Store_Dim!$A$3:$D$22,2,FALSE)</f>
        <v>Mcdonald Inc-South</v>
      </c>
      <c r="L194" t="s">
        <v>1754</v>
      </c>
      <c r="M194" t="s">
        <v>3958</v>
      </c>
      <c r="N194" s="3">
        <v>361.65</v>
      </c>
      <c r="O194" s="4">
        <v>0.15</v>
      </c>
      <c r="P194" t="s">
        <v>1777</v>
      </c>
      <c r="Q194" s="4">
        <v>922.20749999999987</v>
      </c>
    </row>
    <row r="195" spans="1:17" x14ac:dyDescent="0.3">
      <c r="A195" t="s">
        <v>1967</v>
      </c>
      <c r="B195" t="str">
        <f t="shared" si="3"/>
        <v>Q2</v>
      </c>
      <c r="C195" t="str">
        <f>TEXT(Table1[[#This Row],[Order_Date]],"mmmm")</f>
        <v>April</v>
      </c>
      <c r="D195">
        <f>YEAR(Table1[[#This Row],[Order_Date]])</f>
        <v>2025</v>
      </c>
      <c r="E195" s="7">
        <v>45763</v>
      </c>
      <c r="F195" s="2" t="str">
        <f>VLOOKUP(Table1[[#This Row],[Customer_ID]],Customer_Dim!$A$2:$H$501,2,FALSE)</f>
        <v>Mariah Brown</v>
      </c>
      <c r="G195" s="2" t="str">
        <f>_xlfn.XLOOKUP(Table1[[#This Row],[Customer_ID]],Customer_Dim!$A$2:$A$501,Customer_Dim!$E$2:$E$501)</f>
        <v>Palmerbury</v>
      </c>
      <c r="H195" t="s">
        <v>536</v>
      </c>
      <c r="I195" t="str">
        <f>VLOOKUP(Table1[[#This Row],[Product_ID]],Product_Dim!$A$2:$G$101,2,FALSE)</f>
        <v>LED Table Lamp-Home</v>
      </c>
      <c r="J195" t="s">
        <v>1537</v>
      </c>
      <c r="K195" t="str">
        <f>VLOOKUP(Table1[[#This Row],[Store_ID]],Store_Dim!$A$3:$D$22,2,FALSE)</f>
        <v>Alexander Group-South</v>
      </c>
      <c r="L195" t="s">
        <v>1735</v>
      </c>
      <c r="M195" t="s">
        <v>3957</v>
      </c>
      <c r="N195" s="3">
        <v>271.76</v>
      </c>
      <c r="O195" s="4">
        <v>0.03</v>
      </c>
      <c r="P195" t="s">
        <v>1772</v>
      </c>
      <c r="Q195" s="4">
        <v>263.60719999999998</v>
      </c>
    </row>
    <row r="196" spans="1:17" x14ac:dyDescent="0.3">
      <c r="A196" t="s">
        <v>1968</v>
      </c>
      <c r="B196" t="str">
        <f t="shared" si="3"/>
        <v>Q4</v>
      </c>
      <c r="C196" t="str">
        <f>TEXT(Table1[[#This Row],[Order_Date]],"mmmm")</f>
        <v>November</v>
      </c>
      <c r="D196">
        <f>YEAR(Table1[[#This Row],[Order_Date]])</f>
        <v>2024</v>
      </c>
      <c r="E196" s="7">
        <v>45618</v>
      </c>
      <c r="F196" s="2" t="str">
        <f>VLOOKUP(Table1[[#This Row],[Customer_ID]],Customer_Dim!$A$2:$H$501,2,FALSE)</f>
        <v>Kristy Dunlap</v>
      </c>
      <c r="G196" s="2" t="str">
        <f>_xlfn.XLOOKUP(Table1[[#This Row],[Customer_ID]],Customer_Dim!$A$2:$A$501,Customer_Dim!$E$2:$E$501)</f>
        <v>Whiteport</v>
      </c>
      <c r="H196" t="s">
        <v>1007</v>
      </c>
      <c r="I196" t="str">
        <f>VLOOKUP(Table1[[#This Row],[Product_ID]],Product_Dim!$A$2:$G$101,2,FALSE)</f>
        <v>Men's Roll-On Perfume-Beauty</v>
      </c>
      <c r="J196" t="s">
        <v>1621</v>
      </c>
      <c r="K196" t="str">
        <f>VLOOKUP(Table1[[#This Row],[Store_ID]],Store_Dim!$A$3:$D$22,2,FALSE)</f>
        <v>Hill, Wagner and Ballard-East</v>
      </c>
      <c r="L196" t="s">
        <v>1748</v>
      </c>
      <c r="M196" t="s">
        <v>3958</v>
      </c>
      <c r="N196" s="3">
        <v>958.15</v>
      </c>
      <c r="O196" s="4">
        <v>0.24</v>
      </c>
      <c r="P196" t="s">
        <v>1777</v>
      </c>
      <c r="Q196" s="4">
        <v>2184.5819999999999</v>
      </c>
    </row>
    <row r="197" spans="1:17" x14ac:dyDescent="0.3">
      <c r="A197" t="s">
        <v>1969</v>
      </c>
      <c r="B197" t="str">
        <f t="shared" si="3"/>
        <v>Q4</v>
      </c>
      <c r="C197" t="str">
        <f>TEXT(Table1[[#This Row],[Order_Date]],"mmmm")</f>
        <v>December</v>
      </c>
      <c r="D197">
        <f>YEAR(Table1[[#This Row],[Order_Date]])</f>
        <v>2023</v>
      </c>
      <c r="E197" s="7">
        <v>45290</v>
      </c>
      <c r="F197" s="2" t="str">
        <f>VLOOKUP(Table1[[#This Row],[Customer_ID]],Customer_Dim!$A$2:$H$501,2,FALSE)</f>
        <v>Jose Stewart</v>
      </c>
      <c r="G197" s="2" t="str">
        <f>_xlfn.XLOOKUP(Table1[[#This Row],[Customer_ID]],Customer_Dim!$A$2:$A$501,Customer_Dim!$E$2:$E$501)</f>
        <v>South Robert</v>
      </c>
      <c r="H197" t="s">
        <v>1309</v>
      </c>
      <c r="I197" t="str">
        <f>VLOOKUP(Table1[[#This Row],[Product_ID]],Product_Dim!$A$2:$G$101,2,FALSE)</f>
        <v>Luxury Perfume Spray-Beauty</v>
      </c>
      <c r="J197" t="s">
        <v>1643</v>
      </c>
      <c r="K197" t="str">
        <f>VLOOKUP(Table1[[#This Row],[Store_ID]],Store_Dim!$A$3:$D$22,2,FALSE)</f>
        <v>Holloway Ltd-North</v>
      </c>
      <c r="L197" t="s">
        <v>1759</v>
      </c>
      <c r="M197" t="s">
        <v>3957</v>
      </c>
      <c r="N197" s="3">
        <v>889.19</v>
      </c>
      <c r="O197" s="4">
        <v>0.03</v>
      </c>
      <c r="P197" t="s">
        <v>1772</v>
      </c>
      <c r="Q197" s="4">
        <v>862.51430000000005</v>
      </c>
    </row>
    <row r="198" spans="1:17" x14ac:dyDescent="0.3">
      <c r="A198" t="s">
        <v>1970</v>
      </c>
      <c r="B198" t="str">
        <f t="shared" si="3"/>
        <v>Q3</v>
      </c>
      <c r="C198" t="str">
        <f>TEXT(Table1[[#This Row],[Order_Date]],"mmmm")</f>
        <v>September</v>
      </c>
      <c r="D198">
        <f>YEAR(Table1[[#This Row],[Order_Date]])</f>
        <v>2025</v>
      </c>
      <c r="E198" s="7">
        <v>45904</v>
      </c>
      <c r="F198" s="2" t="s">
        <v>3826</v>
      </c>
      <c r="G198" s="2" t="s">
        <v>3826</v>
      </c>
      <c r="H198" t="s">
        <v>1415</v>
      </c>
      <c r="I198" t="str">
        <f>VLOOKUP(Table1[[#This Row],[Product_ID]],Product_Dim!$A$2:$G$101,2,FALSE)</f>
        <v>Foam Roller-Sports</v>
      </c>
      <c r="J198" t="s">
        <v>1637</v>
      </c>
      <c r="K198" t="str">
        <f>VLOOKUP(Table1[[#This Row],[Store_ID]],Store_Dim!$A$3:$D$22,2,FALSE)</f>
        <v>Frederick-Wright-West</v>
      </c>
      <c r="L198" t="s">
        <v>1757</v>
      </c>
      <c r="M198" t="s">
        <v>3959</v>
      </c>
      <c r="N198" s="3">
        <v>689.67</v>
      </c>
      <c r="O198" s="4">
        <v>0.05</v>
      </c>
      <c r="P198" t="s">
        <v>1777</v>
      </c>
      <c r="Q198" s="4">
        <v>2620.7460000000001</v>
      </c>
    </row>
    <row r="199" spans="1:17" x14ac:dyDescent="0.3">
      <c r="A199" t="s">
        <v>1971</v>
      </c>
      <c r="B199" t="str">
        <f t="shared" si="3"/>
        <v>Q4</v>
      </c>
      <c r="C199" t="str">
        <f>TEXT(Table1[[#This Row],[Order_Date]],"mmmm")</f>
        <v>October</v>
      </c>
      <c r="D199">
        <f>YEAR(Table1[[#This Row],[Order_Date]])</f>
        <v>2023</v>
      </c>
      <c r="E199" s="7">
        <v>45227</v>
      </c>
      <c r="F199" s="2" t="str">
        <f>VLOOKUP(Table1[[#This Row],[Customer_ID]],Customer_Dim!$A$2:$H$501,2,FALSE)</f>
        <v>Matthew Hanna</v>
      </c>
      <c r="G199" s="2" t="str">
        <f>_xlfn.XLOOKUP(Table1[[#This Row],[Customer_ID]],Customer_Dim!$A$2:$A$501,Customer_Dim!$E$2:$E$501)</f>
        <v>Gonzalezbury</v>
      </c>
      <c r="H199" t="s">
        <v>456</v>
      </c>
      <c r="I199" t="str">
        <f>VLOOKUP(Table1[[#This Row],[Product_ID]],Product_Dim!$A$2:$G$101,2,FALSE)</f>
        <v>Adjustable Jump Rope-Sports</v>
      </c>
      <c r="J199" t="s">
        <v>1611</v>
      </c>
      <c r="K199" t="str">
        <f>VLOOKUP(Table1[[#This Row],[Store_ID]],Store_Dim!$A$3:$D$22,2,FALSE)</f>
        <v>Aguirre-Keller-South</v>
      </c>
      <c r="L199" t="s">
        <v>1750</v>
      </c>
      <c r="M199" t="s">
        <v>3957</v>
      </c>
      <c r="N199" s="3">
        <v>541.24</v>
      </c>
      <c r="O199" s="4">
        <v>0.03</v>
      </c>
      <c r="P199" t="s">
        <v>1774</v>
      </c>
      <c r="Q199" s="4">
        <v>525.00279999999998</v>
      </c>
    </row>
    <row r="200" spans="1:17" x14ac:dyDescent="0.3">
      <c r="A200" t="s">
        <v>1972</v>
      </c>
      <c r="B200" t="str">
        <f t="shared" si="3"/>
        <v>Q4</v>
      </c>
      <c r="C200" t="str">
        <f>TEXT(Table1[[#This Row],[Order_Date]],"mmmm")</f>
        <v>November</v>
      </c>
      <c r="D200">
        <f>YEAR(Table1[[#This Row],[Order_Date]])</f>
        <v>2024</v>
      </c>
      <c r="E200" s="7">
        <v>45600</v>
      </c>
      <c r="F200" s="2" t="str">
        <f>VLOOKUP(Table1[[#This Row],[Customer_ID]],Customer_Dim!$A$2:$H$501,2,FALSE)</f>
        <v>Eric Holmes</v>
      </c>
      <c r="G200" s="2" t="str">
        <f>_xlfn.XLOOKUP(Table1[[#This Row],[Customer_ID]],Customer_Dim!$A$2:$A$501,Customer_Dim!$E$2:$E$501)</f>
        <v>Smithville</v>
      </c>
      <c r="H200" t="s">
        <v>1370</v>
      </c>
      <c r="I200" t="str">
        <f>VLOOKUP(Table1[[#This Row],[Product_ID]],Product_Dim!$A$2:$G$101,2,FALSE)</f>
        <v>Badminton Racket Set-Sports</v>
      </c>
      <c r="J200" t="s">
        <v>1685</v>
      </c>
      <c r="K200" t="str">
        <f>VLOOKUP(Table1[[#This Row],[Store_ID]],Store_Dim!$A$3:$D$22,2,FALSE)</f>
        <v>Benson-Elliott-East</v>
      </c>
      <c r="L200" t="s">
        <v>1740</v>
      </c>
      <c r="M200" t="s">
        <v>3957</v>
      </c>
      <c r="N200" s="3">
        <v>454.71</v>
      </c>
      <c r="O200" s="4">
        <v>0.16</v>
      </c>
      <c r="P200" t="s">
        <v>1774</v>
      </c>
      <c r="Q200" s="4">
        <v>381.95639999999997</v>
      </c>
    </row>
    <row r="201" spans="1:17" x14ac:dyDescent="0.3">
      <c r="A201" t="s">
        <v>1973</v>
      </c>
      <c r="B201" t="str">
        <f t="shared" si="3"/>
        <v>Q4</v>
      </c>
      <c r="C201" t="str">
        <f>TEXT(Table1[[#This Row],[Order_Date]],"mmmm")</f>
        <v>December</v>
      </c>
      <c r="D201">
        <f>YEAR(Table1[[#This Row],[Order_Date]])</f>
        <v>2024</v>
      </c>
      <c r="E201" s="7">
        <v>45646</v>
      </c>
      <c r="F201" s="2" t="str">
        <f>VLOOKUP(Table1[[#This Row],[Customer_ID]],Customer_Dim!$A$2:$H$501,2,FALSE)</f>
        <v>Deanna Simpson</v>
      </c>
      <c r="G201" s="2" t="str">
        <f>_xlfn.XLOOKUP(Table1[[#This Row],[Customer_ID]],Customer_Dim!$A$2:$A$501,Customer_Dim!$E$2:$E$501)</f>
        <v>Brownport</v>
      </c>
      <c r="H201" t="s">
        <v>149</v>
      </c>
      <c r="I201" t="str">
        <f>VLOOKUP(Table1[[#This Row],[Product_ID]],Product_Dim!$A$2:$G$101,2,FALSE)</f>
        <v>Women's Hair Dryer Brush-Beauty</v>
      </c>
      <c r="J201" t="s">
        <v>1655</v>
      </c>
      <c r="K201" t="str">
        <f>VLOOKUP(Table1[[#This Row],[Store_ID]],Store_Dim!$A$3:$D$22,2,FALSE)</f>
        <v>Gray Ltd-North</v>
      </c>
      <c r="L201" t="s">
        <v>1738</v>
      </c>
      <c r="M201" t="s">
        <v>3960</v>
      </c>
      <c r="N201" s="3">
        <v>397.63</v>
      </c>
      <c r="O201" s="4">
        <v>0.26</v>
      </c>
      <c r="P201" t="s">
        <v>1772</v>
      </c>
      <c r="Q201" s="4">
        <v>588.49239999999998</v>
      </c>
    </row>
    <row r="202" spans="1:17" x14ac:dyDescent="0.3">
      <c r="A202" t="s">
        <v>1974</v>
      </c>
      <c r="B202" t="str">
        <f t="shared" si="3"/>
        <v>Q1</v>
      </c>
      <c r="C202" t="str">
        <f>TEXT(Table1[[#This Row],[Order_Date]],"mmmm")</f>
        <v>March</v>
      </c>
      <c r="D202">
        <f>YEAR(Table1[[#This Row],[Order_Date]])</f>
        <v>2025</v>
      </c>
      <c r="E202" s="7">
        <v>45725</v>
      </c>
      <c r="F202" s="2" t="str">
        <f>VLOOKUP(Table1[[#This Row],[Customer_ID]],Customer_Dim!$A$2:$H$501,2,FALSE)</f>
        <v>Christopher Garcia Dds</v>
      </c>
      <c r="G202" s="2" t="str">
        <f>_xlfn.XLOOKUP(Table1[[#This Row],[Customer_ID]],Customer_Dim!$A$2:$A$501,Customer_Dim!$E$2:$E$501)</f>
        <v>New Joseph</v>
      </c>
      <c r="H202" t="s">
        <v>560</v>
      </c>
      <c r="I202" t="str">
        <f>VLOOKUP(Table1[[#This Row],[Product_ID]],Product_Dim!$A$2:$G$101,2,FALSE)</f>
        <v>Hydrating Face Cleanser-Beauty</v>
      </c>
      <c r="J202" t="s">
        <v>1689</v>
      </c>
      <c r="K202" t="str">
        <f>VLOOKUP(Table1[[#This Row],[Store_ID]],Store_Dim!$A$3:$D$22,2,FALSE)</f>
        <v>Benson-Elliott-East</v>
      </c>
      <c r="L202" t="s">
        <v>1740</v>
      </c>
      <c r="M202" t="s">
        <v>3958</v>
      </c>
      <c r="N202" s="3">
        <v>748.56</v>
      </c>
      <c r="O202" s="4">
        <v>0.26</v>
      </c>
      <c r="P202" t="s">
        <v>1774</v>
      </c>
      <c r="Q202" s="4">
        <v>1661.8032000000001</v>
      </c>
    </row>
    <row r="203" spans="1:17" x14ac:dyDescent="0.3">
      <c r="A203" t="s">
        <v>1975</v>
      </c>
      <c r="B203" t="str">
        <f t="shared" si="3"/>
        <v>Q1</v>
      </c>
      <c r="C203" t="str">
        <f>TEXT(Table1[[#This Row],[Order_Date]],"mmmm")</f>
        <v>March</v>
      </c>
      <c r="D203">
        <f>YEAR(Table1[[#This Row],[Order_Date]])</f>
        <v>2025</v>
      </c>
      <c r="E203" s="7">
        <v>45742</v>
      </c>
      <c r="F203" s="2" t="str">
        <f>VLOOKUP(Table1[[#This Row],[Customer_ID]],Customer_Dim!$A$2:$H$501,2,FALSE)</f>
        <v>Justin Cross</v>
      </c>
      <c r="G203" s="2" t="str">
        <f>_xlfn.XLOOKUP(Table1[[#This Row],[Customer_ID]],Customer_Dim!$A$2:$A$501,Customer_Dim!$E$2:$E$501)</f>
        <v>North Anthonychester</v>
      </c>
      <c r="H203" t="s">
        <v>482</v>
      </c>
      <c r="I203" t="str">
        <f>VLOOKUP(Table1[[#This Row],[Product_ID]],Product_Dim!$A$2:$G$101,2,FALSE)</f>
        <v>Modern Wall Clock-Home</v>
      </c>
      <c r="J203" t="s">
        <v>1589</v>
      </c>
      <c r="K203" t="str">
        <f>VLOOKUP(Table1[[#This Row],[Store_ID]],Store_Dim!$A$3:$D$22,2,FALSE)</f>
        <v>Alexander Group-South</v>
      </c>
      <c r="L203" t="s">
        <v>1735</v>
      </c>
      <c r="M203" t="s">
        <v>3957</v>
      </c>
      <c r="N203" s="3">
        <v>885.72</v>
      </c>
      <c r="O203" s="4">
        <v>0.15</v>
      </c>
      <c r="P203" t="s">
        <v>1772</v>
      </c>
      <c r="Q203" s="4">
        <v>752.86199999999997</v>
      </c>
    </row>
    <row r="204" spans="1:17" x14ac:dyDescent="0.3">
      <c r="A204" t="s">
        <v>1976</v>
      </c>
      <c r="B204" t="str">
        <f t="shared" si="3"/>
        <v>Q2</v>
      </c>
      <c r="C204" t="str">
        <f>TEXT(Table1[[#This Row],[Order_Date]],"mmmm")</f>
        <v>April</v>
      </c>
      <c r="D204">
        <f>YEAR(Table1[[#This Row],[Order_Date]])</f>
        <v>2025</v>
      </c>
      <c r="E204" s="7">
        <v>45750</v>
      </c>
      <c r="F204" s="2" t="str">
        <f>VLOOKUP(Table1[[#This Row],[Customer_ID]],Customer_Dim!$A$2:$H$501,2,FALSE)</f>
        <v>Travis Holland</v>
      </c>
      <c r="G204" s="2" t="str">
        <f>_xlfn.XLOOKUP(Table1[[#This Row],[Customer_ID]],Customer_Dim!$A$2:$A$501,Customer_Dim!$E$2:$E$501)</f>
        <v>Webstermouth</v>
      </c>
      <c r="H204" t="s">
        <v>376</v>
      </c>
      <c r="I204" t="str">
        <f>VLOOKUP(Table1[[#This Row],[Product_ID]],Product_Dim!$A$2:$G$101,2,FALSE)</f>
        <v>Laptop Cooling Pad-Electronics</v>
      </c>
      <c r="J204" t="s">
        <v>1647</v>
      </c>
      <c r="K204" t="str">
        <f>VLOOKUP(Table1[[#This Row],[Store_ID]],Store_Dim!$A$3:$D$22,2,FALSE)</f>
        <v>Martinez, Adkins and Johnson-North</v>
      </c>
      <c r="L204" t="s">
        <v>1728</v>
      </c>
      <c r="M204" t="s">
        <v>3959</v>
      </c>
      <c r="N204" s="3">
        <v>408.07</v>
      </c>
      <c r="O204" s="4">
        <v>0.28000000000000003</v>
      </c>
      <c r="P204" t="s">
        <v>1777</v>
      </c>
      <c r="Q204" s="4">
        <v>1175.2416000000001</v>
      </c>
    </row>
    <row r="205" spans="1:17" x14ac:dyDescent="0.3">
      <c r="A205" t="s">
        <v>1977</v>
      </c>
      <c r="B205" t="str">
        <f t="shared" si="3"/>
        <v>Q1</v>
      </c>
      <c r="C205" t="str">
        <f>TEXT(Table1[[#This Row],[Order_Date]],"mmmm")</f>
        <v>February</v>
      </c>
      <c r="D205">
        <f>YEAR(Table1[[#This Row],[Order_Date]])</f>
        <v>2024</v>
      </c>
      <c r="E205" s="7">
        <v>45327</v>
      </c>
      <c r="F205" s="2" t="str">
        <f>VLOOKUP(Table1[[#This Row],[Customer_ID]],Customer_Dim!$A$2:$H$501,2,FALSE)</f>
        <v>Philip Mendoza</v>
      </c>
      <c r="G205" s="2" t="str">
        <f>_xlfn.XLOOKUP(Table1[[#This Row],[Customer_ID]],Customer_Dim!$A$2:$A$501,Customer_Dim!$E$2:$E$501)</f>
        <v>Tylermouth</v>
      </c>
      <c r="H205" t="s">
        <v>1439</v>
      </c>
      <c r="I205" t="str">
        <f>VLOOKUP(Table1[[#This Row],[Product_ID]],Product_Dim!$A$2:$G$101,2,FALSE)</f>
        <v>Gaming Mechanical Keyboard-Electronics</v>
      </c>
      <c r="J205" t="s">
        <v>1591</v>
      </c>
      <c r="K205" t="str">
        <f>VLOOKUP(Table1[[#This Row],[Store_ID]],Store_Dim!$A$3:$D$22,2,FALSE)</f>
        <v>Moore, Padilla and Butler-South</v>
      </c>
      <c r="L205" t="s">
        <v>1746</v>
      </c>
      <c r="M205" t="s">
        <v>3960</v>
      </c>
      <c r="N205" s="3">
        <v>597.07000000000005</v>
      </c>
      <c r="O205" s="4">
        <v>0.28000000000000003</v>
      </c>
      <c r="P205" t="s">
        <v>1774</v>
      </c>
      <c r="Q205" s="4">
        <v>859.7808</v>
      </c>
    </row>
    <row r="206" spans="1:17" x14ac:dyDescent="0.3">
      <c r="A206" t="s">
        <v>1978</v>
      </c>
      <c r="B206" t="str">
        <f t="shared" si="3"/>
        <v>Q2</v>
      </c>
      <c r="C206" t="str">
        <f>TEXT(Table1[[#This Row],[Order_Date]],"mmmm")</f>
        <v>June</v>
      </c>
      <c r="D206">
        <f>YEAR(Table1[[#This Row],[Order_Date]])</f>
        <v>2024</v>
      </c>
      <c r="E206" s="7">
        <v>45465</v>
      </c>
      <c r="F206" s="2" t="str">
        <f>VLOOKUP(Table1[[#This Row],[Customer_ID]],Customer_Dim!$A$2:$H$501,2,FALSE)</f>
        <v>Paul Fox</v>
      </c>
      <c r="G206" s="2" t="str">
        <f>_xlfn.XLOOKUP(Table1[[#This Row],[Customer_ID]],Customer_Dim!$A$2:$A$501,Customer_Dim!$E$2:$E$501)</f>
        <v>Michaelton</v>
      </c>
      <c r="H206" t="s">
        <v>97</v>
      </c>
      <c r="I206" t="str">
        <f>VLOOKUP(Table1[[#This Row],[Product_ID]],Product_Dim!$A$2:$G$101,2,FALSE)</f>
        <v>Smart LED Light Strip-Electronics</v>
      </c>
      <c r="J206" t="s">
        <v>1657</v>
      </c>
      <c r="K206" t="str">
        <f>VLOOKUP(Table1[[#This Row],[Store_ID]],Store_Dim!$A$3:$D$22,2,FALSE)</f>
        <v>Moore, Padilla and Butler-South</v>
      </c>
      <c r="L206" t="s">
        <v>1746</v>
      </c>
      <c r="M206" t="s">
        <v>3958</v>
      </c>
      <c r="N206" s="3">
        <v>723.47</v>
      </c>
      <c r="O206" s="4">
        <v>0.12</v>
      </c>
      <c r="P206" t="s">
        <v>1777</v>
      </c>
      <c r="Q206" s="4">
        <v>1909.9608000000001</v>
      </c>
    </row>
    <row r="207" spans="1:17" x14ac:dyDescent="0.3">
      <c r="A207" t="s">
        <v>1979</v>
      </c>
      <c r="B207" t="str">
        <f t="shared" si="3"/>
        <v>Q3</v>
      </c>
      <c r="C207" t="str">
        <f>TEXT(Table1[[#This Row],[Order_Date]],"mmmm")</f>
        <v>August</v>
      </c>
      <c r="D207">
        <f>YEAR(Table1[[#This Row],[Order_Date]])</f>
        <v>2025</v>
      </c>
      <c r="E207" s="7">
        <v>45883</v>
      </c>
      <c r="F207" s="2" t="str">
        <f>VLOOKUP(Table1[[#This Row],[Customer_ID]],Customer_Dim!$A$2:$H$501,2,FALSE)</f>
        <v>Melinda Rivera</v>
      </c>
      <c r="G207" s="2" t="str">
        <f>_xlfn.XLOOKUP(Table1[[#This Row],[Customer_ID]],Customer_Dim!$A$2:$A$501,Customer_Dim!$E$2:$E$501)</f>
        <v>East Davidmouth</v>
      </c>
      <c r="H207" t="s">
        <v>1339</v>
      </c>
      <c r="I207" t="str">
        <f>VLOOKUP(Table1[[#This Row],[Product_ID]],Product_Dim!$A$2:$G$101,2,FALSE)</f>
        <v>Sports Wrist Sweatbands-Sports</v>
      </c>
      <c r="J207" t="s">
        <v>1699</v>
      </c>
      <c r="K207" t="str">
        <f>VLOOKUP(Table1[[#This Row],[Store_ID]],Store_Dim!$A$3:$D$22,2,FALSE)</f>
        <v>Gray Ltd-North</v>
      </c>
      <c r="L207" t="s">
        <v>1738</v>
      </c>
      <c r="M207" t="s">
        <v>3957</v>
      </c>
      <c r="N207" s="3">
        <v>479.93</v>
      </c>
      <c r="O207" s="4">
        <v>0.22</v>
      </c>
      <c r="P207" t="s">
        <v>1772</v>
      </c>
      <c r="Q207" s="4">
        <v>374.34539999999998</v>
      </c>
    </row>
    <row r="208" spans="1:17" x14ac:dyDescent="0.3">
      <c r="A208" t="s">
        <v>1980</v>
      </c>
      <c r="B208" t="str">
        <f t="shared" si="3"/>
        <v>Q2</v>
      </c>
      <c r="C208" t="str">
        <f>TEXT(Table1[[#This Row],[Order_Date]],"mmmm")</f>
        <v>June</v>
      </c>
      <c r="D208">
        <f>YEAR(Table1[[#This Row],[Order_Date]])</f>
        <v>2024</v>
      </c>
      <c r="E208" s="7">
        <v>45445</v>
      </c>
      <c r="F208" s="2" t="str">
        <f>VLOOKUP(Table1[[#This Row],[Customer_ID]],Customer_Dim!$A$2:$H$501,2,FALSE)</f>
        <v>Brian Hammond</v>
      </c>
      <c r="G208" s="2" t="str">
        <f>_xlfn.XLOOKUP(Table1[[#This Row],[Customer_ID]],Customer_Dim!$A$2:$A$501,Customer_Dim!$E$2:$E$501)</f>
        <v>North Nicholas</v>
      </c>
      <c r="H208" t="s">
        <v>773</v>
      </c>
      <c r="I208" t="str">
        <f>VLOOKUP(Table1[[#This Row],[Product_ID]],Product_Dim!$A$2:$G$101,2,FALSE)</f>
        <v>Gaming Mechanical Keyboard-Electronics</v>
      </c>
      <c r="J208" t="s">
        <v>1591</v>
      </c>
      <c r="K208" t="str">
        <f>VLOOKUP(Table1[[#This Row],[Store_ID]],Store_Dim!$A$3:$D$22,2,FALSE)</f>
        <v>Frederick-Wright-West</v>
      </c>
      <c r="L208" t="s">
        <v>1757</v>
      </c>
      <c r="M208" t="s">
        <v>3959</v>
      </c>
      <c r="N208" s="3">
        <v>362.81</v>
      </c>
      <c r="O208" s="4">
        <v>0.21</v>
      </c>
      <c r="P208" t="s">
        <v>1777</v>
      </c>
      <c r="Q208" s="4">
        <v>1146.4795999999999</v>
      </c>
    </row>
    <row r="209" spans="1:17" x14ac:dyDescent="0.3">
      <c r="A209" t="s">
        <v>1981</v>
      </c>
      <c r="B209" t="str">
        <f t="shared" si="3"/>
        <v>Q4</v>
      </c>
      <c r="C209" t="str">
        <f>TEXT(Table1[[#This Row],[Order_Date]],"mmmm")</f>
        <v>December</v>
      </c>
      <c r="D209">
        <f>YEAR(Table1[[#This Row],[Order_Date]])</f>
        <v>2024</v>
      </c>
      <c r="E209" s="7">
        <v>45640</v>
      </c>
      <c r="F209" s="2" t="str">
        <f>VLOOKUP(Table1[[#This Row],[Customer_ID]],Customer_Dim!$A$2:$H$501,2,FALSE)</f>
        <v>Brent Rivas</v>
      </c>
      <c r="G209" s="2" t="str">
        <f>_xlfn.XLOOKUP(Table1[[#This Row],[Customer_ID]],Customer_Dim!$A$2:$A$501,Customer_Dim!$E$2:$E$501)</f>
        <v>North Kellyberg</v>
      </c>
      <c r="H209" t="s">
        <v>604</v>
      </c>
      <c r="I209" t="str">
        <f>VLOOKUP(Table1[[#This Row],[Product_ID]],Product_Dim!$A$2:$G$101,2,FALSE)</f>
        <v>Decorative Lamp Shade-Home</v>
      </c>
      <c r="J209" t="s">
        <v>1681</v>
      </c>
      <c r="K209" t="str">
        <f>VLOOKUP(Table1[[#This Row],[Store_ID]],Store_Dim!$A$3:$D$22,2,FALSE)</f>
        <v>Johnson-Wright-North</v>
      </c>
      <c r="L209" t="s">
        <v>1733</v>
      </c>
      <c r="M209" t="s">
        <v>3957</v>
      </c>
      <c r="N209" s="3">
        <v>127.11</v>
      </c>
      <c r="O209" s="4">
        <v>0.01</v>
      </c>
      <c r="P209" t="s">
        <v>1774</v>
      </c>
      <c r="Q209" s="4">
        <v>125.8389</v>
      </c>
    </row>
    <row r="210" spans="1:17" x14ac:dyDescent="0.3">
      <c r="A210" t="s">
        <v>1982</v>
      </c>
      <c r="B210" t="str">
        <f t="shared" si="3"/>
        <v>Q2</v>
      </c>
      <c r="C210" t="str">
        <f>TEXT(Table1[[#This Row],[Order_Date]],"mmmm")</f>
        <v>April</v>
      </c>
      <c r="D210">
        <f>YEAR(Table1[[#This Row],[Order_Date]])</f>
        <v>2024</v>
      </c>
      <c r="E210" s="7">
        <v>45411</v>
      </c>
      <c r="F210" s="2" t="str">
        <f>VLOOKUP(Table1[[#This Row],[Customer_ID]],Customer_Dim!$A$2:$H$501,2,FALSE)</f>
        <v>Leonard Cochran</v>
      </c>
      <c r="G210" s="2" t="str">
        <f>_xlfn.XLOOKUP(Table1[[#This Row],[Customer_ID]],Customer_Dim!$A$2:$A$501,Customer_Dim!$E$2:$E$501)</f>
        <v>Port Sherryview</v>
      </c>
      <c r="H210" t="s">
        <v>601</v>
      </c>
      <c r="I210" t="str">
        <f>VLOOKUP(Table1[[#This Row],[Product_ID]],Product_Dim!$A$2:$G$101,2,FALSE)</f>
        <v>Gaming Mechanical Keyboard-Electronics</v>
      </c>
      <c r="J210" t="s">
        <v>1591</v>
      </c>
      <c r="K210" t="str">
        <f>VLOOKUP(Table1[[#This Row],[Store_ID]],Store_Dim!$A$3:$D$22,2,FALSE)</f>
        <v>Holloway Ltd-North</v>
      </c>
      <c r="L210" t="s">
        <v>1759</v>
      </c>
      <c r="M210" t="s">
        <v>3959</v>
      </c>
      <c r="N210" s="3">
        <v>931.26</v>
      </c>
      <c r="O210" s="4">
        <v>0.04</v>
      </c>
      <c r="P210" t="s">
        <v>1772</v>
      </c>
      <c r="Q210" s="4">
        <v>3576.0383999999999</v>
      </c>
    </row>
    <row r="211" spans="1:17" x14ac:dyDescent="0.3">
      <c r="A211" t="s">
        <v>1983</v>
      </c>
      <c r="B211" t="str">
        <f t="shared" si="3"/>
        <v>Q4</v>
      </c>
      <c r="C211" t="str">
        <f>TEXT(Table1[[#This Row],[Order_Date]],"mmmm")</f>
        <v>October</v>
      </c>
      <c r="D211">
        <f>YEAR(Table1[[#This Row],[Order_Date]])</f>
        <v>2023</v>
      </c>
      <c r="E211" s="7">
        <v>45224</v>
      </c>
      <c r="F211" s="2" t="str">
        <f>VLOOKUP(Table1[[#This Row],[Customer_ID]],Customer_Dim!$A$2:$H$501,2,FALSE)</f>
        <v>Michael Garner</v>
      </c>
      <c r="G211" s="2" t="str">
        <f>_xlfn.XLOOKUP(Table1[[#This Row],[Customer_ID]],Customer_Dim!$A$2:$A$501,Customer_Dim!$E$2:$E$501)</f>
        <v>Port Crystal</v>
      </c>
      <c r="H211" t="s">
        <v>1147</v>
      </c>
      <c r="I211" t="str">
        <f>VLOOKUP(Table1[[#This Row],[Product_ID]],Product_Dim!$A$2:$G$101,2,FALSE)</f>
        <v>Smart LED Light Strip-Electronics</v>
      </c>
      <c r="J211" t="s">
        <v>1657</v>
      </c>
      <c r="K211" t="str">
        <f>VLOOKUP(Table1[[#This Row],[Store_ID]],Store_Dim!$A$3:$D$22,2,FALSE)</f>
        <v>Bean, Jones and Park-West</v>
      </c>
      <c r="L211" t="s">
        <v>1744</v>
      </c>
      <c r="M211" t="s">
        <v>3957</v>
      </c>
      <c r="N211" s="3">
        <v>620.80999999999995</v>
      </c>
      <c r="O211" s="4">
        <v>0.04</v>
      </c>
      <c r="P211" t="s">
        <v>1774</v>
      </c>
      <c r="Q211" s="4">
        <v>595.97759999999994</v>
      </c>
    </row>
    <row r="212" spans="1:17" x14ac:dyDescent="0.3">
      <c r="A212" t="s">
        <v>1984</v>
      </c>
      <c r="B212" t="str">
        <f t="shared" si="3"/>
        <v>Q3</v>
      </c>
      <c r="C212" t="str">
        <f>TEXT(Table1[[#This Row],[Order_Date]],"mmmm")</f>
        <v>July</v>
      </c>
      <c r="D212">
        <f>YEAR(Table1[[#This Row],[Order_Date]])</f>
        <v>2024</v>
      </c>
      <c r="E212" s="7">
        <v>45497</v>
      </c>
      <c r="F212" s="2" t="str">
        <f>VLOOKUP(Table1[[#This Row],[Customer_ID]],Customer_Dim!$A$2:$H$501,2,FALSE)</f>
        <v>David Patterson</v>
      </c>
      <c r="G212" s="2" t="str">
        <f>_xlfn.XLOOKUP(Table1[[#This Row],[Customer_ID]],Customer_Dim!$A$2:$A$501,Customer_Dim!$E$2:$E$501)</f>
        <v>New Amyport</v>
      </c>
      <c r="H212" t="s">
        <v>333</v>
      </c>
      <c r="I212" t="str">
        <f>VLOOKUP(Table1[[#This Row],[Product_ID]],Product_Dim!$A$2:$G$101,2,FALSE)</f>
        <v>Boxing Hand Wraps-Sports</v>
      </c>
      <c r="J212" t="s">
        <v>1623</v>
      </c>
      <c r="K212" t="str">
        <f>VLOOKUP(Table1[[#This Row],[Store_ID]],Store_Dim!$A$3:$D$22,2,FALSE)</f>
        <v>Black-Horn-South</v>
      </c>
      <c r="L212" t="s">
        <v>1730</v>
      </c>
      <c r="M212" t="s">
        <v>3957</v>
      </c>
      <c r="N212" s="3">
        <v>823.26</v>
      </c>
      <c r="O212" s="4">
        <v>0.27</v>
      </c>
      <c r="P212" t="s">
        <v>1777</v>
      </c>
      <c r="Q212" s="4">
        <v>600.97979999999995</v>
      </c>
    </row>
    <row r="213" spans="1:17" x14ac:dyDescent="0.3">
      <c r="A213" t="s">
        <v>1985</v>
      </c>
      <c r="B213" t="str">
        <f t="shared" si="3"/>
        <v>Q2</v>
      </c>
      <c r="C213" t="str">
        <f>TEXT(Table1[[#This Row],[Order_Date]],"mmmm")</f>
        <v>May</v>
      </c>
      <c r="D213">
        <f>YEAR(Table1[[#This Row],[Order_Date]])</f>
        <v>2025</v>
      </c>
      <c r="E213" s="7">
        <v>45807</v>
      </c>
      <c r="F213" s="2" t="str">
        <f>VLOOKUP(Table1[[#This Row],[Customer_ID]],Customer_Dim!$A$2:$H$501,2,FALSE)</f>
        <v>Kenneth Lambert</v>
      </c>
      <c r="G213" s="2" t="str">
        <f>_xlfn.XLOOKUP(Table1[[#This Row],[Customer_ID]],Customer_Dim!$A$2:$A$501,Customer_Dim!$E$2:$E$501)</f>
        <v>North Kathryn</v>
      </c>
      <c r="H213" t="s">
        <v>59</v>
      </c>
      <c r="I213" t="str">
        <f>VLOOKUP(Table1[[#This Row],[Product_ID]],Product_Dim!$A$2:$G$101,2,FALSE)</f>
        <v>Decorative Floor Vase-Home</v>
      </c>
      <c r="J213" t="s">
        <v>1577</v>
      </c>
      <c r="K213" t="str">
        <f>VLOOKUP(Table1[[#This Row],[Store_ID]],Store_Dim!$A$3:$D$22,2,FALSE)</f>
        <v>Bean, Jones and Park-West</v>
      </c>
      <c r="L213" t="s">
        <v>1744</v>
      </c>
      <c r="M213" t="s">
        <v>3958</v>
      </c>
      <c r="N213" s="3">
        <v>681.01</v>
      </c>
      <c r="O213" s="4">
        <v>0.27</v>
      </c>
      <c r="P213" t="s">
        <v>1777</v>
      </c>
      <c r="Q213" s="4">
        <v>1491.4119000000001</v>
      </c>
    </row>
    <row r="214" spans="1:17" x14ac:dyDescent="0.3">
      <c r="A214" t="s">
        <v>1986</v>
      </c>
      <c r="B214" t="str">
        <f t="shared" si="3"/>
        <v>Q4</v>
      </c>
      <c r="C214" t="str">
        <f>TEXT(Table1[[#This Row],[Order_Date]],"mmmm")</f>
        <v>October</v>
      </c>
      <c r="D214">
        <f>YEAR(Table1[[#This Row],[Order_Date]])</f>
        <v>2025</v>
      </c>
      <c r="E214" s="7">
        <v>45942</v>
      </c>
      <c r="F214" s="2" t="str">
        <f>VLOOKUP(Table1[[#This Row],[Customer_ID]],Customer_Dim!$A$2:$H$501,2,FALSE)</f>
        <v>Kelli Smith</v>
      </c>
      <c r="G214" s="2" t="str">
        <f>_xlfn.XLOOKUP(Table1[[#This Row],[Customer_ID]],Customer_Dim!$A$2:$A$501,Customer_Dim!$E$2:$E$501)</f>
        <v>North Maryfort</v>
      </c>
      <c r="H214" t="s">
        <v>1352</v>
      </c>
      <c r="I214" t="str">
        <f>VLOOKUP(Table1[[#This Row],[Product_ID]],Product_Dim!$A$2:$G$101,2,FALSE)</f>
        <v>Premium Blanket Throw-Home</v>
      </c>
      <c r="J214" t="s">
        <v>1635</v>
      </c>
      <c r="K214" t="str">
        <f>VLOOKUP(Table1[[#This Row],[Store_ID]],Store_Dim!$A$3:$D$22,2,FALSE)</f>
        <v>Mann-Austin-East</v>
      </c>
      <c r="L214" t="s">
        <v>1763</v>
      </c>
      <c r="M214" t="s">
        <v>3959</v>
      </c>
      <c r="N214" s="3">
        <v>119.83</v>
      </c>
      <c r="O214" s="4">
        <v>0.13</v>
      </c>
      <c r="P214" t="s">
        <v>1772</v>
      </c>
      <c r="Q214" s="4">
        <v>417.00839999999999</v>
      </c>
    </row>
    <row r="215" spans="1:17" x14ac:dyDescent="0.3">
      <c r="A215" t="s">
        <v>1987</v>
      </c>
      <c r="B215" t="str">
        <f t="shared" si="3"/>
        <v>Q1</v>
      </c>
      <c r="C215" t="str">
        <f>TEXT(Table1[[#This Row],[Order_Date]],"mmmm")</f>
        <v>January</v>
      </c>
      <c r="D215">
        <f>YEAR(Table1[[#This Row],[Order_Date]])</f>
        <v>2024</v>
      </c>
      <c r="E215" s="7">
        <v>45314</v>
      </c>
      <c r="F215" s="2" t="str">
        <f>VLOOKUP(Table1[[#This Row],[Customer_ID]],Customer_Dim!$A$2:$H$501,2,FALSE)</f>
        <v>Brandy Thompson</v>
      </c>
      <c r="G215" s="2" t="str">
        <f>_xlfn.XLOOKUP(Table1[[#This Row],[Customer_ID]],Customer_Dim!$A$2:$A$501,Customer_Dim!$E$2:$E$501)</f>
        <v>West Patriciaview</v>
      </c>
      <c r="H215" t="s">
        <v>959</v>
      </c>
      <c r="I215" t="str">
        <f>VLOOKUP(Table1[[#This Row],[Product_ID]],Product_Dim!$A$2:$G$101,2,FALSE)</f>
        <v>Essential Oil Diffuser-Home</v>
      </c>
      <c r="J215" t="s">
        <v>1679</v>
      </c>
      <c r="K215" t="str">
        <f>VLOOKUP(Table1[[#This Row],[Store_ID]],Store_Dim!$A$3:$D$22,2,FALSE)</f>
        <v>Black-Horn-South</v>
      </c>
      <c r="L215" t="s">
        <v>1730</v>
      </c>
      <c r="M215" t="s">
        <v>3957</v>
      </c>
      <c r="N215" s="3">
        <v>575.66</v>
      </c>
      <c r="O215" s="4">
        <v>0.03</v>
      </c>
      <c r="P215" t="s">
        <v>1774</v>
      </c>
      <c r="Q215" s="4">
        <v>558.39019999999994</v>
      </c>
    </row>
    <row r="216" spans="1:17" x14ac:dyDescent="0.3">
      <c r="A216" t="s">
        <v>1988</v>
      </c>
      <c r="B216" t="str">
        <f t="shared" si="3"/>
        <v>Q4</v>
      </c>
      <c r="C216" t="str">
        <f>TEXT(Table1[[#This Row],[Order_Date]],"mmmm")</f>
        <v>October</v>
      </c>
      <c r="D216">
        <f>YEAR(Table1[[#This Row],[Order_Date]])</f>
        <v>2025</v>
      </c>
      <c r="E216" s="7">
        <v>45943</v>
      </c>
      <c r="F216" s="2" t="str">
        <f>VLOOKUP(Table1[[#This Row],[Customer_ID]],Customer_Dim!$A$2:$H$501,2,FALSE)</f>
        <v>Carmen Price</v>
      </c>
      <c r="G216" s="2" t="str">
        <f>_xlfn.XLOOKUP(Table1[[#This Row],[Customer_ID]],Customer_Dim!$A$2:$A$501,Customer_Dim!$E$2:$E$501)</f>
        <v>North Briannamouth</v>
      </c>
      <c r="H216" t="s">
        <v>645</v>
      </c>
      <c r="I216" t="str">
        <f>VLOOKUP(Table1[[#This Row],[Product_ID]],Product_Dim!$A$2:$G$101,2,FALSE)</f>
        <v>Car Dashboard Phone Holder-Electronics</v>
      </c>
      <c r="J216" t="s">
        <v>1619</v>
      </c>
      <c r="K216" t="str">
        <f>VLOOKUP(Table1[[#This Row],[Store_ID]],Store_Dim!$A$3:$D$22,2,FALSE)</f>
        <v>Frederick-Wright-West</v>
      </c>
      <c r="L216" t="s">
        <v>1757</v>
      </c>
      <c r="M216" t="s">
        <v>3957</v>
      </c>
      <c r="N216" s="3">
        <v>775.84</v>
      </c>
      <c r="O216" s="4">
        <v>0.26</v>
      </c>
      <c r="P216" t="s">
        <v>1772</v>
      </c>
      <c r="Q216" s="4">
        <v>574.12160000000006</v>
      </c>
    </row>
    <row r="217" spans="1:17" x14ac:dyDescent="0.3">
      <c r="A217" t="s">
        <v>1989</v>
      </c>
      <c r="B217" t="str">
        <f t="shared" si="3"/>
        <v>Q1</v>
      </c>
      <c r="C217" t="str">
        <f>TEXT(Table1[[#This Row],[Order_Date]],"mmmm")</f>
        <v>March</v>
      </c>
      <c r="D217">
        <f>YEAR(Table1[[#This Row],[Order_Date]])</f>
        <v>2024</v>
      </c>
      <c r="E217" s="7">
        <v>45356</v>
      </c>
      <c r="F217" s="2" t="str">
        <f>VLOOKUP(Table1[[#This Row],[Customer_ID]],Customer_Dim!$A$2:$H$501,2,FALSE)</f>
        <v>Adam Castro</v>
      </c>
      <c r="G217" s="2" t="str">
        <f>_xlfn.XLOOKUP(Table1[[#This Row],[Customer_ID]],Customer_Dim!$A$2:$A$501,Customer_Dim!$E$2:$E$501)</f>
        <v>New Donnabury</v>
      </c>
      <c r="H217" t="s">
        <v>1355</v>
      </c>
      <c r="I217" t="str">
        <f>VLOOKUP(Table1[[#This Row],[Product_ID]],Product_Dim!$A$2:$G$101,2,FALSE)</f>
        <v>Decorative Wall Mirror-Home</v>
      </c>
      <c r="J217" t="s">
        <v>1551</v>
      </c>
      <c r="K217" t="str">
        <f>VLOOKUP(Table1[[#This Row],[Store_ID]],Store_Dim!$A$3:$D$22,2,FALSE)</f>
        <v>Moore, Padilla and Butler-South</v>
      </c>
      <c r="L217" t="s">
        <v>1746</v>
      </c>
      <c r="M217" t="s">
        <v>3958</v>
      </c>
      <c r="N217" s="3">
        <v>318.43</v>
      </c>
      <c r="O217" s="4">
        <v>0.05</v>
      </c>
      <c r="P217" t="s">
        <v>1772</v>
      </c>
      <c r="Q217" s="4">
        <v>907.52549999999997</v>
      </c>
    </row>
    <row r="218" spans="1:17" x14ac:dyDescent="0.3">
      <c r="A218" t="s">
        <v>1990</v>
      </c>
      <c r="B218" t="str">
        <f t="shared" si="3"/>
        <v>Q3</v>
      </c>
      <c r="C218" t="str">
        <f>TEXT(Table1[[#This Row],[Order_Date]],"mmmm")</f>
        <v>July</v>
      </c>
      <c r="D218">
        <f>YEAR(Table1[[#This Row],[Order_Date]])</f>
        <v>2025</v>
      </c>
      <c r="E218" s="7">
        <v>45854</v>
      </c>
      <c r="F218" s="2" t="str">
        <f>VLOOKUP(Table1[[#This Row],[Customer_ID]],Customer_Dim!$A$2:$H$501,2,FALSE)</f>
        <v>Joseph Faulkner</v>
      </c>
      <c r="G218" s="2" t="str">
        <f>_xlfn.XLOOKUP(Table1[[#This Row],[Customer_ID]],Customer_Dim!$A$2:$A$501,Customer_Dim!$E$2:$E$501)</f>
        <v>New Leahfurt</v>
      </c>
      <c r="H218" t="s">
        <v>509</v>
      </c>
      <c r="I218" t="str">
        <f>VLOOKUP(Table1[[#This Row],[Product_ID]],Product_Dim!$A$2:$G$101,2,FALSE)</f>
        <v>Professional Jump Rope-Sports</v>
      </c>
      <c r="J218" t="s">
        <v>1667</v>
      </c>
      <c r="K218" t="str">
        <f>VLOOKUP(Table1[[#This Row],[Store_ID]],Store_Dim!$A$3:$D$22,2,FALSE)</f>
        <v>Bean, Jones and Park-West</v>
      </c>
      <c r="L218" t="s">
        <v>1744</v>
      </c>
      <c r="M218" t="s">
        <v>3958</v>
      </c>
      <c r="N218" s="3">
        <v>141.6</v>
      </c>
      <c r="O218" s="4">
        <v>0.08</v>
      </c>
      <c r="P218" t="s">
        <v>1777</v>
      </c>
      <c r="Q218" s="4">
        <v>390.81599999999997</v>
      </c>
    </row>
    <row r="219" spans="1:17" x14ac:dyDescent="0.3">
      <c r="A219" t="s">
        <v>1991</v>
      </c>
      <c r="B219" t="str">
        <f t="shared" si="3"/>
        <v>Q4</v>
      </c>
      <c r="C219" t="str">
        <f>TEXT(Table1[[#This Row],[Order_Date]],"mmmm")</f>
        <v>October</v>
      </c>
      <c r="D219">
        <f>YEAR(Table1[[#This Row],[Order_Date]])</f>
        <v>2023</v>
      </c>
      <c r="E219" s="7">
        <v>45219</v>
      </c>
      <c r="F219" s="2" t="str">
        <f>VLOOKUP(Table1[[#This Row],[Customer_ID]],Customer_Dim!$A$2:$H$501,2,FALSE)</f>
        <v>Cynthia Payne</v>
      </c>
      <c r="G219" s="2" t="str">
        <f>_xlfn.XLOOKUP(Table1[[#This Row],[Customer_ID]],Customer_Dim!$A$2:$A$501,Customer_Dim!$E$2:$E$501)</f>
        <v>South Gina</v>
      </c>
      <c r="H219" t="s">
        <v>842</v>
      </c>
      <c r="I219" t="str">
        <f>VLOOKUP(Table1[[#This Row],[Product_ID]],Product_Dim!$A$2:$G$101,2,FALSE)</f>
        <v>4K Home Projector-Electronics</v>
      </c>
      <c r="J219" t="s">
        <v>1553</v>
      </c>
      <c r="K219" t="str">
        <f>VLOOKUP(Table1[[#This Row],[Store_ID]],Store_Dim!$A$3:$D$22,2,FALSE)</f>
        <v>Mann-Austin-East</v>
      </c>
      <c r="L219" t="s">
        <v>1763</v>
      </c>
      <c r="M219" t="s">
        <v>3957</v>
      </c>
      <c r="N219" s="3">
        <v>332.82</v>
      </c>
      <c r="O219" s="4">
        <v>0.14000000000000001</v>
      </c>
      <c r="P219" t="s">
        <v>1774</v>
      </c>
      <c r="Q219" s="4">
        <v>286.22519999999997</v>
      </c>
    </row>
    <row r="220" spans="1:17" x14ac:dyDescent="0.3">
      <c r="A220" t="s">
        <v>1992</v>
      </c>
      <c r="B220" t="str">
        <f t="shared" si="3"/>
        <v>Q2</v>
      </c>
      <c r="C220" t="str">
        <f>TEXT(Table1[[#This Row],[Order_Date]],"mmmm")</f>
        <v>June</v>
      </c>
      <c r="D220">
        <f>YEAR(Table1[[#This Row],[Order_Date]])</f>
        <v>2024</v>
      </c>
      <c r="E220" s="7">
        <v>45447</v>
      </c>
      <c r="F220" s="2" t="str">
        <f>VLOOKUP(Table1[[#This Row],[Customer_ID]],Customer_Dim!$A$2:$H$501,2,FALSE)</f>
        <v>Mary Russell</v>
      </c>
      <c r="G220" s="2" t="str">
        <f>_xlfn.XLOOKUP(Table1[[#This Row],[Customer_ID]],Customer_Dim!$A$2:$A$501,Customer_Dim!$E$2:$E$501)</f>
        <v>South Regina</v>
      </c>
      <c r="H220" t="s">
        <v>782</v>
      </c>
      <c r="I220" t="str">
        <f>VLOOKUP(Table1[[#This Row],[Product_ID]],Product_Dim!$A$2:$G$101,2,FALSE)</f>
        <v>Professional Jump Rope-Sports</v>
      </c>
      <c r="J220" t="s">
        <v>1667</v>
      </c>
      <c r="K220" t="str">
        <f>VLOOKUP(Table1[[#This Row],[Store_ID]],Store_Dim!$A$3:$D$22,2,FALSE)</f>
        <v>Martinez, Adkins and Johnson-North</v>
      </c>
      <c r="L220" t="s">
        <v>1728</v>
      </c>
      <c r="M220" t="s">
        <v>3959</v>
      </c>
      <c r="N220" s="3">
        <v>640.97</v>
      </c>
      <c r="O220" s="4">
        <v>0.11</v>
      </c>
      <c r="P220" t="s">
        <v>1777</v>
      </c>
      <c r="Q220" s="4">
        <v>2281.8532</v>
      </c>
    </row>
    <row r="221" spans="1:17" x14ac:dyDescent="0.3">
      <c r="A221" t="s">
        <v>1993</v>
      </c>
      <c r="B221" t="str">
        <f t="shared" si="3"/>
        <v>Q4</v>
      </c>
      <c r="C221" t="str">
        <f>TEXT(Table1[[#This Row],[Order_Date]],"mmmm")</f>
        <v>October</v>
      </c>
      <c r="D221">
        <f>YEAR(Table1[[#This Row],[Order_Date]])</f>
        <v>2023</v>
      </c>
      <c r="E221" s="7">
        <v>45225</v>
      </c>
      <c r="F221" s="2" t="str">
        <f>VLOOKUP(Table1[[#This Row],[Customer_ID]],Customer_Dim!$A$2:$H$501,2,FALSE)</f>
        <v>Sarah Brady</v>
      </c>
      <c r="G221" s="2" t="str">
        <f>_xlfn.XLOOKUP(Table1[[#This Row],[Customer_ID]],Customer_Dim!$A$2:$A$501,Customer_Dim!$E$2:$E$501)</f>
        <v>Johnsonland</v>
      </c>
      <c r="H221" t="s">
        <v>657</v>
      </c>
      <c r="I221" t="str">
        <f>VLOOKUP(Table1[[#This Row],[Product_ID]],Product_Dim!$A$2:$G$101,2,FALSE)</f>
        <v>Gaming Mouse Pad XL-Electronics</v>
      </c>
      <c r="J221" t="s">
        <v>1703</v>
      </c>
      <c r="K221" t="str">
        <f>VLOOKUP(Table1[[#This Row],[Store_ID]],Store_Dim!$A$3:$D$22,2,FALSE)</f>
        <v>Shelton PLC-North</v>
      </c>
      <c r="L221" t="s">
        <v>1755</v>
      </c>
      <c r="M221" t="s">
        <v>3959</v>
      </c>
      <c r="N221" s="3">
        <v>75.37</v>
      </c>
      <c r="O221" s="4">
        <v>0.02</v>
      </c>
      <c r="P221" t="s">
        <v>1777</v>
      </c>
      <c r="Q221" s="4">
        <v>295.4504</v>
      </c>
    </row>
    <row r="222" spans="1:17" x14ac:dyDescent="0.3">
      <c r="A222" t="s">
        <v>1994</v>
      </c>
      <c r="B222" t="str">
        <f t="shared" si="3"/>
        <v>Q2</v>
      </c>
      <c r="C222" t="str">
        <f>TEXT(Table1[[#This Row],[Order_Date]],"mmmm")</f>
        <v>April</v>
      </c>
      <c r="D222">
        <f>YEAR(Table1[[#This Row],[Order_Date]])</f>
        <v>2025</v>
      </c>
      <c r="E222" s="7">
        <v>45754</v>
      </c>
      <c r="F222" s="2" t="str">
        <f>VLOOKUP(Table1[[#This Row],[Customer_ID]],Customer_Dim!$A$2:$H$501,2,FALSE)</f>
        <v>Rhonda Morales</v>
      </c>
      <c r="G222" s="2" t="str">
        <f>_xlfn.XLOOKUP(Table1[[#This Row],[Customer_ID]],Customer_Dim!$A$2:$A$501,Customer_Dim!$E$2:$E$501)</f>
        <v>Lake Barryfurt</v>
      </c>
      <c r="H222" t="s">
        <v>272</v>
      </c>
      <c r="I222" t="str">
        <f>VLOOKUP(Table1[[#This Row],[Product_ID]],Product_Dim!$A$2:$G$101,2,FALSE)</f>
        <v>Beard Grooming Kit-Beauty</v>
      </c>
      <c r="J222" t="s">
        <v>1555</v>
      </c>
      <c r="K222" t="str">
        <f>VLOOKUP(Table1[[#This Row],[Store_ID]],Store_Dim!$A$3:$D$22,2,FALSE)</f>
        <v>Guerrero-Schmitt-East</v>
      </c>
      <c r="L222" t="s">
        <v>1761</v>
      </c>
      <c r="M222" t="s">
        <v>3958</v>
      </c>
      <c r="N222" s="3">
        <v>434.55</v>
      </c>
      <c r="O222" s="4">
        <v>0.08</v>
      </c>
      <c r="P222" t="s">
        <v>1777</v>
      </c>
      <c r="Q222" s="4">
        <v>1199.3579999999999</v>
      </c>
    </row>
    <row r="223" spans="1:17" x14ac:dyDescent="0.3">
      <c r="A223" t="s">
        <v>1995</v>
      </c>
      <c r="B223" t="str">
        <f t="shared" si="3"/>
        <v>Q1</v>
      </c>
      <c r="C223" t="str">
        <f>TEXT(Table1[[#This Row],[Order_Date]],"mmmm")</f>
        <v>March</v>
      </c>
      <c r="D223">
        <f>YEAR(Table1[[#This Row],[Order_Date]])</f>
        <v>2025</v>
      </c>
      <c r="E223" s="7">
        <v>45729</v>
      </c>
      <c r="F223" s="2" t="str">
        <f>VLOOKUP(Table1[[#This Row],[Customer_ID]],Customer_Dim!$A$2:$H$501,2,FALSE)</f>
        <v>Sheila Wilson</v>
      </c>
      <c r="G223" s="2" t="str">
        <f>_xlfn.XLOOKUP(Table1[[#This Row],[Customer_ID]],Customer_Dim!$A$2:$A$501,Customer_Dim!$E$2:$E$501)</f>
        <v>South Dustin</v>
      </c>
      <c r="H223" t="s">
        <v>348</v>
      </c>
      <c r="I223" t="str">
        <f>VLOOKUP(Table1[[#This Row],[Product_ID]],Product_Dim!$A$2:$G$101,2,FALSE)</f>
        <v>Wireless Bluetooth Speaker-Electronics</v>
      </c>
      <c r="J223" t="s">
        <v>1575</v>
      </c>
      <c r="K223" t="str">
        <f>VLOOKUP(Table1[[#This Row],[Store_ID]],Store_Dim!$A$3:$D$22,2,FALSE)</f>
        <v>Mcdonald Inc-South</v>
      </c>
      <c r="L223" t="s">
        <v>1754</v>
      </c>
      <c r="M223" t="s">
        <v>3959</v>
      </c>
      <c r="N223" s="3">
        <v>652.28</v>
      </c>
      <c r="O223" s="4">
        <v>0.15</v>
      </c>
      <c r="P223" t="s">
        <v>1772</v>
      </c>
      <c r="Q223" s="4">
        <v>2217.752</v>
      </c>
    </row>
    <row r="224" spans="1:17" x14ac:dyDescent="0.3">
      <c r="A224" t="s">
        <v>1996</v>
      </c>
      <c r="B224" t="str">
        <f t="shared" si="3"/>
        <v>Q3</v>
      </c>
      <c r="C224" t="str">
        <f>TEXT(Table1[[#This Row],[Order_Date]],"mmmm")</f>
        <v>July</v>
      </c>
      <c r="D224">
        <f>YEAR(Table1[[#This Row],[Order_Date]])</f>
        <v>2024</v>
      </c>
      <c r="E224" s="7">
        <v>45480</v>
      </c>
      <c r="F224" s="2" t="str">
        <f>VLOOKUP(Table1[[#This Row],[Customer_ID]],Customer_Dim!$A$2:$H$501,2,FALSE)</f>
        <v>Tyrone Olson</v>
      </c>
      <c r="G224" s="2" t="str">
        <f>_xlfn.XLOOKUP(Table1[[#This Row],[Customer_ID]],Customer_Dim!$A$2:$A$501,Customer_Dim!$E$2:$E$501)</f>
        <v>Emilytown</v>
      </c>
      <c r="H224" t="s">
        <v>850</v>
      </c>
      <c r="I224" t="str">
        <f>VLOOKUP(Table1[[#This Row],[Product_ID]],Product_Dim!$A$2:$G$101,2,FALSE)</f>
        <v>Wireless Mouse-Electronics</v>
      </c>
      <c r="J224" t="s">
        <v>1675</v>
      </c>
      <c r="K224" t="str">
        <f>VLOOKUP(Table1[[#This Row],[Store_ID]],Store_Dim!$A$3:$D$22,2,FALSE)</f>
        <v>Holloway Ltd-North</v>
      </c>
      <c r="L224" t="s">
        <v>1759</v>
      </c>
      <c r="M224" t="s">
        <v>3958</v>
      </c>
      <c r="N224" s="3">
        <v>207.8</v>
      </c>
      <c r="O224" s="4">
        <v>0.15</v>
      </c>
      <c r="P224" t="s">
        <v>1772</v>
      </c>
      <c r="Q224" s="4">
        <v>529.8900000000001</v>
      </c>
    </row>
    <row r="225" spans="1:17" x14ac:dyDescent="0.3">
      <c r="A225" t="s">
        <v>1997</v>
      </c>
      <c r="B225" t="str">
        <f t="shared" si="3"/>
        <v>Q1</v>
      </c>
      <c r="C225" t="str">
        <f>TEXT(Table1[[#This Row],[Order_Date]],"mmmm")</f>
        <v>March</v>
      </c>
      <c r="D225">
        <f>YEAR(Table1[[#This Row],[Order_Date]])</f>
        <v>2024</v>
      </c>
      <c r="E225" s="7">
        <v>45361</v>
      </c>
      <c r="F225" s="2" t="str">
        <f>VLOOKUP(Table1[[#This Row],[Customer_ID]],Customer_Dim!$A$2:$H$501,2,FALSE)</f>
        <v>James Berger</v>
      </c>
      <c r="G225" s="2" t="str">
        <f>_xlfn.XLOOKUP(Table1[[#This Row],[Customer_ID]],Customer_Dim!$A$2:$A$501,Customer_Dim!$E$2:$E$501)</f>
        <v>Bryanmouth</v>
      </c>
      <c r="H225" t="s">
        <v>1504</v>
      </c>
      <c r="I225" t="str">
        <f>VLOOKUP(Table1[[#This Row],[Product_ID]],Product_Dim!$A$2:$G$101,2,FALSE)</f>
        <v>Tennis Ball 3-Pack-Sports</v>
      </c>
      <c r="J225" t="s">
        <v>1645</v>
      </c>
      <c r="K225" t="str">
        <f>VLOOKUP(Table1[[#This Row],[Store_ID]],Store_Dim!$A$3:$D$22,2,FALSE)</f>
        <v>Shelton PLC-North</v>
      </c>
      <c r="L225" t="s">
        <v>1755</v>
      </c>
      <c r="M225" t="s">
        <v>3959</v>
      </c>
      <c r="N225" s="3">
        <v>385.5</v>
      </c>
      <c r="O225" s="4">
        <v>0.03</v>
      </c>
      <c r="P225" t="s">
        <v>1774</v>
      </c>
      <c r="Q225" s="4">
        <v>1495.74</v>
      </c>
    </row>
    <row r="226" spans="1:17" x14ac:dyDescent="0.3">
      <c r="A226" t="s">
        <v>1998</v>
      </c>
      <c r="B226" t="str">
        <f t="shared" si="3"/>
        <v>Q3</v>
      </c>
      <c r="C226" t="str">
        <f>TEXT(Table1[[#This Row],[Order_Date]],"mmmm")</f>
        <v>September</v>
      </c>
      <c r="D226">
        <f>YEAR(Table1[[#This Row],[Order_Date]])</f>
        <v>2025</v>
      </c>
      <c r="E226" s="7">
        <v>45915</v>
      </c>
      <c r="F226" s="2" t="str">
        <f>VLOOKUP(Table1[[#This Row],[Customer_ID]],Customer_Dim!$A$2:$H$501,2,FALSE)</f>
        <v>Samantha Walker</v>
      </c>
      <c r="G226" s="2" t="str">
        <f>_xlfn.XLOOKUP(Table1[[#This Row],[Customer_ID]],Customer_Dim!$A$2:$A$501,Customer_Dim!$E$2:$E$501)</f>
        <v>Timothyburgh</v>
      </c>
      <c r="H226" t="s">
        <v>339</v>
      </c>
      <c r="I226" t="str">
        <f>VLOOKUP(Table1[[#This Row],[Product_ID]],Product_Dim!$A$2:$G$101,2,FALSE)</f>
        <v>Adjustable Dumbbells 20kg-Sports</v>
      </c>
      <c r="J226" t="s">
        <v>1653</v>
      </c>
      <c r="K226" t="str">
        <f>VLOOKUP(Table1[[#This Row],[Store_ID]],Store_Dim!$A$3:$D$22,2,FALSE)</f>
        <v>Benson-Elliott-East</v>
      </c>
      <c r="L226" t="s">
        <v>1740</v>
      </c>
      <c r="M226" t="s">
        <v>3958</v>
      </c>
      <c r="N226" s="3">
        <v>548.19000000000005</v>
      </c>
      <c r="O226" s="4">
        <v>0.12</v>
      </c>
      <c r="P226" t="s">
        <v>1772</v>
      </c>
      <c r="Q226" s="4">
        <v>1447.2216000000001</v>
      </c>
    </row>
    <row r="227" spans="1:17" x14ac:dyDescent="0.3">
      <c r="A227" t="s">
        <v>1999</v>
      </c>
      <c r="B227" t="str">
        <f t="shared" si="3"/>
        <v>Q4</v>
      </c>
      <c r="C227" t="str">
        <f>TEXT(Table1[[#This Row],[Order_Date]],"mmmm")</f>
        <v>November</v>
      </c>
      <c r="D227">
        <f>YEAR(Table1[[#This Row],[Order_Date]])</f>
        <v>2024</v>
      </c>
      <c r="E227" s="7">
        <v>45607</v>
      </c>
      <c r="F227" s="2" t="str">
        <f>VLOOKUP(Table1[[#This Row],[Customer_ID]],Customer_Dim!$A$2:$H$501,2,FALSE)</f>
        <v>Roy Cole</v>
      </c>
      <c r="G227" s="2" t="str">
        <f>_xlfn.XLOOKUP(Table1[[#This Row],[Customer_ID]],Customer_Dim!$A$2:$A$501,Customer_Dim!$E$2:$E$501)</f>
        <v>North Cynthiatown</v>
      </c>
      <c r="H227" t="s">
        <v>252</v>
      </c>
      <c r="I227" t="str">
        <f>VLOOKUP(Table1[[#This Row],[Product_ID]],Product_Dim!$A$2:$G$101,2,FALSE)</f>
        <v>Shin Guards – Adult-Sports</v>
      </c>
      <c r="J227" t="s">
        <v>1669</v>
      </c>
      <c r="K227" t="str">
        <f>VLOOKUP(Table1[[#This Row],[Store_ID]],Store_Dim!$A$3:$D$22,2,FALSE)</f>
        <v>Moore, Padilla and Butler-South</v>
      </c>
      <c r="L227" t="s">
        <v>1746</v>
      </c>
      <c r="M227" t="s">
        <v>3958</v>
      </c>
      <c r="N227" s="3">
        <v>927.6</v>
      </c>
      <c r="O227" s="4">
        <v>0.09</v>
      </c>
      <c r="P227" t="s">
        <v>1772</v>
      </c>
      <c r="Q227" s="4">
        <v>2532.348</v>
      </c>
    </row>
    <row r="228" spans="1:17" x14ac:dyDescent="0.3">
      <c r="A228" t="s">
        <v>2000</v>
      </c>
      <c r="B228" t="str">
        <f t="shared" si="3"/>
        <v>Q1</v>
      </c>
      <c r="C228" t="str">
        <f>TEXT(Table1[[#This Row],[Order_Date]],"mmmm")</f>
        <v>January</v>
      </c>
      <c r="D228">
        <f>YEAR(Table1[[#This Row],[Order_Date]])</f>
        <v>2025</v>
      </c>
      <c r="E228" s="7">
        <v>45666</v>
      </c>
      <c r="F228" s="2" t="str">
        <f>VLOOKUP(Table1[[#This Row],[Customer_ID]],Customer_Dim!$A$2:$H$501,2,FALSE)</f>
        <v>Cynthia Payne</v>
      </c>
      <c r="G228" s="2" t="str">
        <f>_xlfn.XLOOKUP(Table1[[#This Row],[Customer_ID]],Customer_Dim!$A$2:$A$501,Customer_Dim!$E$2:$E$501)</f>
        <v>South Gina</v>
      </c>
      <c r="H228" t="s">
        <v>842</v>
      </c>
      <c r="I228" t="str">
        <f>VLOOKUP(Table1[[#This Row],[Product_ID]],Product_Dim!$A$2:$G$101,2,FALSE)</f>
        <v>Tennis Ball 3-Pack-Sports</v>
      </c>
      <c r="J228" t="s">
        <v>1645</v>
      </c>
      <c r="K228" t="str">
        <f>VLOOKUP(Table1[[#This Row],[Store_ID]],Store_Dim!$A$3:$D$22,2,FALSE)</f>
        <v>Johnson-Wright-North</v>
      </c>
      <c r="L228" t="s">
        <v>1733</v>
      </c>
      <c r="M228" t="s">
        <v>3959</v>
      </c>
      <c r="N228" s="3">
        <v>585.04</v>
      </c>
      <c r="O228" s="4">
        <v>0.22</v>
      </c>
      <c r="P228" t="s">
        <v>1774</v>
      </c>
      <c r="Q228" s="4">
        <v>1825.3248000000001</v>
      </c>
    </row>
    <row r="229" spans="1:17" x14ac:dyDescent="0.3">
      <c r="A229" t="s">
        <v>2001</v>
      </c>
      <c r="B229" t="str">
        <f t="shared" si="3"/>
        <v>Q2</v>
      </c>
      <c r="C229" t="str">
        <f>TEXT(Table1[[#This Row],[Order_Date]],"mmmm")</f>
        <v>April</v>
      </c>
      <c r="D229">
        <f>YEAR(Table1[[#This Row],[Order_Date]])</f>
        <v>2024</v>
      </c>
      <c r="E229" s="7">
        <v>45406</v>
      </c>
      <c r="F229" s="2" t="str">
        <f>VLOOKUP(Table1[[#This Row],[Customer_ID]],Customer_Dim!$A$2:$H$501,2,FALSE)</f>
        <v>Philip Pennington</v>
      </c>
      <c r="G229" s="2" t="str">
        <f>_xlfn.XLOOKUP(Table1[[#This Row],[Customer_ID]],Customer_Dim!$A$2:$A$501,Customer_Dim!$E$2:$E$501)</f>
        <v>East Valerieview</v>
      </c>
      <c r="H229" t="s">
        <v>1516</v>
      </c>
      <c r="I229" t="str">
        <f>VLOOKUP(Table1[[#This Row],[Product_ID]],Product_Dim!$A$2:$G$101,2,FALSE)</f>
        <v>Portable Power Bank-Electronics</v>
      </c>
      <c r="J229" t="s">
        <v>1601</v>
      </c>
      <c r="K229" t="str">
        <f>VLOOKUP(Table1[[#This Row],[Store_ID]],Store_Dim!$A$3:$D$22,2,FALSE)</f>
        <v>Black-Horn-South</v>
      </c>
      <c r="L229" t="s">
        <v>1730</v>
      </c>
      <c r="M229" t="s">
        <v>3960</v>
      </c>
      <c r="N229" s="3">
        <v>999.89</v>
      </c>
      <c r="O229" s="4">
        <v>0.09</v>
      </c>
      <c r="P229" t="s">
        <v>1772</v>
      </c>
      <c r="Q229" s="4">
        <v>1819.7998</v>
      </c>
    </row>
    <row r="230" spans="1:17" x14ac:dyDescent="0.3">
      <c r="A230" t="s">
        <v>2002</v>
      </c>
      <c r="B230" t="str">
        <f t="shared" si="3"/>
        <v>Q4</v>
      </c>
      <c r="C230" t="str">
        <f>TEXT(Table1[[#This Row],[Order_Date]],"mmmm")</f>
        <v>December</v>
      </c>
      <c r="D230">
        <f>YEAR(Table1[[#This Row],[Order_Date]])</f>
        <v>2023</v>
      </c>
      <c r="E230" s="7">
        <v>45284</v>
      </c>
      <c r="F230" s="2" t="str">
        <f>VLOOKUP(Table1[[#This Row],[Customer_ID]],Customer_Dim!$A$2:$H$501,2,FALSE)</f>
        <v>Erica Carney</v>
      </c>
      <c r="G230" s="2" t="str">
        <f>_xlfn.XLOOKUP(Table1[[#This Row],[Customer_ID]],Customer_Dim!$A$2:$A$501,Customer_Dim!$E$2:$E$501)</f>
        <v>North Justin</v>
      </c>
      <c r="H230" t="s">
        <v>373</v>
      </c>
      <c r="I230" t="str">
        <f>VLOOKUP(Table1[[#This Row],[Product_ID]],Product_Dim!$A$2:$G$101,2,FALSE)</f>
        <v>Women's Ankle Boots-Clothing</v>
      </c>
      <c r="J230" t="s">
        <v>1673</v>
      </c>
      <c r="K230" t="str">
        <f>VLOOKUP(Table1[[#This Row],[Store_ID]],Store_Dim!$A$3:$D$22,2,FALSE)</f>
        <v>Johnson-Wright-North</v>
      </c>
      <c r="L230" t="s">
        <v>1733</v>
      </c>
      <c r="M230" t="s">
        <v>3960</v>
      </c>
      <c r="N230" s="3">
        <v>848.98</v>
      </c>
      <c r="O230" s="4">
        <v>0.04</v>
      </c>
      <c r="P230" t="s">
        <v>1774</v>
      </c>
      <c r="Q230" s="4">
        <v>1630.0416</v>
      </c>
    </row>
    <row r="231" spans="1:17" x14ac:dyDescent="0.3">
      <c r="A231" t="s">
        <v>2003</v>
      </c>
      <c r="B231" t="str">
        <f t="shared" si="3"/>
        <v>Q1</v>
      </c>
      <c r="C231" t="str">
        <f>TEXT(Table1[[#This Row],[Order_Date]],"mmmm")</f>
        <v>February</v>
      </c>
      <c r="D231">
        <f>YEAR(Table1[[#This Row],[Order_Date]])</f>
        <v>2024</v>
      </c>
      <c r="E231" s="7">
        <v>45348</v>
      </c>
      <c r="F231" s="2" t="str">
        <f>VLOOKUP(Table1[[#This Row],[Customer_ID]],Customer_Dim!$A$2:$H$501,2,FALSE)</f>
        <v>Maria Ramirez</v>
      </c>
      <c r="G231" s="2" t="str">
        <f>_xlfn.XLOOKUP(Table1[[#This Row],[Customer_ID]],Customer_Dim!$A$2:$A$501,Customer_Dim!$E$2:$E$501)</f>
        <v>West Brandon</v>
      </c>
      <c r="H231" t="s">
        <v>476</v>
      </c>
      <c r="I231" t="str">
        <f>VLOOKUP(Table1[[#This Row],[Product_ID]],Product_Dim!$A$2:$G$101,2,FALSE)</f>
        <v>Luxury Perfume Spray-Beauty</v>
      </c>
      <c r="J231" t="s">
        <v>1643</v>
      </c>
      <c r="K231" t="str">
        <f>VLOOKUP(Table1[[#This Row],[Store_ID]],Store_Dim!$A$3:$D$22,2,FALSE)</f>
        <v>Mcdonald Inc-South</v>
      </c>
      <c r="L231" t="s">
        <v>1754</v>
      </c>
      <c r="M231" t="s">
        <v>3958</v>
      </c>
      <c r="N231" s="3">
        <v>769.56</v>
      </c>
      <c r="O231" s="4">
        <v>0.08</v>
      </c>
      <c r="P231" t="s">
        <v>1772</v>
      </c>
      <c r="Q231" s="4">
        <v>2123.9856</v>
      </c>
    </row>
    <row r="232" spans="1:17" x14ac:dyDescent="0.3">
      <c r="A232" t="s">
        <v>2004</v>
      </c>
      <c r="B232" t="str">
        <f t="shared" si="3"/>
        <v>Q1</v>
      </c>
      <c r="C232" t="str">
        <f>TEXT(Table1[[#This Row],[Order_Date]],"mmmm")</f>
        <v>January</v>
      </c>
      <c r="D232">
        <f>YEAR(Table1[[#This Row],[Order_Date]])</f>
        <v>2025</v>
      </c>
      <c r="E232" s="7">
        <v>45676</v>
      </c>
      <c r="F232" s="2" t="str">
        <f>VLOOKUP(Table1[[#This Row],[Customer_ID]],Customer_Dim!$A$2:$H$501,2,FALSE)</f>
        <v>Timothy Weaver</v>
      </c>
      <c r="G232" s="2" t="str">
        <f>_xlfn.XLOOKUP(Table1[[#This Row],[Customer_ID]],Customer_Dim!$A$2:$A$501,Customer_Dim!$E$2:$E$501)</f>
        <v>New Amy</v>
      </c>
      <c r="H232" t="s">
        <v>185</v>
      </c>
      <c r="I232" t="str">
        <f>VLOOKUP(Table1[[#This Row],[Product_ID]],Product_Dim!$A$2:$G$101,2,FALSE)</f>
        <v>Car Dashboard Phone Holder-Electronics</v>
      </c>
      <c r="J232" t="s">
        <v>1619</v>
      </c>
      <c r="K232" t="str">
        <f>VLOOKUP(Table1[[#This Row],[Store_ID]],Store_Dim!$A$3:$D$22,2,FALSE)</f>
        <v>Gardner, Humphrey and Contreras-East</v>
      </c>
      <c r="L232" t="s">
        <v>1753</v>
      </c>
      <c r="M232" t="s">
        <v>3958</v>
      </c>
      <c r="N232" s="3">
        <v>449.88</v>
      </c>
      <c r="O232" s="4">
        <v>0.1</v>
      </c>
      <c r="P232" t="s">
        <v>1774</v>
      </c>
      <c r="Q232" s="4">
        <v>1214.6759999999999</v>
      </c>
    </row>
    <row r="233" spans="1:17" x14ac:dyDescent="0.3">
      <c r="A233" t="s">
        <v>2005</v>
      </c>
      <c r="B233" t="str">
        <f t="shared" si="3"/>
        <v>Q3</v>
      </c>
      <c r="C233" t="str">
        <f>TEXT(Table1[[#This Row],[Order_Date]],"mmmm")</f>
        <v>July</v>
      </c>
      <c r="D233">
        <f>YEAR(Table1[[#This Row],[Order_Date]])</f>
        <v>2025</v>
      </c>
      <c r="E233" s="7">
        <v>45863</v>
      </c>
      <c r="F233" s="2" t="str">
        <f>VLOOKUP(Table1[[#This Row],[Customer_ID]],Customer_Dim!$A$2:$H$501,2,FALSE)</f>
        <v>Shannon Miller</v>
      </c>
      <c r="G233" s="2" t="str">
        <f>_xlfn.XLOOKUP(Table1[[#This Row],[Customer_ID]],Customer_Dim!$A$2:$A$501,Customer_Dim!$E$2:$E$501)</f>
        <v>North Austinport</v>
      </c>
      <c r="H233" t="s">
        <v>867</v>
      </c>
      <c r="I233" t="str">
        <f>VLOOKUP(Table1[[#This Row],[Product_ID]],Product_Dim!$A$2:$G$101,2,FALSE)</f>
        <v>Men's Sports Shorts-Clothing</v>
      </c>
      <c r="J233" t="s">
        <v>1661</v>
      </c>
      <c r="K233" t="str">
        <f>VLOOKUP(Table1[[#This Row],[Store_ID]],Store_Dim!$A$3:$D$22,2,FALSE)</f>
        <v>Thomas, Bridges and Harris-North</v>
      </c>
      <c r="L233" t="s">
        <v>1751</v>
      </c>
      <c r="M233" t="s">
        <v>3959</v>
      </c>
      <c r="N233" s="3">
        <v>383.74</v>
      </c>
      <c r="O233" s="4">
        <v>0.01</v>
      </c>
      <c r="P233" t="s">
        <v>1772</v>
      </c>
      <c r="Q233" s="4">
        <v>1519.6104</v>
      </c>
    </row>
    <row r="234" spans="1:17" x14ac:dyDescent="0.3">
      <c r="A234" t="s">
        <v>2006</v>
      </c>
      <c r="B234" t="str">
        <f t="shared" si="3"/>
        <v>Q2</v>
      </c>
      <c r="C234" t="str">
        <f>TEXT(Table1[[#This Row],[Order_Date]],"mmmm")</f>
        <v>April</v>
      </c>
      <c r="D234">
        <f>YEAR(Table1[[#This Row],[Order_Date]])</f>
        <v>2024</v>
      </c>
      <c r="E234" s="7">
        <v>45409</v>
      </c>
      <c r="F234" s="2" t="str">
        <f>VLOOKUP(Table1[[#This Row],[Customer_ID]],Customer_Dim!$A$2:$H$501,2,FALSE)</f>
        <v>Theresa Campbell</v>
      </c>
      <c r="G234" s="2" t="str">
        <f>_xlfn.XLOOKUP(Table1[[#This Row],[Customer_ID]],Customer_Dim!$A$2:$A$501,Customer_Dim!$E$2:$E$501)</f>
        <v>New Brian</v>
      </c>
      <c r="H234" t="s">
        <v>494</v>
      </c>
      <c r="I234" t="str">
        <f>VLOOKUP(Table1[[#This Row],[Product_ID]],Product_Dim!$A$2:$G$101,2,FALSE)</f>
        <v>Womens Cotton Scarf-Clothing</v>
      </c>
      <c r="J234" t="s">
        <v>1639</v>
      </c>
      <c r="K234" t="str">
        <f>VLOOKUP(Table1[[#This Row],[Store_ID]],Store_Dim!$A$3:$D$22,2,FALSE)</f>
        <v>Hill, Wagner and Ballard-East</v>
      </c>
      <c r="L234" t="s">
        <v>1748</v>
      </c>
      <c r="M234" t="s">
        <v>3959</v>
      </c>
      <c r="N234" s="3">
        <v>794.97</v>
      </c>
      <c r="O234" s="4">
        <v>0.24</v>
      </c>
      <c r="P234" t="s">
        <v>1774</v>
      </c>
      <c r="Q234" s="4">
        <v>2416.7087999999999</v>
      </c>
    </row>
    <row r="235" spans="1:17" x14ac:dyDescent="0.3">
      <c r="A235" t="s">
        <v>2007</v>
      </c>
      <c r="B235" t="str">
        <f t="shared" si="3"/>
        <v>Q3</v>
      </c>
      <c r="C235" t="str">
        <f>TEXT(Table1[[#This Row],[Order_Date]],"mmmm")</f>
        <v>August</v>
      </c>
      <c r="D235">
        <f>YEAR(Table1[[#This Row],[Order_Date]])</f>
        <v>2025</v>
      </c>
      <c r="E235" s="7">
        <v>45880</v>
      </c>
      <c r="F235" s="2" t="str">
        <f>VLOOKUP(Table1[[#This Row],[Customer_ID]],Customer_Dim!$A$2:$H$501,2,FALSE)</f>
        <v>Dominic Page</v>
      </c>
      <c r="G235" s="2" t="str">
        <f>_xlfn.XLOOKUP(Table1[[#This Row],[Customer_ID]],Customer_Dim!$A$2:$A$501,Customer_Dim!$E$2:$E$501)</f>
        <v>Port Michaelburgh</v>
      </c>
      <c r="H235" t="s">
        <v>52</v>
      </c>
      <c r="I235" t="str">
        <f>VLOOKUP(Table1[[#This Row],[Product_ID]],Product_Dim!$A$2:$G$101,2,FALSE)</f>
        <v>Decorative Lamp Shade-Home</v>
      </c>
      <c r="J235" t="s">
        <v>1681</v>
      </c>
      <c r="K235" t="str">
        <f>VLOOKUP(Table1[[#This Row],[Store_ID]],Store_Dim!$A$3:$D$22,2,FALSE)</f>
        <v>Gray Ltd-North</v>
      </c>
      <c r="L235" t="s">
        <v>1738</v>
      </c>
      <c r="M235" t="s">
        <v>3957</v>
      </c>
      <c r="N235" s="3">
        <v>989.63</v>
      </c>
      <c r="O235" s="4">
        <v>0.05</v>
      </c>
      <c r="P235" t="s">
        <v>1774</v>
      </c>
      <c r="Q235" s="4">
        <v>940.1484999999999</v>
      </c>
    </row>
    <row r="236" spans="1:17" x14ac:dyDescent="0.3">
      <c r="A236" t="s">
        <v>2008</v>
      </c>
      <c r="B236" t="str">
        <f t="shared" si="3"/>
        <v>Q1</v>
      </c>
      <c r="C236" t="str">
        <f>TEXT(Table1[[#This Row],[Order_Date]],"mmmm")</f>
        <v>March</v>
      </c>
      <c r="D236">
        <f>YEAR(Table1[[#This Row],[Order_Date]])</f>
        <v>2025</v>
      </c>
      <c r="E236" s="7">
        <v>45731</v>
      </c>
      <c r="F236" s="2" t="str">
        <f>VLOOKUP(Table1[[#This Row],[Customer_ID]],Customer_Dim!$A$2:$H$501,2,FALSE)</f>
        <v>Jennifer Woods</v>
      </c>
      <c r="G236" s="2" t="str">
        <f>_xlfn.XLOOKUP(Table1[[#This Row],[Customer_ID]],Customer_Dim!$A$2:$A$501,Customer_Dim!$E$2:$E$501)</f>
        <v>West Brendamouth</v>
      </c>
      <c r="H236" t="s">
        <v>1042</v>
      </c>
      <c r="I236" t="str">
        <f>VLOOKUP(Table1[[#This Row],[Product_ID]],Product_Dim!$A$2:$G$101,2,FALSE)</f>
        <v>Sports Stopwatch Pro-Sports</v>
      </c>
      <c r="J236" t="s">
        <v>1631</v>
      </c>
      <c r="K236" t="str">
        <f>VLOOKUP(Table1[[#This Row],[Store_ID]],Store_Dim!$A$3:$D$22,2,FALSE)</f>
        <v>Rivera-Warner-East</v>
      </c>
      <c r="L236" t="s">
        <v>1725</v>
      </c>
      <c r="M236" t="s">
        <v>3957</v>
      </c>
      <c r="N236" s="3">
        <v>447.16</v>
      </c>
      <c r="O236" s="4">
        <v>0.22</v>
      </c>
      <c r="P236" t="s">
        <v>1777</v>
      </c>
      <c r="Q236" s="4">
        <v>348.78480000000002</v>
      </c>
    </row>
    <row r="237" spans="1:17" x14ac:dyDescent="0.3">
      <c r="A237" t="s">
        <v>2009</v>
      </c>
      <c r="B237" t="str">
        <f t="shared" si="3"/>
        <v>Q1</v>
      </c>
      <c r="C237" t="str">
        <f>TEXT(Table1[[#This Row],[Order_Date]],"mmmm")</f>
        <v>January</v>
      </c>
      <c r="D237">
        <f>YEAR(Table1[[#This Row],[Order_Date]])</f>
        <v>2025</v>
      </c>
      <c r="E237" s="7">
        <v>45671</v>
      </c>
      <c r="F237" s="2" t="str">
        <f>VLOOKUP(Table1[[#This Row],[Customer_ID]],Customer_Dim!$A$2:$H$501,2,FALSE)</f>
        <v>Melissa Howard</v>
      </c>
      <c r="G237" s="2" t="str">
        <f>_xlfn.XLOOKUP(Table1[[#This Row],[Customer_ID]],Customer_Dim!$A$2:$A$501,Customer_Dim!$E$2:$E$501)</f>
        <v>Maynardton</v>
      </c>
      <c r="H237" t="s">
        <v>44</v>
      </c>
      <c r="I237" t="str">
        <f>VLOOKUP(Table1[[#This Row],[Product_ID]],Product_Dim!$A$2:$G$101,2,FALSE)</f>
        <v>Vitamin E Body Lotion-Beauty</v>
      </c>
      <c r="J237" t="s">
        <v>1711</v>
      </c>
      <c r="K237" t="str">
        <f>VLOOKUP(Table1[[#This Row],[Store_ID]],Store_Dim!$A$3:$D$22,2,FALSE)</f>
        <v>Benson-Elliott-East</v>
      </c>
      <c r="L237" t="s">
        <v>1740</v>
      </c>
      <c r="M237" t="s">
        <v>3957</v>
      </c>
      <c r="N237" s="3">
        <v>946.9</v>
      </c>
      <c r="O237" s="4">
        <v>0.28999999999999998</v>
      </c>
      <c r="P237" t="s">
        <v>1777</v>
      </c>
      <c r="Q237" s="4">
        <v>672.29899999999998</v>
      </c>
    </row>
    <row r="238" spans="1:17" x14ac:dyDescent="0.3">
      <c r="A238" t="s">
        <v>2010</v>
      </c>
      <c r="B238" t="str">
        <f t="shared" si="3"/>
        <v>Q2</v>
      </c>
      <c r="C238" t="str">
        <f>TEXT(Table1[[#This Row],[Order_Date]],"mmmm")</f>
        <v>June</v>
      </c>
      <c r="D238">
        <f>YEAR(Table1[[#This Row],[Order_Date]])</f>
        <v>2025</v>
      </c>
      <c r="E238" s="7">
        <v>45809</v>
      </c>
      <c r="F238" s="2" t="str">
        <f>VLOOKUP(Table1[[#This Row],[Customer_ID]],Customer_Dim!$A$2:$H$501,2,FALSE)</f>
        <v>Steve Mclaughlin</v>
      </c>
      <c r="G238" s="2" t="str">
        <f>_xlfn.XLOOKUP(Table1[[#This Row],[Customer_ID]],Customer_Dim!$A$2:$A$501,Customer_Dim!$E$2:$E$501)</f>
        <v>Josephmouth</v>
      </c>
      <c r="H238" t="s">
        <v>557</v>
      </c>
      <c r="I238" t="str">
        <f>VLOOKUP(Table1[[#This Row],[Product_ID]],Product_Dim!$A$2:$G$101,2,FALSE)</f>
        <v>Soccer Training Cone Set-Sports</v>
      </c>
      <c r="J238" t="s">
        <v>1557</v>
      </c>
      <c r="K238" t="str">
        <f>VLOOKUP(Table1[[#This Row],[Store_ID]],Store_Dim!$A$3:$D$22,2,FALSE)</f>
        <v>Rivera-Warner-East</v>
      </c>
      <c r="L238" t="s">
        <v>1725</v>
      </c>
      <c r="M238" t="s">
        <v>3959</v>
      </c>
      <c r="N238" s="3">
        <v>469.68</v>
      </c>
      <c r="O238" s="4">
        <v>0.19</v>
      </c>
      <c r="P238" t="s">
        <v>1772</v>
      </c>
      <c r="Q238" s="4">
        <v>1521.7632000000001</v>
      </c>
    </row>
    <row r="239" spans="1:17" x14ac:dyDescent="0.3">
      <c r="A239" t="s">
        <v>2011</v>
      </c>
      <c r="B239" t="str">
        <f t="shared" si="3"/>
        <v>Q3</v>
      </c>
      <c r="C239" t="str">
        <f>TEXT(Table1[[#This Row],[Order_Date]],"mmmm")</f>
        <v>September</v>
      </c>
      <c r="D239">
        <f>YEAR(Table1[[#This Row],[Order_Date]])</f>
        <v>2024</v>
      </c>
      <c r="E239" s="7">
        <v>45559</v>
      </c>
      <c r="F239" s="2" t="str">
        <f>VLOOKUP(Table1[[#This Row],[Customer_ID]],Customer_Dim!$A$2:$H$501,2,FALSE)</f>
        <v>Justin Lopez</v>
      </c>
      <c r="G239" s="2" t="str">
        <f>_xlfn.XLOOKUP(Table1[[#This Row],[Customer_ID]],Customer_Dim!$A$2:$A$501,Customer_Dim!$E$2:$E$501)</f>
        <v>Port Cheryl</v>
      </c>
      <c r="H239" t="s">
        <v>1501</v>
      </c>
      <c r="I239" t="str">
        <f>VLOOKUP(Table1[[#This Row],[Product_ID]],Product_Dim!$A$2:$G$101,2,FALSE)</f>
        <v>Sports Stopwatch Timer-Sports</v>
      </c>
      <c r="J239" t="s">
        <v>1579</v>
      </c>
      <c r="K239" t="str">
        <f>VLOOKUP(Table1[[#This Row],[Store_ID]],Store_Dim!$A$3:$D$22,2,FALSE)</f>
        <v>Holloway Ltd-North</v>
      </c>
      <c r="L239" t="s">
        <v>1759</v>
      </c>
      <c r="M239" t="s">
        <v>3959</v>
      </c>
      <c r="N239" s="3">
        <v>320.64</v>
      </c>
      <c r="O239" s="4">
        <v>0.2</v>
      </c>
      <c r="P239" t="s">
        <v>1777</v>
      </c>
      <c r="Q239" s="4">
        <v>1026.048</v>
      </c>
    </row>
    <row r="240" spans="1:17" x14ac:dyDescent="0.3">
      <c r="A240" t="s">
        <v>2012</v>
      </c>
      <c r="B240" t="str">
        <f t="shared" si="3"/>
        <v>Q4</v>
      </c>
      <c r="C240" t="str">
        <f>TEXT(Table1[[#This Row],[Order_Date]],"mmmm")</f>
        <v>November</v>
      </c>
      <c r="D240">
        <f>YEAR(Table1[[#This Row],[Order_Date]])</f>
        <v>2023</v>
      </c>
      <c r="E240" s="7">
        <v>45253</v>
      </c>
      <c r="F240" s="2" t="str">
        <f>VLOOKUP(Table1[[#This Row],[Customer_ID]],Customer_Dim!$A$2:$H$501,2,FALSE)</f>
        <v>Matthew Hanna</v>
      </c>
      <c r="G240" s="2" t="str">
        <f>_xlfn.XLOOKUP(Table1[[#This Row],[Customer_ID]],Customer_Dim!$A$2:$A$501,Customer_Dim!$E$2:$E$501)</f>
        <v>Gonzalezbury</v>
      </c>
      <c r="H240" t="s">
        <v>456</v>
      </c>
      <c r="I240" t="str">
        <f>VLOOKUP(Table1[[#This Row],[Product_ID]],Product_Dim!$A$2:$G$101,2,FALSE)</f>
        <v>4K Home Projector-Electronics</v>
      </c>
      <c r="J240" t="s">
        <v>1553</v>
      </c>
      <c r="K240" t="str">
        <f>VLOOKUP(Table1[[#This Row],[Store_ID]],Store_Dim!$A$3:$D$22,2,FALSE)</f>
        <v>Gray Ltd-North</v>
      </c>
      <c r="L240" t="s">
        <v>1738</v>
      </c>
      <c r="M240" t="s">
        <v>3957</v>
      </c>
      <c r="N240" s="3">
        <v>594.44000000000005</v>
      </c>
      <c r="O240" s="4">
        <v>0.21</v>
      </c>
      <c r="P240" t="s">
        <v>1772</v>
      </c>
      <c r="Q240" s="4">
        <v>469.60759999999999</v>
      </c>
    </row>
    <row r="241" spans="1:17" x14ac:dyDescent="0.3">
      <c r="A241" t="s">
        <v>2013</v>
      </c>
      <c r="B241" t="str">
        <f t="shared" si="3"/>
        <v>Q3</v>
      </c>
      <c r="C241" t="str">
        <f>TEXT(Table1[[#This Row],[Order_Date]],"mmmm")</f>
        <v>July</v>
      </c>
      <c r="D241">
        <f>YEAR(Table1[[#This Row],[Order_Date]])</f>
        <v>2025</v>
      </c>
      <c r="E241" s="7">
        <v>45861</v>
      </c>
      <c r="F241" s="2" t="str">
        <f>VLOOKUP(Table1[[#This Row],[Customer_ID]],Customer_Dim!$A$2:$H$501,2,FALSE)</f>
        <v>Kathryn Garcia</v>
      </c>
      <c r="G241" s="2" t="str">
        <f>_xlfn.XLOOKUP(Table1[[#This Row],[Customer_ID]],Customer_Dim!$A$2:$A$501,Customer_Dim!$E$2:$E$501)</f>
        <v>Morrismouth</v>
      </c>
      <c r="H241" t="s">
        <v>696</v>
      </c>
      <c r="I241" t="str">
        <f>VLOOKUP(Table1[[#This Row],[Product_ID]],Product_Dim!$A$2:$G$101,2,FALSE)</f>
        <v>Kitchen Cutting Board-Home</v>
      </c>
      <c r="J241" t="s">
        <v>1695</v>
      </c>
      <c r="K241" t="str">
        <f>VLOOKUP(Table1[[#This Row],[Store_ID]],Store_Dim!$A$3:$D$22,2,FALSE)</f>
        <v>Bean, Jones and Park-West</v>
      </c>
      <c r="L241" t="s">
        <v>1744</v>
      </c>
      <c r="M241" t="s">
        <v>3958</v>
      </c>
      <c r="N241" s="3">
        <v>91.7</v>
      </c>
      <c r="O241" s="4">
        <v>0.08</v>
      </c>
      <c r="P241" t="s">
        <v>1777</v>
      </c>
      <c r="Q241" s="4">
        <v>253.09200000000001</v>
      </c>
    </row>
    <row r="242" spans="1:17" x14ac:dyDescent="0.3">
      <c r="A242" t="s">
        <v>2014</v>
      </c>
      <c r="B242" t="str">
        <f t="shared" si="3"/>
        <v>Q3</v>
      </c>
      <c r="C242" t="str">
        <f>TEXT(Table1[[#This Row],[Order_Date]],"mmmm")</f>
        <v>September</v>
      </c>
      <c r="D242">
        <f>YEAR(Table1[[#This Row],[Order_Date]])</f>
        <v>2025</v>
      </c>
      <c r="E242" s="7">
        <v>45917</v>
      </c>
      <c r="F242" s="2" t="str">
        <f>VLOOKUP(Table1[[#This Row],[Customer_ID]],Customer_Dim!$A$2:$H$501,2,FALSE)</f>
        <v>Sarah Vance</v>
      </c>
      <c r="G242" s="2" t="str">
        <f>_xlfn.XLOOKUP(Table1[[#This Row],[Customer_ID]],Customer_Dim!$A$2:$A$501,Customer_Dim!$E$2:$E$501)</f>
        <v>Johnsonville</v>
      </c>
      <c r="H242" t="s">
        <v>127</v>
      </c>
      <c r="I242" t="str">
        <f>VLOOKUP(Table1[[#This Row],[Product_ID]],Product_Dim!$A$2:$G$101,2,FALSE)</f>
        <v>Laptop Cooling Pad-Electronics</v>
      </c>
      <c r="J242" t="s">
        <v>1647</v>
      </c>
      <c r="K242" t="str">
        <f>VLOOKUP(Table1[[#This Row],[Store_ID]],Store_Dim!$A$3:$D$22,2,FALSE)</f>
        <v>Thomas, Bridges and Harris-North</v>
      </c>
      <c r="L242" t="s">
        <v>1751</v>
      </c>
      <c r="M242" t="s">
        <v>3958</v>
      </c>
      <c r="N242" s="3">
        <v>741.33</v>
      </c>
      <c r="O242" s="4">
        <v>0.03</v>
      </c>
      <c r="P242" t="s">
        <v>1772</v>
      </c>
      <c r="Q242" s="4">
        <v>2157.2703000000001</v>
      </c>
    </row>
    <row r="243" spans="1:17" x14ac:dyDescent="0.3">
      <c r="A243" t="s">
        <v>2015</v>
      </c>
      <c r="B243" t="str">
        <f t="shared" si="3"/>
        <v>Q2</v>
      </c>
      <c r="C243" t="str">
        <f>TEXT(Table1[[#This Row],[Order_Date]],"mmmm")</f>
        <v>April</v>
      </c>
      <c r="D243">
        <f>YEAR(Table1[[#This Row],[Order_Date]])</f>
        <v>2025</v>
      </c>
      <c r="E243" s="7">
        <v>45754</v>
      </c>
      <c r="F243" s="2" t="str">
        <f>VLOOKUP(Table1[[#This Row],[Customer_ID]],Customer_Dim!$A$2:$H$501,2,FALSE)</f>
        <v>Elizabeth Foster</v>
      </c>
      <c r="G243" s="2" t="str">
        <f>_xlfn.XLOOKUP(Table1[[#This Row],[Customer_ID]],Customer_Dim!$A$2:$A$501,Customer_Dim!$E$2:$E$501)</f>
        <v>Anthonymouth</v>
      </c>
      <c r="H243" t="s">
        <v>1450</v>
      </c>
      <c r="I243" t="str">
        <f>VLOOKUP(Table1[[#This Row],[Product_ID]],Product_Dim!$A$2:$G$101,2,FALSE)</f>
        <v>Beard Grooming Kit-Beauty</v>
      </c>
      <c r="J243" t="s">
        <v>1555</v>
      </c>
      <c r="K243" t="str">
        <f>VLOOKUP(Table1[[#This Row],[Store_ID]],Store_Dim!$A$3:$D$22,2,FALSE)</f>
        <v>Mann-Austin-East</v>
      </c>
      <c r="L243" t="s">
        <v>1763</v>
      </c>
      <c r="M243" t="s">
        <v>3957</v>
      </c>
      <c r="N243" s="3">
        <v>922.78</v>
      </c>
      <c r="O243" s="4">
        <v>0.28999999999999998</v>
      </c>
      <c r="P243" t="s">
        <v>1777</v>
      </c>
      <c r="Q243" s="4">
        <v>655.17379999999991</v>
      </c>
    </row>
    <row r="244" spans="1:17" x14ac:dyDescent="0.3">
      <c r="A244" t="s">
        <v>2016</v>
      </c>
      <c r="B244" t="str">
        <f t="shared" si="3"/>
        <v>Q1</v>
      </c>
      <c r="C244" t="str">
        <f>TEXT(Table1[[#This Row],[Order_Date]],"mmmm")</f>
        <v>January</v>
      </c>
      <c r="D244">
        <f>YEAR(Table1[[#This Row],[Order_Date]])</f>
        <v>2024</v>
      </c>
      <c r="E244" s="7">
        <v>45312</v>
      </c>
      <c r="F244" s="2" t="str">
        <f>VLOOKUP(Table1[[#This Row],[Customer_ID]],Customer_Dim!$A$2:$H$501,2,FALSE)</f>
        <v>Andrew Smith</v>
      </c>
      <c r="G244" s="2" t="str">
        <f>_xlfn.XLOOKUP(Table1[[#This Row],[Customer_ID]],Customer_Dim!$A$2:$A$501,Customer_Dim!$E$2:$E$501)</f>
        <v>East Matthew</v>
      </c>
      <c r="H244" t="s">
        <v>1012</v>
      </c>
      <c r="I244" t="str">
        <f>VLOOKUP(Table1[[#This Row],[Product_ID]],Product_Dim!$A$2:$G$101,2,FALSE)</f>
        <v>Wireless Bluetooth Earbuds-Electronics</v>
      </c>
      <c r="J244" t="s">
        <v>1539</v>
      </c>
      <c r="K244" t="str">
        <f>VLOOKUP(Table1[[#This Row],[Store_ID]],Store_Dim!$A$3:$D$22,2,FALSE)</f>
        <v>Frederick-Wright-West</v>
      </c>
      <c r="L244" t="s">
        <v>1757</v>
      </c>
      <c r="M244" t="s">
        <v>3957</v>
      </c>
      <c r="N244" s="3">
        <v>394.35</v>
      </c>
      <c r="O244" s="4">
        <v>0.09</v>
      </c>
      <c r="P244" t="s">
        <v>1774</v>
      </c>
      <c r="Q244" s="4">
        <v>358.85849999999999</v>
      </c>
    </row>
    <row r="245" spans="1:17" x14ac:dyDescent="0.3">
      <c r="A245" t="s">
        <v>2017</v>
      </c>
      <c r="B245" t="str">
        <f t="shared" si="3"/>
        <v>Q3</v>
      </c>
      <c r="C245" t="str">
        <f>TEXT(Table1[[#This Row],[Order_Date]],"mmmm")</f>
        <v>July</v>
      </c>
      <c r="D245">
        <f>YEAR(Table1[[#This Row],[Order_Date]])</f>
        <v>2024</v>
      </c>
      <c r="E245" s="7">
        <v>45480</v>
      </c>
      <c r="F245" s="2" t="str">
        <f>VLOOKUP(Table1[[#This Row],[Customer_ID]],Customer_Dim!$A$2:$H$501,2,FALSE)</f>
        <v>Chloe Aguilar</v>
      </c>
      <c r="G245" s="2" t="str">
        <f>_xlfn.XLOOKUP(Table1[[#This Row],[Customer_ID]],Customer_Dim!$A$2:$A$501,Customer_Dim!$E$2:$E$501)</f>
        <v>Lake Johnside</v>
      </c>
      <c r="H245" t="s">
        <v>1126</v>
      </c>
      <c r="I245" t="str">
        <f>VLOOKUP(Table1[[#This Row],[Product_ID]],Product_Dim!$A$2:$G$101,2,FALSE)</f>
        <v>Adjustable Dumbbells 20kg-Sports</v>
      </c>
      <c r="J245" t="s">
        <v>1653</v>
      </c>
      <c r="K245" t="str">
        <f>VLOOKUP(Table1[[#This Row],[Store_ID]],Store_Dim!$A$3:$D$22,2,FALSE)</f>
        <v>Aguirre-Keller-South</v>
      </c>
      <c r="L245" t="s">
        <v>1750</v>
      </c>
      <c r="M245" t="s">
        <v>3960</v>
      </c>
      <c r="N245" s="3">
        <v>703.95</v>
      </c>
      <c r="O245" s="4">
        <v>0.03</v>
      </c>
      <c r="P245" t="s">
        <v>1772</v>
      </c>
      <c r="Q245" s="4">
        <v>1365.663</v>
      </c>
    </row>
    <row r="246" spans="1:17" x14ac:dyDescent="0.3">
      <c r="A246" t="s">
        <v>2018</v>
      </c>
      <c r="B246" t="str">
        <f t="shared" si="3"/>
        <v>Q2</v>
      </c>
      <c r="C246" t="str">
        <f>TEXT(Table1[[#This Row],[Order_Date]],"mmmm")</f>
        <v>May</v>
      </c>
      <c r="D246">
        <f>YEAR(Table1[[#This Row],[Order_Date]])</f>
        <v>2025</v>
      </c>
      <c r="E246" s="7">
        <v>45780</v>
      </c>
      <c r="F246" s="2" t="str">
        <f>VLOOKUP(Table1[[#This Row],[Customer_ID]],Customer_Dim!$A$2:$H$501,2,FALSE)</f>
        <v>Anna Perez</v>
      </c>
      <c r="G246" s="2" t="str">
        <f>_xlfn.XLOOKUP(Table1[[#This Row],[Customer_ID]],Customer_Dim!$A$2:$A$501,Customer_Dim!$E$2:$E$501)</f>
        <v>South Jerry</v>
      </c>
      <c r="H246" t="s">
        <v>648</v>
      </c>
      <c r="I246" t="str">
        <f>VLOOKUP(Table1[[#This Row],[Product_ID]],Product_Dim!$A$2:$G$101,2,FALSE)</f>
        <v>Decorative Wall Mirror-Home</v>
      </c>
      <c r="J246" t="s">
        <v>1551</v>
      </c>
      <c r="K246" t="str">
        <f>VLOOKUP(Table1[[#This Row],[Store_ID]],Store_Dim!$A$3:$D$22,2,FALSE)</f>
        <v>Rivera-Warner-East</v>
      </c>
      <c r="L246" t="s">
        <v>1725</v>
      </c>
      <c r="M246" t="s">
        <v>3959</v>
      </c>
      <c r="N246" s="3">
        <v>452.67</v>
      </c>
      <c r="O246" s="4">
        <v>0.28000000000000003</v>
      </c>
      <c r="P246" t="s">
        <v>1774</v>
      </c>
      <c r="Q246" s="4">
        <v>1303.6895999999999</v>
      </c>
    </row>
    <row r="247" spans="1:17" x14ac:dyDescent="0.3">
      <c r="A247" t="s">
        <v>2019</v>
      </c>
      <c r="B247" t="str">
        <f t="shared" si="3"/>
        <v>Q1</v>
      </c>
      <c r="C247" t="str">
        <f>TEXT(Table1[[#This Row],[Order_Date]],"mmmm")</f>
        <v>February</v>
      </c>
      <c r="D247">
        <f>YEAR(Table1[[#This Row],[Order_Date]])</f>
        <v>2024</v>
      </c>
      <c r="E247" s="7">
        <v>45349</v>
      </c>
      <c r="F247" s="2" t="str">
        <f>VLOOKUP(Table1[[#This Row],[Customer_ID]],Customer_Dim!$A$2:$H$501,2,FALSE)</f>
        <v>Samantha Lee</v>
      </c>
      <c r="G247" s="2" t="str">
        <f>_xlfn.XLOOKUP(Table1[[#This Row],[Customer_ID]],Customer_Dim!$A$2:$A$501,Customer_Dim!$E$2:$E$501)</f>
        <v>Port Anthony</v>
      </c>
      <c r="H247" t="s">
        <v>1412</v>
      </c>
      <c r="I247" t="str">
        <f>VLOOKUP(Table1[[#This Row],[Product_ID]],Product_Dim!$A$2:$G$101,2,FALSE)</f>
        <v>Wireless Bluetooth Earbuds-Electronics</v>
      </c>
      <c r="J247" t="s">
        <v>1539</v>
      </c>
      <c r="K247" t="str">
        <f>VLOOKUP(Table1[[#This Row],[Store_ID]],Store_Dim!$A$3:$D$22,2,FALSE)</f>
        <v>Martinez-Mullins-South</v>
      </c>
      <c r="L247" t="s">
        <v>1742</v>
      </c>
      <c r="M247" t="s">
        <v>3960</v>
      </c>
      <c r="N247" s="3">
        <v>377.3</v>
      </c>
      <c r="O247" s="4">
        <v>0.15</v>
      </c>
      <c r="P247" t="s">
        <v>1774</v>
      </c>
      <c r="Q247" s="4">
        <v>641.41</v>
      </c>
    </row>
    <row r="248" spans="1:17" x14ac:dyDescent="0.3">
      <c r="A248" t="s">
        <v>2020</v>
      </c>
      <c r="B248" t="str">
        <f t="shared" si="3"/>
        <v>Q3</v>
      </c>
      <c r="C248" t="str">
        <f>TEXT(Table1[[#This Row],[Order_Date]],"mmmm")</f>
        <v>July</v>
      </c>
      <c r="D248">
        <f>YEAR(Table1[[#This Row],[Order_Date]])</f>
        <v>2025</v>
      </c>
      <c r="E248" s="7">
        <v>45846</v>
      </c>
      <c r="F248" s="2" t="str">
        <f>VLOOKUP(Table1[[#This Row],[Customer_ID]],Customer_Dim!$A$2:$H$501,2,FALSE)</f>
        <v>Evelyn Brown</v>
      </c>
      <c r="G248" s="2" t="str">
        <f>_xlfn.XLOOKUP(Table1[[#This Row],[Customer_ID]],Customer_Dim!$A$2:$A$501,Customer_Dim!$E$2:$E$501)</f>
        <v>West Victoriaborough</v>
      </c>
      <c r="H248" t="s">
        <v>1069</v>
      </c>
      <c r="I248" t="str">
        <f>VLOOKUP(Table1[[#This Row],[Product_ID]],Product_Dim!$A$2:$G$101,2,FALSE)</f>
        <v>Bluetooth Car Audio System-Electronics</v>
      </c>
      <c r="J248" t="s">
        <v>1671</v>
      </c>
      <c r="K248" t="str">
        <f>VLOOKUP(Table1[[#This Row],[Store_ID]],Store_Dim!$A$3:$D$22,2,FALSE)</f>
        <v>Martinez-Mullins-South</v>
      </c>
      <c r="L248" t="s">
        <v>1742</v>
      </c>
      <c r="M248" t="s">
        <v>3960</v>
      </c>
      <c r="N248" s="3">
        <v>130.47999999999999</v>
      </c>
      <c r="O248" s="4">
        <v>0.23</v>
      </c>
      <c r="P248" t="s">
        <v>1774</v>
      </c>
      <c r="Q248" s="4">
        <v>200.9392</v>
      </c>
    </row>
    <row r="249" spans="1:17" x14ac:dyDescent="0.3">
      <c r="A249" t="s">
        <v>2021</v>
      </c>
      <c r="B249" t="str">
        <f t="shared" si="3"/>
        <v>Q1</v>
      </c>
      <c r="C249" t="str">
        <f>TEXT(Table1[[#This Row],[Order_Date]],"mmmm")</f>
        <v>March</v>
      </c>
      <c r="D249">
        <f>YEAR(Table1[[#This Row],[Order_Date]])</f>
        <v>2025</v>
      </c>
      <c r="E249" s="7">
        <v>45729</v>
      </c>
      <c r="F249" s="2" t="str">
        <f>VLOOKUP(Table1[[#This Row],[Customer_ID]],Customer_Dim!$A$2:$H$501,2,FALSE)</f>
        <v>Lindsay Beasley</v>
      </c>
      <c r="G249" s="2" t="str">
        <f>_xlfn.XLOOKUP(Table1[[#This Row],[Customer_ID]],Customer_Dim!$A$2:$A$501,Customer_Dim!$E$2:$E$501)</f>
        <v>Wesleyhaven</v>
      </c>
      <c r="H249" t="s">
        <v>1333</v>
      </c>
      <c r="I249" t="str">
        <f>VLOOKUP(Table1[[#This Row],[Product_ID]],Product_Dim!$A$2:$G$101,2,FALSE)</f>
        <v>Vitamin E Body Lotion-Beauty</v>
      </c>
      <c r="J249" t="s">
        <v>1711</v>
      </c>
      <c r="K249" t="str">
        <f>VLOOKUP(Table1[[#This Row],[Store_ID]],Store_Dim!$A$3:$D$22,2,FALSE)</f>
        <v>Thomas, Bridges and Harris-North</v>
      </c>
      <c r="L249" t="s">
        <v>1751</v>
      </c>
      <c r="M249" t="s">
        <v>3957</v>
      </c>
      <c r="N249" s="3">
        <v>809.45</v>
      </c>
      <c r="O249" s="4">
        <v>0.09</v>
      </c>
      <c r="P249" t="s">
        <v>1777</v>
      </c>
      <c r="Q249" s="4">
        <v>736.59950000000003</v>
      </c>
    </row>
    <row r="250" spans="1:17" x14ac:dyDescent="0.3">
      <c r="A250" t="s">
        <v>2022</v>
      </c>
      <c r="B250" t="str">
        <f t="shared" si="3"/>
        <v>Q2</v>
      </c>
      <c r="C250" t="str">
        <f>TEXT(Table1[[#This Row],[Order_Date]],"mmmm")</f>
        <v>April</v>
      </c>
      <c r="D250">
        <f>YEAR(Table1[[#This Row],[Order_Date]])</f>
        <v>2025</v>
      </c>
      <c r="E250" s="7">
        <v>45768</v>
      </c>
      <c r="F250" s="2" t="str">
        <f>VLOOKUP(Table1[[#This Row],[Customer_ID]],Customer_Dim!$A$2:$H$501,2,FALSE)</f>
        <v>Thomas Robinson</v>
      </c>
      <c r="G250" s="2" t="str">
        <f>_xlfn.XLOOKUP(Table1[[#This Row],[Customer_ID]],Customer_Dim!$A$2:$A$501,Customer_Dim!$E$2:$E$501)</f>
        <v>Nicholastown</v>
      </c>
      <c r="H250" t="s">
        <v>298</v>
      </c>
      <c r="I250" t="str">
        <f>VLOOKUP(Table1[[#This Row],[Product_ID]],Product_Dim!$A$2:$G$101,2,FALSE)</f>
        <v>High-Grip Football-Sports</v>
      </c>
      <c r="J250" t="s">
        <v>1613</v>
      </c>
      <c r="K250" t="str">
        <f>VLOOKUP(Table1[[#This Row],[Store_ID]],Store_Dim!$A$3:$D$22,2,FALSE)</f>
        <v>Moore, Padilla and Butler-South</v>
      </c>
      <c r="L250" t="s">
        <v>1746</v>
      </c>
      <c r="M250" t="s">
        <v>3958</v>
      </c>
      <c r="N250" s="3">
        <v>499.12</v>
      </c>
      <c r="O250" s="4">
        <v>0.05</v>
      </c>
      <c r="P250" t="s">
        <v>1774</v>
      </c>
      <c r="Q250" s="4">
        <v>1422.492</v>
      </c>
    </row>
    <row r="251" spans="1:17" x14ac:dyDescent="0.3">
      <c r="A251" t="s">
        <v>2023</v>
      </c>
      <c r="B251" t="str">
        <f t="shared" si="3"/>
        <v>Q4</v>
      </c>
      <c r="C251" t="str">
        <f>TEXT(Table1[[#This Row],[Order_Date]],"mmmm")</f>
        <v>November</v>
      </c>
      <c r="D251">
        <f>YEAR(Table1[[#This Row],[Order_Date]])</f>
        <v>2024</v>
      </c>
      <c r="E251" s="7">
        <v>45606</v>
      </c>
      <c r="F251" s="2" t="str">
        <f>VLOOKUP(Table1[[#This Row],[Customer_ID]],Customer_Dim!$A$2:$H$501,2,FALSE)</f>
        <v>Jonathan Steele</v>
      </c>
      <c r="G251" s="2" t="str">
        <f>_xlfn.XLOOKUP(Table1[[#This Row],[Customer_ID]],Customer_Dim!$A$2:$A$501,Customer_Dim!$E$2:$E$501)</f>
        <v>Molinabury</v>
      </c>
      <c r="H251" t="s">
        <v>100</v>
      </c>
      <c r="I251" t="str">
        <f>VLOOKUP(Table1[[#This Row],[Product_ID]],Product_Dim!$A$2:$G$101,2,FALSE)</f>
        <v>Wooden Nightstand-Home</v>
      </c>
      <c r="J251" t="s">
        <v>1659</v>
      </c>
      <c r="K251" t="str">
        <f>VLOOKUP(Table1[[#This Row],[Store_ID]],Store_Dim!$A$3:$D$22,2,FALSE)</f>
        <v>Johnson-Wright-North</v>
      </c>
      <c r="L251" t="s">
        <v>1733</v>
      </c>
      <c r="M251" t="s">
        <v>3960</v>
      </c>
      <c r="N251" s="3">
        <v>894.58</v>
      </c>
      <c r="O251" s="4">
        <v>0.25</v>
      </c>
      <c r="P251" t="s">
        <v>1772</v>
      </c>
      <c r="Q251" s="4">
        <v>1341.87</v>
      </c>
    </row>
    <row r="252" spans="1:17" x14ac:dyDescent="0.3">
      <c r="A252" t="s">
        <v>2024</v>
      </c>
      <c r="B252" t="str">
        <f t="shared" si="3"/>
        <v>Q3</v>
      </c>
      <c r="C252" t="str">
        <f>TEXT(Table1[[#This Row],[Order_Date]],"mmmm")</f>
        <v>August</v>
      </c>
      <c r="D252">
        <f>YEAR(Table1[[#This Row],[Order_Date]])</f>
        <v>2024</v>
      </c>
      <c r="E252" s="7">
        <v>45513</v>
      </c>
      <c r="F252" s="2" t="str">
        <f>VLOOKUP(Table1[[#This Row],[Customer_ID]],Customer_Dim!$A$2:$H$501,2,FALSE)</f>
        <v>Joseph Richards</v>
      </c>
      <c r="G252" s="2" t="str">
        <f>_xlfn.XLOOKUP(Table1[[#This Row],[Customer_ID]],Customer_Dim!$A$2:$A$501,Customer_Dim!$E$2:$E$501)</f>
        <v>Wigginsville</v>
      </c>
      <c r="H252" t="s">
        <v>444</v>
      </c>
      <c r="I252" t="str">
        <f>VLOOKUP(Table1[[#This Row],[Product_ID]],Product_Dim!$A$2:$G$101,2,FALSE)</f>
        <v>Women's Ankle Boots-Clothing</v>
      </c>
      <c r="J252" t="s">
        <v>1673</v>
      </c>
      <c r="K252" t="str">
        <f>VLOOKUP(Table1[[#This Row],[Store_ID]],Store_Dim!$A$3:$D$22,2,FALSE)</f>
        <v>Moore, Padilla and Butler-South</v>
      </c>
      <c r="L252" t="s">
        <v>1746</v>
      </c>
      <c r="M252" t="s">
        <v>3959</v>
      </c>
      <c r="N252" s="3">
        <v>578.39</v>
      </c>
      <c r="O252" s="4">
        <v>0.01</v>
      </c>
      <c r="P252" t="s">
        <v>1772</v>
      </c>
      <c r="Q252" s="4">
        <v>2290.4243999999999</v>
      </c>
    </row>
    <row r="253" spans="1:17" x14ac:dyDescent="0.3">
      <c r="A253" t="s">
        <v>2025</v>
      </c>
      <c r="B253" t="str">
        <f t="shared" si="3"/>
        <v>Q1</v>
      </c>
      <c r="C253" t="str">
        <f>TEXT(Table1[[#This Row],[Order_Date]],"mmmm")</f>
        <v>March</v>
      </c>
      <c r="D253">
        <f>YEAR(Table1[[#This Row],[Order_Date]])</f>
        <v>2024</v>
      </c>
      <c r="E253" s="7">
        <v>45356</v>
      </c>
      <c r="F253" s="2" t="str">
        <f>VLOOKUP(Table1[[#This Row],[Customer_ID]],Customer_Dim!$A$2:$H$501,2,FALSE)</f>
        <v>Sara Ingram</v>
      </c>
      <c r="G253" s="2" t="str">
        <f>_xlfn.XLOOKUP(Table1[[#This Row],[Customer_ID]],Customer_Dim!$A$2:$A$501,Customer_Dim!$E$2:$E$501)</f>
        <v>East Dillonview</v>
      </c>
      <c r="H253" t="s">
        <v>1475</v>
      </c>
      <c r="I253" t="str">
        <f>VLOOKUP(Table1[[#This Row],[Product_ID]],Product_Dim!$A$2:$G$101,2,FALSE)</f>
        <v>Yoga Exercise Mat-Sports</v>
      </c>
      <c r="J253" t="s">
        <v>1605</v>
      </c>
      <c r="K253" t="str">
        <f>VLOOKUP(Table1[[#This Row],[Store_ID]],Store_Dim!$A$3:$D$22,2,FALSE)</f>
        <v>Holloway Ltd-North</v>
      </c>
      <c r="L253" t="s">
        <v>1759</v>
      </c>
      <c r="M253" t="s">
        <v>3959</v>
      </c>
      <c r="N253" s="3">
        <v>982.45</v>
      </c>
      <c r="O253" s="4">
        <v>0.2</v>
      </c>
      <c r="P253" t="s">
        <v>1774</v>
      </c>
      <c r="Q253" s="4">
        <v>3143.84</v>
      </c>
    </row>
    <row r="254" spans="1:17" x14ac:dyDescent="0.3">
      <c r="A254" t="s">
        <v>2026</v>
      </c>
      <c r="B254" t="str">
        <f t="shared" si="3"/>
        <v>Q3</v>
      </c>
      <c r="C254" t="str">
        <f>TEXT(Table1[[#This Row],[Order_Date]],"mmmm")</f>
        <v>September</v>
      </c>
      <c r="D254">
        <f>YEAR(Table1[[#This Row],[Order_Date]])</f>
        <v>2025</v>
      </c>
      <c r="E254" s="7">
        <v>45925</v>
      </c>
      <c r="F254" s="2" t="str">
        <f>VLOOKUP(Table1[[#This Row],[Customer_ID]],Customer_Dim!$A$2:$H$501,2,FALSE)</f>
        <v>William Cortez</v>
      </c>
      <c r="G254" s="2" t="str">
        <f>_xlfn.XLOOKUP(Table1[[#This Row],[Customer_ID]],Customer_Dim!$A$2:$A$501,Customer_Dim!$E$2:$E$501)</f>
        <v>Port Hannahport</v>
      </c>
      <c r="H254" t="s">
        <v>1373</v>
      </c>
      <c r="I254" t="str">
        <f>VLOOKUP(Table1[[#This Row],[Product_ID]],Product_Dim!$A$2:$G$101,2,FALSE)</f>
        <v>Portable Bluetooth Speaker-Electronics</v>
      </c>
      <c r="J254" t="s">
        <v>1719</v>
      </c>
      <c r="K254" t="str">
        <f>VLOOKUP(Table1[[#This Row],[Store_ID]],Store_Dim!$A$3:$D$22,2,FALSE)</f>
        <v>Mann-Austin-East</v>
      </c>
      <c r="L254" t="s">
        <v>1763</v>
      </c>
      <c r="M254" t="s">
        <v>3957</v>
      </c>
      <c r="N254" s="3">
        <v>549.52</v>
      </c>
      <c r="O254" s="4">
        <v>0.1</v>
      </c>
      <c r="P254" t="s">
        <v>1774</v>
      </c>
      <c r="Q254" s="4">
        <v>494.56799999999998</v>
      </c>
    </row>
    <row r="255" spans="1:17" x14ac:dyDescent="0.3">
      <c r="A255" t="s">
        <v>2027</v>
      </c>
      <c r="B255" t="str">
        <f t="shared" si="3"/>
        <v>Q3</v>
      </c>
      <c r="C255" t="str">
        <f>TEXT(Table1[[#This Row],[Order_Date]],"mmmm")</f>
        <v>August</v>
      </c>
      <c r="D255">
        <f>YEAR(Table1[[#This Row],[Order_Date]])</f>
        <v>2025</v>
      </c>
      <c r="E255" s="7">
        <v>45876</v>
      </c>
      <c r="F255" s="2" t="str">
        <f>VLOOKUP(Table1[[#This Row],[Customer_ID]],Customer_Dim!$A$2:$H$501,2,FALSE)</f>
        <v>William Hull</v>
      </c>
      <c r="G255" s="2" t="str">
        <f>_xlfn.XLOOKUP(Table1[[#This Row],[Customer_ID]],Customer_Dim!$A$2:$A$501,Customer_Dim!$E$2:$E$501)</f>
        <v>Heathfort</v>
      </c>
      <c r="H255" t="s">
        <v>764</v>
      </c>
      <c r="I255" t="str">
        <f>VLOOKUP(Table1[[#This Row],[Product_ID]],Product_Dim!$A$2:$G$101,2,FALSE)</f>
        <v>Microwave Oven-Home</v>
      </c>
      <c r="J255" t="s">
        <v>1707</v>
      </c>
      <c r="K255" t="str">
        <f>VLOOKUP(Table1[[#This Row],[Store_ID]],Store_Dim!$A$3:$D$22,2,FALSE)</f>
        <v>Guerrero-Schmitt-East</v>
      </c>
      <c r="L255" t="s">
        <v>1761</v>
      </c>
      <c r="M255" t="s">
        <v>3960</v>
      </c>
      <c r="N255" s="3">
        <v>239.92</v>
      </c>
      <c r="O255" s="4">
        <v>0.16</v>
      </c>
      <c r="P255" t="s">
        <v>1772</v>
      </c>
      <c r="Q255" s="4">
        <v>403.06560000000002</v>
      </c>
    </row>
    <row r="256" spans="1:17" x14ac:dyDescent="0.3">
      <c r="A256" t="s">
        <v>2028</v>
      </c>
      <c r="B256" t="str">
        <f t="shared" si="3"/>
        <v>Q1</v>
      </c>
      <c r="C256" t="str">
        <f>TEXT(Table1[[#This Row],[Order_Date]],"mmmm")</f>
        <v>February</v>
      </c>
      <c r="D256">
        <f>YEAR(Table1[[#This Row],[Order_Date]])</f>
        <v>2024</v>
      </c>
      <c r="E256" s="7">
        <v>45338</v>
      </c>
      <c r="F256" s="2" t="str">
        <f>VLOOKUP(Table1[[#This Row],[Customer_ID]],Customer_Dim!$A$2:$H$501,2,FALSE)</f>
        <v>George Rosario</v>
      </c>
      <c r="G256" s="2" t="str">
        <f>_xlfn.XLOOKUP(Table1[[#This Row],[Customer_ID]],Customer_Dim!$A$2:$A$501,Customer_Dim!$E$2:$E$501)</f>
        <v>Leburgh</v>
      </c>
      <c r="H256" t="s">
        <v>295</v>
      </c>
      <c r="I256" t="str">
        <f>VLOOKUP(Table1[[#This Row],[Product_ID]],Product_Dim!$A$2:$G$101,2,FALSE)</f>
        <v>Microwave Oven-Home</v>
      </c>
      <c r="J256" t="s">
        <v>1707</v>
      </c>
      <c r="K256" t="str">
        <f>VLOOKUP(Table1[[#This Row],[Store_ID]],Store_Dim!$A$3:$D$22,2,FALSE)</f>
        <v>Benson-Elliott-East</v>
      </c>
      <c r="L256" t="s">
        <v>1740</v>
      </c>
      <c r="M256" t="s">
        <v>3960</v>
      </c>
      <c r="N256" s="3">
        <v>878.05</v>
      </c>
      <c r="O256" s="4">
        <v>0.11</v>
      </c>
      <c r="P256" t="s">
        <v>1774</v>
      </c>
      <c r="Q256" s="4">
        <v>1562.9290000000001</v>
      </c>
    </row>
    <row r="257" spans="1:17" x14ac:dyDescent="0.3">
      <c r="A257" t="s">
        <v>2029</v>
      </c>
      <c r="B257" t="str">
        <f t="shared" si="3"/>
        <v>Q1</v>
      </c>
      <c r="C257" t="str">
        <f>TEXT(Table1[[#This Row],[Order_Date]],"mmmm")</f>
        <v>March</v>
      </c>
      <c r="D257">
        <f>YEAR(Table1[[#This Row],[Order_Date]])</f>
        <v>2025</v>
      </c>
      <c r="E257" s="7">
        <v>45746</v>
      </c>
      <c r="F257" s="2" t="str">
        <f>VLOOKUP(Table1[[#This Row],[Customer_ID]],Customer_Dim!$A$2:$H$501,2,FALSE)</f>
        <v>Denise Williams</v>
      </c>
      <c r="G257" s="2" t="str">
        <f>_xlfn.XLOOKUP(Table1[[#This Row],[Customer_ID]],Customer_Dim!$A$2:$A$501,Customer_Dim!$E$2:$E$501)</f>
        <v>Christianstad</v>
      </c>
      <c r="H257" t="s">
        <v>171</v>
      </c>
      <c r="I257" t="str">
        <f>VLOOKUP(Table1[[#This Row],[Product_ID]],Product_Dim!$A$2:$G$101,2,FALSE)</f>
        <v>Men's Graphic T-Shirt-Clothing</v>
      </c>
      <c r="J257" t="s">
        <v>1525</v>
      </c>
      <c r="K257" t="str">
        <f>VLOOKUP(Table1[[#This Row],[Store_ID]],Store_Dim!$A$3:$D$22,2,FALSE)</f>
        <v>Moore, Padilla and Butler-South</v>
      </c>
      <c r="L257" t="s">
        <v>1746</v>
      </c>
      <c r="M257" t="s">
        <v>3958</v>
      </c>
      <c r="N257" s="3">
        <v>546.96</v>
      </c>
      <c r="O257" s="4">
        <v>0.19</v>
      </c>
      <c r="P257" t="s">
        <v>1772</v>
      </c>
      <c r="Q257" s="4">
        <v>1329.1128000000001</v>
      </c>
    </row>
    <row r="258" spans="1:17" x14ac:dyDescent="0.3">
      <c r="A258" t="s">
        <v>2030</v>
      </c>
      <c r="B258" t="str">
        <f t="shared" ref="B258:B321" si="4">"Q" &amp;ROUNDUP(MONTH(E258)/3,0)</f>
        <v>Q1</v>
      </c>
      <c r="C258" t="str">
        <f>TEXT(Table1[[#This Row],[Order_Date]],"mmmm")</f>
        <v>February</v>
      </c>
      <c r="D258">
        <f>YEAR(Table1[[#This Row],[Order_Date]])</f>
        <v>2025</v>
      </c>
      <c r="E258" s="7">
        <v>45706</v>
      </c>
      <c r="F258" s="2" t="str">
        <f>VLOOKUP(Table1[[#This Row],[Customer_ID]],Customer_Dim!$A$2:$H$501,2,FALSE)</f>
        <v>Debra Mccullough</v>
      </c>
      <c r="G258" s="2" t="str">
        <f>_xlfn.XLOOKUP(Table1[[#This Row],[Customer_ID]],Customer_Dim!$A$2:$A$501,Customer_Dim!$E$2:$E$501)</f>
        <v>Mcdanielfurt</v>
      </c>
      <c r="H258" t="s">
        <v>1436</v>
      </c>
      <c r="I258" t="str">
        <f>VLOOKUP(Table1[[#This Row],[Product_ID]],Product_Dim!$A$2:$G$101,2,FALSE)</f>
        <v>Soccer Training Cone Set-Sports</v>
      </c>
      <c r="J258" t="s">
        <v>1557</v>
      </c>
      <c r="K258" t="str">
        <f>VLOOKUP(Table1[[#This Row],[Store_ID]],Store_Dim!$A$3:$D$22,2,FALSE)</f>
        <v>Hill, Wagner and Ballard-East</v>
      </c>
      <c r="L258" t="s">
        <v>1748</v>
      </c>
      <c r="M258" t="s">
        <v>3960</v>
      </c>
      <c r="N258" s="3">
        <v>71.77</v>
      </c>
      <c r="O258" s="4">
        <v>0.22</v>
      </c>
      <c r="P258" t="s">
        <v>1772</v>
      </c>
      <c r="Q258" s="4">
        <v>111.96120000000001</v>
      </c>
    </row>
    <row r="259" spans="1:17" x14ac:dyDescent="0.3">
      <c r="A259" t="s">
        <v>2031</v>
      </c>
      <c r="B259" t="str">
        <f t="shared" si="4"/>
        <v>Q1</v>
      </c>
      <c r="C259" t="str">
        <f>TEXT(Table1[[#This Row],[Order_Date]],"mmmm")</f>
        <v>March</v>
      </c>
      <c r="D259">
        <f>YEAR(Table1[[#This Row],[Order_Date]])</f>
        <v>2025</v>
      </c>
      <c r="E259" s="7">
        <v>45717</v>
      </c>
      <c r="F259" s="2" t="str">
        <f>VLOOKUP(Table1[[#This Row],[Customer_ID]],Customer_Dim!$A$2:$H$501,2,FALSE)</f>
        <v>Nathan Hernandez</v>
      </c>
      <c r="G259" s="2" t="str">
        <f>_xlfn.XLOOKUP(Table1[[#This Row],[Customer_ID]],Customer_Dim!$A$2:$A$501,Customer_Dim!$E$2:$E$501)</f>
        <v>New Becky</v>
      </c>
      <c r="H259" t="s">
        <v>63</v>
      </c>
      <c r="I259" t="str">
        <f>VLOOKUP(Table1[[#This Row],[Product_ID]],Product_Dim!$A$2:$G$101,2,FALSE)</f>
        <v>Foldable Camping Chair-Sports</v>
      </c>
      <c r="J259" t="s">
        <v>1571</v>
      </c>
      <c r="K259" t="str">
        <f>VLOOKUP(Table1[[#This Row],[Store_ID]],Store_Dim!$A$3:$D$22,2,FALSE)</f>
        <v>Martinez, Adkins and Johnson-North</v>
      </c>
      <c r="L259" t="s">
        <v>1728</v>
      </c>
      <c r="M259" t="s">
        <v>3960</v>
      </c>
      <c r="N259" s="3">
        <v>679.86</v>
      </c>
      <c r="O259" s="4">
        <v>0.22</v>
      </c>
      <c r="P259" t="s">
        <v>1777</v>
      </c>
      <c r="Q259" s="4">
        <v>1060.5816</v>
      </c>
    </row>
    <row r="260" spans="1:17" x14ac:dyDescent="0.3">
      <c r="A260" t="s">
        <v>2032</v>
      </c>
      <c r="B260" t="str">
        <f t="shared" si="4"/>
        <v>Q1</v>
      </c>
      <c r="C260" t="str">
        <f>TEXT(Table1[[#This Row],[Order_Date]],"mmmm")</f>
        <v>January</v>
      </c>
      <c r="D260">
        <f>YEAR(Table1[[#This Row],[Order_Date]])</f>
        <v>2024</v>
      </c>
      <c r="E260" s="7">
        <v>45300</v>
      </c>
      <c r="F260" s="2" t="str">
        <f>VLOOKUP(Table1[[#This Row],[Customer_ID]],Customer_Dim!$A$2:$H$501,2,FALSE)</f>
        <v>Patrick Coleman</v>
      </c>
      <c r="G260" s="2" t="str">
        <f>_xlfn.XLOOKUP(Table1[[#This Row],[Customer_ID]],Customer_Dim!$A$2:$A$501,Customer_Dim!$E$2:$E$501)</f>
        <v>New Jeffrey</v>
      </c>
      <c r="H260" t="s">
        <v>459</v>
      </c>
      <c r="I260" t="str">
        <f>VLOOKUP(Table1[[#This Row],[Product_ID]],Product_Dim!$A$2:$G$101,2,FALSE)</f>
        <v>Bedroom Table Lamp-Home</v>
      </c>
      <c r="J260" t="s">
        <v>1593</v>
      </c>
      <c r="K260" t="str">
        <f>VLOOKUP(Table1[[#This Row],[Store_ID]],Store_Dim!$A$3:$D$22,2,FALSE)</f>
        <v>Holloway Ltd-North</v>
      </c>
      <c r="L260" t="s">
        <v>1759</v>
      </c>
      <c r="M260" t="s">
        <v>3957</v>
      </c>
      <c r="N260" s="3">
        <v>222.94</v>
      </c>
      <c r="O260" s="4">
        <v>0.19</v>
      </c>
      <c r="P260" t="s">
        <v>1772</v>
      </c>
      <c r="Q260" s="4">
        <v>180.5814</v>
      </c>
    </row>
    <row r="261" spans="1:17" x14ac:dyDescent="0.3">
      <c r="A261" t="s">
        <v>2033</v>
      </c>
      <c r="B261" t="str">
        <f t="shared" si="4"/>
        <v>Q2</v>
      </c>
      <c r="C261" t="str">
        <f>TEXT(Table1[[#This Row],[Order_Date]],"mmmm")</f>
        <v>April</v>
      </c>
      <c r="D261">
        <f>YEAR(Table1[[#This Row],[Order_Date]])</f>
        <v>2025</v>
      </c>
      <c r="E261" s="7">
        <v>45773</v>
      </c>
      <c r="F261" s="2" t="str">
        <f>VLOOKUP(Table1[[#This Row],[Customer_ID]],Customer_Dim!$A$2:$H$501,2,FALSE)</f>
        <v>Nicholas Webb</v>
      </c>
      <c r="G261" s="2" t="str">
        <f>_xlfn.XLOOKUP(Table1[[#This Row],[Customer_ID]],Customer_Dim!$A$2:$A$501,Customer_Dim!$E$2:$E$501)</f>
        <v>Lake Timothy</v>
      </c>
      <c r="H261" t="s">
        <v>788</v>
      </c>
      <c r="I261" t="str">
        <f>VLOOKUP(Table1[[#This Row],[Product_ID]],Product_Dim!$A$2:$G$101,2,FALSE)</f>
        <v>Bedroom Table Lamp-Home</v>
      </c>
      <c r="J261" t="s">
        <v>1593</v>
      </c>
      <c r="K261" t="str">
        <f>VLOOKUP(Table1[[#This Row],[Store_ID]],Store_Dim!$A$3:$D$22,2,FALSE)</f>
        <v>Black-Horn-South</v>
      </c>
      <c r="L261" t="s">
        <v>1730</v>
      </c>
      <c r="M261" t="s">
        <v>3960</v>
      </c>
      <c r="N261" s="3">
        <v>355.3</v>
      </c>
      <c r="O261" s="4">
        <v>0.15010465116279081</v>
      </c>
      <c r="P261" t="s">
        <v>1774</v>
      </c>
      <c r="Q261" s="4">
        <v>589.798</v>
      </c>
    </row>
    <row r="262" spans="1:17" x14ac:dyDescent="0.3">
      <c r="A262" t="s">
        <v>2034</v>
      </c>
      <c r="B262" t="str">
        <f t="shared" si="4"/>
        <v>Q3</v>
      </c>
      <c r="C262" t="str">
        <f>TEXT(Table1[[#This Row],[Order_Date]],"mmmm")</f>
        <v>July</v>
      </c>
      <c r="D262">
        <f>YEAR(Table1[[#This Row],[Order_Date]])</f>
        <v>2024</v>
      </c>
      <c r="E262" s="7">
        <v>45497</v>
      </c>
      <c r="F262" s="2" t="str">
        <f>VLOOKUP(Table1[[#This Row],[Customer_ID]],Customer_Dim!$A$2:$H$501,2,FALSE)</f>
        <v>Steven Stein</v>
      </c>
      <c r="G262" s="2" t="str">
        <f>_xlfn.XLOOKUP(Table1[[#This Row],[Customer_ID]],Customer_Dim!$A$2:$A$501,Customer_Dim!$E$2:$E$501)</f>
        <v>West Lauren</v>
      </c>
      <c r="H262" t="s">
        <v>361</v>
      </c>
      <c r="I262" t="str">
        <f>VLOOKUP(Table1[[#This Row],[Product_ID]],Product_Dim!$A$2:$G$101,2,FALSE)</f>
        <v>Face Foundation Kit-Beauty</v>
      </c>
      <c r="J262" t="s">
        <v>1701</v>
      </c>
      <c r="K262" t="str">
        <f>VLOOKUP(Table1[[#This Row],[Store_ID]],Store_Dim!$A$3:$D$22,2,FALSE)</f>
        <v>Mann-Austin-East</v>
      </c>
      <c r="L262" t="s">
        <v>1763</v>
      </c>
      <c r="M262" t="s">
        <v>3959</v>
      </c>
      <c r="N262" s="3">
        <v>611.29999999999995</v>
      </c>
      <c r="O262" s="4">
        <v>0.11</v>
      </c>
      <c r="P262" t="s">
        <v>1774</v>
      </c>
      <c r="Q262" s="4">
        <v>2176.2280000000001</v>
      </c>
    </row>
    <row r="263" spans="1:17" x14ac:dyDescent="0.3">
      <c r="A263" t="s">
        <v>2035</v>
      </c>
      <c r="B263" t="str">
        <f t="shared" si="4"/>
        <v>Q1</v>
      </c>
      <c r="C263" t="str">
        <f>TEXT(Table1[[#This Row],[Order_Date]],"mmmm")</f>
        <v>March</v>
      </c>
      <c r="D263">
        <f>YEAR(Table1[[#This Row],[Order_Date]])</f>
        <v>2025</v>
      </c>
      <c r="E263" s="7">
        <v>45742</v>
      </c>
      <c r="F263" s="2" t="str">
        <f>VLOOKUP(Table1[[#This Row],[Customer_ID]],Customer_Dim!$A$2:$H$501,2,FALSE)</f>
        <v>Teresa Johnson</v>
      </c>
      <c r="G263" s="2" t="str">
        <f>_xlfn.XLOOKUP(Table1[[#This Row],[Customer_ID]],Customer_Dim!$A$2:$A$501,Customer_Dim!$E$2:$E$501)</f>
        <v>Johnsonbury</v>
      </c>
      <c r="H263" t="s">
        <v>1036</v>
      </c>
      <c r="I263" t="str">
        <f>VLOOKUP(Table1[[#This Row],[Product_ID]],Product_Dim!$A$2:$G$101,2,FALSE)</f>
        <v>Brother Laser Printer-Electronics</v>
      </c>
      <c r="J263" t="s">
        <v>1523</v>
      </c>
      <c r="K263" t="str">
        <f>VLOOKUP(Table1[[#This Row],[Store_ID]],Store_Dim!$A$3:$D$22,2,FALSE)</f>
        <v>Bean, Jones and Park-West</v>
      </c>
      <c r="L263" t="s">
        <v>1744</v>
      </c>
      <c r="M263" t="s">
        <v>3959</v>
      </c>
      <c r="N263" s="3">
        <v>849.21</v>
      </c>
      <c r="O263" s="4">
        <v>7.0000000000000007E-2</v>
      </c>
      <c r="P263" t="s">
        <v>1772</v>
      </c>
      <c r="Q263" s="4">
        <v>3159.0612000000001</v>
      </c>
    </row>
    <row r="264" spans="1:17" x14ac:dyDescent="0.3">
      <c r="A264" t="s">
        <v>2036</v>
      </c>
      <c r="B264" t="str">
        <f t="shared" si="4"/>
        <v>Q1</v>
      </c>
      <c r="C264" t="str">
        <f>TEXT(Table1[[#This Row],[Order_Date]],"mmmm")</f>
        <v>February</v>
      </c>
      <c r="D264">
        <f>YEAR(Table1[[#This Row],[Order_Date]])</f>
        <v>2025</v>
      </c>
      <c r="E264" s="7">
        <v>45713</v>
      </c>
      <c r="F264" s="2" t="str">
        <f>VLOOKUP(Table1[[#This Row],[Customer_ID]],Customer_Dim!$A$2:$H$501,2,FALSE)</f>
        <v>Joan Johnson</v>
      </c>
      <c r="G264" s="2" t="str">
        <f>_xlfn.XLOOKUP(Table1[[#This Row],[Customer_ID]],Customer_Dim!$A$2:$A$501,Customer_Dim!$E$2:$E$501)</f>
        <v>Lake Josephport</v>
      </c>
      <c r="H264" t="s">
        <v>675</v>
      </c>
      <c r="I264" t="str">
        <f>VLOOKUP(Table1[[#This Row],[Product_ID]],Product_Dim!$A$2:$G$101,2,FALSE)</f>
        <v>Smart Home WiFi Camera-Electronics</v>
      </c>
      <c r="J264" t="s">
        <v>1607</v>
      </c>
      <c r="K264" t="str">
        <f>VLOOKUP(Table1[[#This Row],[Store_ID]],Store_Dim!$A$3:$D$22,2,FALSE)</f>
        <v>Martinez-Mullins-South</v>
      </c>
      <c r="L264" t="s">
        <v>1742</v>
      </c>
      <c r="M264" t="s">
        <v>3958</v>
      </c>
      <c r="N264" s="3">
        <v>553.12</v>
      </c>
      <c r="O264" s="4">
        <v>0.28000000000000003</v>
      </c>
      <c r="P264" t="s">
        <v>1777</v>
      </c>
      <c r="Q264" s="4">
        <v>1194.7392</v>
      </c>
    </row>
    <row r="265" spans="1:17" x14ac:dyDescent="0.3">
      <c r="A265" t="s">
        <v>2037</v>
      </c>
      <c r="B265" t="str">
        <f t="shared" si="4"/>
        <v>Q2</v>
      </c>
      <c r="C265" t="str">
        <f>TEXT(Table1[[#This Row],[Order_Date]],"mmmm")</f>
        <v>June</v>
      </c>
      <c r="D265">
        <f>YEAR(Table1[[#This Row],[Order_Date]])</f>
        <v>2025</v>
      </c>
      <c r="E265" s="7">
        <v>45826</v>
      </c>
      <c r="F265" s="2" t="str">
        <f>VLOOKUP(Table1[[#This Row],[Customer_ID]],Customer_Dim!$A$2:$H$501,2,FALSE)</f>
        <v>Kristi Lopez</v>
      </c>
      <c r="G265" s="2" t="str">
        <f>_xlfn.XLOOKUP(Table1[[#This Row],[Customer_ID]],Customer_Dim!$A$2:$A$501,Customer_Dim!$E$2:$E$501)</f>
        <v>Spencermouth</v>
      </c>
      <c r="H265" t="s">
        <v>888</v>
      </c>
      <c r="I265" t="str">
        <f>VLOOKUP(Table1[[#This Row],[Product_ID]],Product_Dim!$A$2:$G$101,2,FALSE)</f>
        <v>Women's High Heels-Clothing</v>
      </c>
      <c r="J265" t="s">
        <v>1705</v>
      </c>
      <c r="K265" t="str">
        <f>VLOOKUP(Table1[[#This Row],[Store_ID]],Store_Dim!$A$3:$D$22,2,FALSE)</f>
        <v>Moore, Padilla and Butler-South</v>
      </c>
      <c r="L265" t="s">
        <v>1746</v>
      </c>
      <c r="M265" t="s">
        <v>3960</v>
      </c>
      <c r="N265" s="3">
        <v>903.08</v>
      </c>
      <c r="O265" s="4">
        <v>0.18</v>
      </c>
      <c r="P265" t="s">
        <v>1777</v>
      </c>
      <c r="Q265" s="4">
        <v>1481.0512000000001</v>
      </c>
    </row>
    <row r="266" spans="1:17" x14ac:dyDescent="0.3">
      <c r="A266" t="s">
        <v>2038</v>
      </c>
      <c r="B266" t="str">
        <f t="shared" si="4"/>
        <v>Q4</v>
      </c>
      <c r="C266" t="str">
        <f>TEXT(Table1[[#This Row],[Order_Date]],"mmmm")</f>
        <v>December</v>
      </c>
      <c r="D266">
        <f>YEAR(Table1[[#This Row],[Order_Date]])</f>
        <v>2024</v>
      </c>
      <c r="E266" s="7">
        <v>45648</v>
      </c>
      <c r="F266" s="2" t="str">
        <f>VLOOKUP(Table1[[#This Row],[Customer_ID]],Customer_Dim!$A$2:$H$501,2,FALSE)</f>
        <v>Earl Smith Dds</v>
      </c>
      <c r="G266" s="2" t="str">
        <f>_xlfn.XLOOKUP(Table1[[#This Row],[Customer_ID]],Customer_Dim!$A$2:$A$501,Customer_Dim!$E$2:$E$501)</f>
        <v>West Sarah</v>
      </c>
      <c r="H266" t="s">
        <v>1456</v>
      </c>
      <c r="I266" t="str">
        <f>VLOOKUP(Table1[[#This Row],[Product_ID]],Product_Dim!$A$2:$G$101,2,FALSE)</f>
        <v>Beard Grooming Kit-Beauty</v>
      </c>
      <c r="J266" t="s">
        <v>1555</v>
      </c>
      <c r="K266" t="str">
        <f>VLOOKUP(Table1[[#This Row],[Store_ID]],Store_Dim!$A$3:$D$22,2,FALSE)</f>
        <v>Aguirre-Keller-South</v>
      </c>
      <c r="L266" t="s">
        <v>1750</v>
      </c>
      <c r="M266" t="s">
        <v>3959</v>
      </c>
      <c r="N266" s="3">
        <v>640.23</v>
      </c>
      <c r="O266" s="4">
        <v>0.06</v>
      </c>
      <c r="P266" t="s">
        <v>1777</v>
      </c>
      <c r="Q266" s="4">
        <v>2407.2647999999999</v>
      </c>
    </row>
    <row r="267" spans="1:17" x14ac:dyDescent="0.3">
      <c r="A267" t="s">
        <v>2039</v>
      </c>
      <c r="B267" t="str">
        <f t="shared" si="4"/>
        <v>Q2</v>
      </c>
      <c r="C267" t="str">
        <f>TEXT(Table1[[#This Row],[Order_Date]],"mmmm")</f>
        <v>June</v>
      </c>
      <c r="D267">
        <f>YEAR(Table1[[#This Row],[Order_Date]])</f>
        <v>2025</v>
      </c>
      <c r="E267" s="7">
        <v>45836</v>
      </c>
      <c r="F267" s="2" t="str">
        <f>VLOOKUP(Table1[[#This Row],[Customer_ID]],Customer_Dim!$A$2:$H$501,2,FALSE)</f>
        <v>Cristian Wright</v>
      </c>
      <c r="G267" s="2" t="str">
        <f>_xlfn.XLOOKUP(Table1[[#This Row],[Customer_ID]],Customer_Dim!$A$2:$A$501,Customer_Dim!$E$2:$E$501)</f>
        <v>Port Denise</v>
      </c>
      <c r="H267" t="s">
        <v>473</v>
      </c>
      <c r="I267" t="str">
        <f>VLOOKUP(Table1[[#This Row],[Product_ID]],Product_Dim!$A$2:$G$101,2,FALSE)</f>
        <v>Multi-Purpose Storage Box-Home</v>
      </c>
      <c r="J267" t="s">
        <v>1565</v>
      </c>
      <c r="K267" t="str">
        <f>VLOOKUP(Table1[[#This Row],[Store_ID]],Store_Dim!$A$3:$D$22,2,FALSE)</f>
        <v>Benson-Elliott-East</v>
      </c>
      <c r="L267" t="s">
        <v>1740</v>
      </c>
      <c r="M267" t="s">
        <v>3957</v>
      </c>
      <c r="N267" s="3">
        <v>518</v>
      </c>
      <c r="O267" s="4">
        <v>0.25</v>
      </c>
      <c r="P267" t="s">
        <v>1772</v>
      </c>
      <c r="Q267" s="4">
        <v>388.5</v>
      </c>
    </row>
    <row r="268" spans="1:17" x14ac:dyDescent="0.3">
      <c r="A268" t="s">
        <v>2040</v>
      </c>
      <c r="B268" t="str">
        <f t="shared" si="4"/>
        <v>Q2</v>
      </c>
      <c r="C268" t="str">
        <f>TEXT(Table1[[#This Row],[Order_Date]],"mmmm")</f>
        <v>May</v>
      </c>
      <c r="D268">
        <f>YEAR(Table1[[#This Row],[Order_Date]])</f>
        <v>2024</v>
      </c>
      <c r="E268" s="7">
        <v>45437</v>
      </c>
      <c r="F268" s="2" t="str">
        <f>VLOOKUP(Table1[[#This Row],[Customer_ID]],Customer_Dim!$A$2:$H$501,2,FALSE)</f>
        <v>Thomas Moore</v>
      </c>
      <c r="G268" s="2" t="str">
        <f>_xlfn.XLOOKUP(Table1[[#This Row],[Customer_ID]],Customer_Dim!$A$2:$A$501,Customer_Dim!$E$2:$E$501)</f>
        <v>Williamsberg</v>
      </c>
      <c r="H268" t="s">
        <v>1327</v>
      </c>
      <c r="I268" t="str">
        <f>VLOOKUP(Table1[[#This Row],[Product_ID]],Product_Dim!$A$2:$G$101,2,FALSE)</f>
        <v>Matte Lipstick Set-Beauty</v>
      </c>
      <c r="J268" t="s">
        <v>1651</v>
      </c>
      <c r="K268" t="str">
        <f>VLOOKUP(Table1[[#This Row],[Store_ID]],Store_Dim!$A$3:$D$22,2,FALSE)</f>
        <v>Alexander Group-South</v>
      </c>
      <c r="L268" t="s">
        <v>1735</v>
      </c>
      <c r="M268" t="s">
        <v>3959</v>
      </c>
      <c r="N268" s="3">
        <v>779.25</v>
      </c>
      <c r="O268" s="4">
        <v>0.25</v>
      </c>
      <c r="P268" t="s">
        <v>1772</v>
      </c>
      <c r="Q268" s="4">
        <v>2337.75</v>
      </c>
    </row>
    <row r="269" spans="1:17" x14ac:dyDescent="0.3">
      <c r="A269" t="s">
        <v>2041</v>
      </c>
      <c r="B269" t="str">
        <f t="shared" si="4"/>
        <v>Q2</v>
      </c>
      <c r="C269" t="str">
        <f>TEXT(Table1[[#This Row],[Order_Date]],"mmmm")</f>
        <v>May</v>
      </c>
      <c r="D269">
        <f>YEAR(Table1[[#This Row],[Order_Date]])</f>
        <v>2025</v>
      </c>
      <c r="E269" s="7">
        <v>45807</v>
      </c>
      <c r="F269" s="2" t="str">
        <f>VLOOKUP(Table1[[#This Row],[Customer_ID]],Customer_Dim!$A$2:$H$501,2,FALSE)</f>
        <v>Earl Allen</v>
      </c>
      <c r="G269" s="2" t="str">
        <f>_xlfn.XLOOKUP(Table1[[#This Row],[Customer_ID]],Customer_Dim!$A$2:$A$501,Customer_Dim!$E$2:$E$501)</f>
        <v>New Jenniferburgh</v>
      </c>
      <c r="H269" t="s">
        <v>406</v>
      </c>
      <c r="I269" t="str">
        <f>VLOOKUP(Table1[[#This Row],[Product_ID]],Product_Dim!$A$2:$G$101,2,FALSE)</f>
        <v>Hydrating Face Cleanser-Beauty</v>
      </c>
      <c r="J269" t="s">
        <v>1689</v>
      </c>
      <c r="K269" t="str">
        <f>VLOOKUP(Table1[[#This Row],[Store_ID]],Store_Dim!$A$3:$D$22,2,FALSE)</f>
        <v>Martinez-Mullins-South</v>
      </c>
      <c r="L269" t="s">
        <v>1742</v>
      </c>
      <c r="M269" t="s">
        <v>3960</v>
      </c>
      <c r="N269" s="3">
        <v>467.75</v>
      </c>
      <c r="O269" s="4">
        <v>0.26</v>
      </c>
      <c r="P269" t="s">
        <v>1772</v>
      </c>
      <c r="Q269" s="4">
        <v>692.27</v>
      </c>
    </row>
    <row r="270" spans="1:17" x14ac:dyDescent="0.3">
      <c r="A270" t="s">
        <v>2042</v>
      </c>
      <c r="B270" t="str">
        <f t="shared" si="4"/>
        <v>Q3</v>
      </c>
      <c r="C270" t="str">
        <f>TEXT(Table1[[#This Row],[Order_Date]],"mmmm")</f>
        <v>September</v>
      </c>
      <c r="D270">
        <f>YEAR(Table1[[#This Row],[Order_Date]])</f>
        <v>2024</v>
      </c>
      <c r="E270" s="7">
        <v>45555</v>
      </c>
      <c r="F270" s="2" t="str">
        <f>VLOOKUP(Table1[[#This Row],[Customer_ID]],Customer_Dim!$A$2:$H$501,2,FALSE)</f>
        <v>David Lozano</v>
      </c>
      <c r="G270" s="2" t="str">
        <f>_xlfn.XLOOKUP(Table1[[#This Row],[Customer_ID]],Customer_Dim!$A$2:$A$501,Customer_Dim!$E$2:$E$501)</f>
        <v>North Michaelfurt</v>
      </c>
      <c r="H270" t="s">
        <v>1249</v>
      </c>
      <c r="I270" t="str">
        <f>VLOOKUP(Table1[[#This Row],[Product_ID]],Product_Dim!$A$2:$G$101,2,FALSE)</f>
        <v>Gaming Mouse Pad XL-Electronics</v>
      </c>
      <c r="J270" t="s">
        <v>1703</v>
      </c>
      <c r="K270" t="str">
        <f>VLOOKUP(Table1[[#This Row],[Store_ID]],Store_Dim!$A$3:$D$22,2,FALSE)</f>
        <v>Guerrero-Schmitt-East</v>
      </c>
      <c r="L270" t="s">
        <v>1761</v>
      </c>
      <c r="M270" t="s">
        <v>3958</v>
      </c>
      <c r="N270" s="3">
        <v>510.1924321201617</v>
      </c>
      <c r="O270" s="4">
        <v>0.06</v>
      </c>
      <c r="P270" t="s">
        <v>1772</v>
      </c>
      <c r="Q270" s="4">
        <v>315.24779999999998</v>
      </c>
    </row>
    <row r="271" spans="1:17" x14ac:dyDescent="0.3">
      <c r="A271" t="s">
        <v>2043</v>
      </c>
      <c r="B271" t="str">
        <f t="shared" si="4"/>
        <v>Q2</v>
      </c>
      <c r="C271" t="str">
        <f>TEXT(Table1[[#This Row],[Order_Date]],"mmmm")</f>
        <v>May</v>
      </c>
      <c r="D271">
        <f>YEAR(Table1[[#This Row],[Order_Date]])</f>
        <v>2025</v>
      </c>
      <c r="E271" s="7">
        <v>45803</v>
      </c>
      <c r="F271" s="2" t="str">
        <f>VLOOKUP(Table1[[#This Row],[Customer_ID]],Customer_Dim!$A$2:$H$501,2,FALSE)</f>
        <v>Jordan Wells</v>
      </c>
      <c r="G271" s="2" t="str">
        <f>_xlfn.XLOOKUP(Table1[[#This Row],[Customer_ID]],Customer_Dim!$A$2:$A$501,Customer_Dim!$E$2:$E$501)</f>
        <v xml:space="preserve">Phillipschester   </v>
      </c>
      <c r="H271" t="s">
        <v>705</v>
      </c>
      <c r="I271" t="str">
        <f>VLOOKUP(Table1[[#This Row],[Product_ID]],Product_Dim!$A$2:$G$101,2,FALSE)</f>
        <v>Men's Casual Sneakers-Clothing</v>
      </c>
      <c r="J271" t="s">
        <v>1597</v>
      </c>
      <c r="K271" t="str">
        <f>VLOOKUP(Table1[[#This Row],[Store_ID]],Store_Dim!$A$3:$D$22,2,FALSE)</f>
        <v>Rivera-Warner-East</v>
      </c>
      <c r="L271" t="s">
        <v>1725</v>
      </c>
      <c r="M271" t="s">
        <v>3959</v>
      </c>
      <c r="N271" s="3">
        <v>747.01</v>
      </c>
      <c r="O271" s="4">
        <v>0.13</v>
      </c>
      <c r="P271" t="s">
        <v>1774</v>
      </c>
      <c r="Q271" s="4">
        <v>2599.5947999999999</v>
      </c>
    </row>
    <row r="272" spans="1:17" x14ac:dyDescent="0.3">
      <c r="A272" t="s">
        <v>2044</v>
      </c>
      <c r="B272" t="str">
        <f t="shared" si="4"/>
        <v>Q1</v>
      </c>
      <c r="C272" t="str">
        <f>TEXT(Table1[[#This Row],[Order_Date]],"mmmm")</f>
        <v>March</v>
      </c>
      <c r="D272">
        <f>YEAR(Table1[[#This Row],[Order_Date]])</f>
        <v>2025</v>
      </c>
      <c r="E272" s="7">
        <v>45735</v>
      </c>
      <c r="F272" s="2" t="str">
        <f>VLOOKUP(Table1[[#This Row],[Customer_ID]],Customer_Dim!$A$2:$H$501,2,FALSE)</f>
        <v>Colleen Maynard</v>
      </c>
      <c r="G272" s="2" t="str">
        <f>_xlfn.XLOOKUP(Table1[[#This Row],[Customer_ID]],Customer_Dim!$A$2:$A$501,Customer_Dim!$E$2:$E$501)</f>
        <v>Singletonmouth</v>
      </c>
      <c r="H272" t="s">
        <v>355</v>
      </c>
      <c r="I272" t="str">
        <f>VLOOKUP(Table1[[#This Row],[Product_ID]],Product_Dim!$A$2:$G$101,2,FALSE)</f>
        <v>Face Foundation Kit-Beauty</v>
      </c>
      <c r="J272" t="s">
        <v>1701</v>
      </c>
      <c r="K272" t="str">
        <f>VLOOKUP(Table1[[#This Row],[Store_ID]],Store_Dim!$A$3:$D$22,2,FALSE)</f>
        <v>Thomas, Bridges and Harris-North</v>
      </c>
      <c r="L272" t="s">
        <v>1751</v>
      </c>
      <c r="M272" t="s">
        <v>3959</v>
      </c>
      <c r="N272" s="3">
        <v>461.83</v>
      </c>
      <c r="O272" s="4">
        <v>0.28000000000000003</v>
      </c>
      <c r="P272" t="s">
        <v>1774</v>
      </c>
      <c r="Q272" s="4">
        <v>1330.0704000000001</v>
      </c>
    </row>
    <row r="273" spans="1:17" x14ac:dyDescent="0.3">
      <c r="A273" t="s">
        <v>2045</v>
      </c>
      <c r="B273" t="str">
        <f t="shared" si="4"/>
        <v>Q2</v>
      </c>
      <c r="C273" t="str">
        <f>TEXT(Table1[[#This Row],[Order_Date]],"mmmm")</f>
        <v>April</v>
      </c>
      <c r="D273">
        <f>YEAR(Table1[[#This Row],[Order_Date]])</f>
        <v>2025</v>
      </c>
      <c r="E273" s="7">
        <v>45750</v>
      </c>
      <c r="F273" s="2" t="str">
        <f>VLOOKUP(Table1[[#This Row],[Customer_ID]],Customer_Dim!$A$2:$H$501,2,FALSE)</f>
        <v>Morgan Bowen</v>
      </c>
      <c r="G273" s="2" t="str">
        <f>_xlfn.XLOOKUP(Table1[[#This Row],[Customer_ID]],Customer_Dim!$A$2:$A$501,Customer_Dim!$E$2:$E$501)</f>
        <v>Parksfort</v>
      </c>
      <c r="H273" t="s">
        <v>453</v>
      </c>
      <c r="I273" t="str">
        <f>VLOOKUP(Table1[[#This Row],[Product_ID]],Product_Dim!$A$2:$G$101,2,FALSE)</f>
        <v>Kitchen Storage Rack-Home</v>
      </c>
      <c r="J273" t="s">
        <v>1663</v>
      </c>
      <c r="K273" t="str">
        <f>VLOOKUP(Table1[[#This Row],[Store_ID]],Store_Dim!$A$3:$D$22,2,FALSE)</f>
        <v>Bean, Jones and Park-West</v>
      </c>
      <c r="L273" t="s">
        <v>1744</v>
      </c>
      <c r="M273" t="s">
        <v>3960</v>
      </c>
      <c r="N273" s="3">
        <v>105.15</v>
      </c>
      <c r="O273" s="4">
        <v>0.06</v>
      </c>
      <c r="P273" t="s">
        <v>1772</v>
      </c>
      <c r="Q273" s="4">
        <v>197.68199999999999</v>
      </c>
    </row>
    <row r="274" spans="1:17" x14ac:dyDescent="0.3">
      <c r="A274" t="s">
        <v>2046</v>
      </c>
      <c r="B274" t="str">
        <f t="shared" si="4"/>
        <v>Q1</v>
      </c>
      <c r="C274" t="str">
        <f>TEXT(Table1[[#This Row],[Order_Date]],"mmmm")</f>
        <v>February</v>
      </c>
      <c r="D274">
        <f>YEAR(Table1[[#This Row],[Order_Date]])</f>
        <v>2025</v>
      </c>
      <c r="E274" s="7">
        <v>45693</v>
      </c>
      <c r="F274" s="2" t="str">
        <f>VLOOKUP(Table1[[#This Row],[Customer_ID]],Customer_Dim!$A$2:$H$501,2,FALSE)</f>
        <v>Robert Jones Dds</v>
      </c>
      <c r="G274" s="2" t="str">
        <f>_xlfn.XLOOKUP(Table1[[#This Row],[Customer_ID]],Customer_Dim!$A$2:$A$501,Customer_Dim!$E$2:$E$501)</f>
        <v>Tristanton</v>
      </c>
      <c r="H274" t="s">
        <v>134</v>
      </c>
      <c r="I274" t="str">
        <f>VLOOKUP(Table1[[#This Row],[Product_ID]],Product_Dim!$A$2:$G$101,2,FALSE)</f>
        <v>Men's Formal Shirt-Clothing</v>
      </c>
      <c r="J274" t="s">
        <v>1569</v>
      </c>
      <c r="K274" t="str">
        <f>VLOOKUP(Table1[[#This Row],[Store_ID]],Store_Dim!$A$3:$D$22,2,FALSE)</f>
        <v>Johnson-Wright-North</v>
      </c>
      <c r="L274" t="s">
        <v>1733</v>
      </c>
      <c r="M274" t="s">
        <v>3958</v>
      </c>
      <c r="N274" s="3">
        <v>610.24</v>
      </c>
      <c r="O274" s="4">
        <v>0.17</v>
      </c>
      <c r="P274" t="s">
        <v>1777</v>
      </c>
      <c r="Q274" s="4">
        <v>1519.4975999999999</v>
      </c>
    </row>
    <row r="275" spans="1:17" x14ac:dyDescent="0.3">
      <c r="A275" t="s">
        <v>2047</v>
      </c>
      <c r="B275" t="str">
        <f t="shared" si="4"/>
        <v>Q1</v>
      </c>
      <c r="C275" t="str">
        <f>TEXT(Table1[[#This Row],[Order_Date]],"mmmm")</f>
        <v>January</v>
      </c>
      <c r="D275">
        <f>YEAR(Table1[[#This Row],[Order_Date]])</f>
        <v>2025</v>
      </c>
      <c r="E275" s="7">
        <v>45667</v>
      </c>
      <c r="F275" s="2" t="str">
        <f>VLOOKUP(Table1[[#This Row],[Customer_ID]],Customer_Dim!$A$2:$H$501,2,FALSE)</f>
        <v>Jason Mullins</v>
      </c>
      <c r="G275" s="2" t="str">
        <f>_xlfn.XLOOKUP(Table1[[#This Row],[Customer_ID]],Customer_Dim!$A$2:$A$501,Customer_Dim!$E$2:$E$501)</f>
        <v>Brianchester</v>
      </c>
      <c r="H275" t="s">
        <v>974</v>
      </c>
      <c r="I275" t="str">
        <f>VLOOKUP(Table1[[#This Row],[Product_ID]],Product_Dim!$A$2:$G$101,2,FALSE)</f>
        <v>Bluetooth Car Audio System-Electronics</v>
      </c>
      <c r="J275" t="s">
        <v>1671</v>
      </c>
      <c r="K275" t="str">
        <f>VLOOKUP(Table1[[#This Row],[Store_ID]],Store_Dim!$A$3:$D$22,2,FALSE)</f>
        <v>Bean, Jones and Park-West</v>
      </c>
      <c r="L275" t="s">
        <v>1744</v>
      </c>
      <c r="M275" t="s">
        <v>3957</v>
      </c>
      <c r="N275" s="3">
        <v>872.12</v>
      </c>
      <c r="O275" s="4">
        <v>7.0000000000000007E-2</v>
      </c>
      <c r="P275" t="s">
        <v>1774</v>
      </c>
      <c r="Q275" s="4">
        <v>811.07159999999999</v>
      </c>
    </row>
    <row r="276" spans="1:17" x14ac:dyDescent="0.3">
      <c r="A276" t="s">
        <v>2048</v>
      </c>
      <c r="B276" t="str">
        <f t="shared" si="4"/>
        <v>Q1</v>
      </c>
      <c r="C276" t="str">
        <f>TEXT(Table1[[#This Row],[Order_Date]],"mmmm")</f>
        <v>January</v>
      </c>
      <c r="D276">
        <f>YEAR(Table1[[#This Row],[Order_Date]])</f>
        <v>2024</v>
      </c>
      <c r="E276" s="7">
        <v>45316</v>
      </c>
      <c r="F276" s="2" t="str">
        <f>VLOOKUP(Table1[[#This Row],[Customer_ID]],Customer_Dim!$A$2:$H$501,2,FALSE)</f>
        <v>Thomas Moore</v>
      </c>
      <c r="G276" s="2" t="str">
        <f>_xlfn.XLOOKUP(Table1[[#This Row],[Customer_ID]],Customer_Dim!$A$2:$A$501,Customer_Dim!$E$2:$E$501)</f>
        <v>Williamsberg</v>
      </c>
      <c r="H276" t="s">
        <v>1327</v>
      </c>
      <c r="I276" t="str">
        <f>VLOOKUP(Table1[[#This Row],[Product_ID]],Product_Dim!$A$2:$G$101,2,FALSE)</f>
        <v>Ceramic Kitchen Bowl Set-Home</v>
      </c>
      <c r="J276" t="s">
        <v>1543</v>
      </c>
      <c r="K276" t="str">
        <f>VLOOKUP(Table1[[#This Row],[Store_ID]],Store_Dim!$A$3:$D$22,2,FALSE)</f>
        <v>Martinez, Adkins and Johnson-North</v>
      </c>
      <c r="L276" t="s">
        <v>1728</v>
      </c>
      <c r="M276" t="s">
        <v>3957</v>
      </c>
      <c r="N276" s="3">
        <v>406.79</v>
      </c>
      <c r="O276" s="4">
        <v>0.03</v>
      </c>
      <c r="P276" t="s">
        <v>1777</v>
      </c>
      <c r="Q276" s="4">
        <v>394.58629999999999</v>
      </c>
    </row>
    <row r="277" spans="1:17" x14ac:dyDescent="0.3">
      <c r="A277" t="s">
        <v>2049</v>
      </c>
      <c r="B277" t="str">
        <f t="shared" si="4"/>
        <v>Q4</v>
      </c>
      <c r="C277" t="str">
        <f>TEXT(Table1[[#This Row],[Order_Date]],"mmmm")</f>
        <v>October</v>
      </c>
      <c r="D277">
        <f>YEAR(Table1[[#This Row],[Order_Date]])</f>
        <v>2025</v>
      </c>
      <c r="E277" s="7">
        <v>45932</v>
      </c>
      <c r="F277" s="2" t="str">
        <f>VLOOKUP(Table1[[#This Row],[Customer_ID]],Customer_Dim!$A$2:$H$501,2,FALSE)</f>
        <v>Jacqueline Anthony</v>
      </c>
      <c r="G277" s="2" t="str">
        <f>_xlfn.XLOOKUP(Table1[[#This Row],[Customer_ID]],Customer_Dim!$A$2:$A$501,Customer_Dim!$E$2:$E$501)</f>
        <v>Vincentside</v>
      </c>
      <c r="H277" t="s">
        <v>1150</v>
      </c>
      <c r="I277" t="str">
        <f>VLOOKUP(Table1[[#This Row],[Product_ID]],Product_Dim!$A$2:$G$101,2,FALSE)</f>
        <v>Sports Stopwatch Pro-Sports</v>
      </c>
      <c r="J277" t="s">
        <v>1631</v>
      </c>
      <c r="K277" t="str">
        <f>VLOOKUP(Table1[[#This Row],[Store_ID]],Store_Dim!$A$3:$D$22,2,FALSE)</f>
        <v>Mcdonald Inc-South</v>
      </c>
      <c r="L277" t="s">
        <v>1754</v>
      </c>
      <c r="M277" t="s">
        <v>3957</v>
      </c>
      <c r="N277" s="3">
        <v>606.01</v>
      </c>
      <c r="O277" s="4">
        <v>0.04</v>
      </c>
      <c r="P277" t="s">
        <v>1774</v>
      </c>
      <c r="Q277" s="4">
        <v>581.76959999999997</v>
      </c>
    </row>
    <row r="278" spans="1:17" x14ac:dyDescent="0.3">
      <c r="A278" t="s">
        <v>2050</v>
      </c>
      <c r="B278" t="str">
        <f t="shared" si="4"/>
        <v>Q3</v>
      </c>
      <c r="C278" t="str">
        <f>TEXT(Table1[[#This Row],[Order_Date]],"mmmm")</f>
        <v>July</v>
      </c>
      <c r="D278">
        <f>YEAR(Table1[[#This Row],[Order_Date]])</f>
        <v>2024</v>
      </c>
      <c r="E278" s="7">
        <v>45483</v>
      </c>
      <c r="F278" s="2" t="str">
        <f>VLOOKUP(Table1[[#This Row],[Customer_ID]],Customer_Dim!$A$2:$H$501,2,FALSE)</f>
        <v>Heather Valenzuela</v>
      </c>
      <c r="G278" s="2" t="str">
        <f>_xlfn.XLOOKUP(Table1[[#This Row],[Customer_ID]],Customer_Dim!$A$2:$A$501,Customer_Dim!$E$2:$E$501)</f>
        <v>New Angiefurt</v>
      </c>
      <c r="H278" t="s">
        <v>1083</v>
      </c>
      <c r="I278" t="str">
        <f>VLOOKUP(Table1[[#This Row],[Product_ID]],Product_Dim!$A$2:$G$101,2,FALSE)</f>
        <v>Soccer Training Cone Set-Sports</v>
      </c>
      <c r="J278" t="s">
        <v>1557</v>
      </c>
      <c r="K278" t="str">
        <f>VLOOKUP(Table1[[#This Row],[Store_ID]],Store_Dim!$A$3:$D$22,2,FALSE)</f>
        <v>Gray Ltd-North</v>
      </c>
      <c r="L278" t="s">
        <v>1738</v>
      </c>
      <c r="M278" t="s">
        <v>3959</v>
      </c>
      <c r="N278" s="3">
        <v>322.58</v>
      </c>
      <c r="O278" s="4">
        <v>0.06</v>
      </c>
      <c r="P278" t="s">
        <v>1772</v>
      </c>
      <c r="Q278" s="4">
        <v>1212.9007999999999</v>
      </c>
    </row>
    <row r="279" spans="1:17" x14ac:dyDescent="0.3">
      <c r="A279" t="s">
        <v>2051</v>
      </c>
      <c r="B279" t="str">
        <f t="shared" si="4"/>
        <v>Q1</v>
      </c>
      <c r="C279" t="str">
        <f>TEXT(Table1[[#This Row],[Order_Date]],"mmmm")</f>
        <v>January</v>
      </c>
      <c r="D279">
        <f>YEAR(Table1[[#This Row],[Order_Date]])</f>
        <v>2025</v>
      </c>
      <c r="E279" s="7">
        <v>45661</v>
      </c>
      <c r="F279" s="2" t="str">
        <f>VLOOKUP(Table1[[#This Row],[Customer_ID]],Customer_Dim!$A$2:$H$501,2,FALSE)</f>
        <v>Jessica Castro</v>
      </c>
      <c r="G279" s="2" t="str">
        <f>_xlfn.XLOOKUP(Table1[[#This Row],[Customer_ID]],Customer_Dim!$A$2:$A$501,Customer_Dim!$E$2:$E$501)</f>
        <v>West Markton</v>
      </c>
      <c r="H279" t="s">
        <v>1472</v>
      </c>
      <c r="I279" t="str">
        <f>VLOOKUP(Table1[[#This Row],[Product_ID]],Product_Dim!$A$2:$G$101,2,FALSE)</f>
        <v>WiFi Mesh Router-Electronics</v>
      </c>
      <c r="J279" t="s">
        <v>1677</v>
      </c>
      <c r="K279" t="str">
        <f>VLOOKUP(Table1[[#This Row],[Store_ID]],Store_Dim!$A$3:$D$22,2,FALSE)</f>
        <v>Guerrero-Schmitt-East</v>
      </c>
      <c r="L279" t="s">
        <v>1761</v>
      </c>
      <c r="M279" t="s">
        <v>3959</v>
      </c>
      <c r="N279" s="3">
        <v>463.17</v>
      </c>
      <c r="O279" s="4">
        <v>0.06</v>
      </c>
      <c r="P279" t="s">
        <v>1774</v>
      </c>
      <c r="Q279" s="4">
        <v>1741.5192</v>
      </c>
    </row>
    <row r="280" spans="1:17" x14ac:dyDescent="0.3">
      <c r="A280" t="s">
        <v>2052</v>
      </c>
      <c r="B280" t="str">
        <f t="shared" si="4"/>
        <v>Q2</v>
      </c>
      <c r="C280" t="str">
        <f>TEXT(Table1[[#This Row],[Order_Date]],"mmmm")</f>
        <v>May</v>
      </c>
      <c r="D280">
        <f>YEAR(Table1[[#This Row],[Order_Date]])</f>
        <v>2025</v>
      </c>
      <c r="E280" s="7">
        <v>45798</v>
      </c>
      <c r="F280" s="2" t="str">
        <f>VLOOKUP(Table1[[#This Row],[Customer_ID]],Customer_Dim!$A$2:$H$501,2,FALSE)</f>
        <v>Robert House</v>
      </c>
      <c r="G280" s="2" t="str">
        <f>_xlfn.XLOOKUP(Table1[[#This Row],[Customer_ID]],Customer_Dim!$A$2:$A$501,Customer_Dim!$E$2:$E$501)</f>
        <v>Lake James</v>
      </c>
      <c r="H280" t="s">
        <v>986</v>
      </c>
      <c r="I280" t="str">
        <f>VLOOKUP(Table1[[#This Row],[Product_ID]],Product_Dim!$A$2:$G$101,2,FALSE)</f>
        <v>Women's Scarf Set-Clothing</v>
      </c>
      <c r="J280" t="s">
        <v>1573</v>
      </c>
      <c r="K280" t="str">
        <f>VLOOKUP(Table1[[#This Row],[Store_ID]],Store_Dim!$A$3:$D$22,2,FALSE)</f>
        <v>Martinez-Mullins-South</v>
      </c>
      <c r="L280" t="s">
        <v>1742</v>
      </c>
      <c r="M280" t="s">
        <v>3959</v>
      </c>
      <c r="N280" s="3">
        <v>285.82</v>
      </c>
      <c r="O280" s="4">
        <v>0.18</v>
      </c>
      <c r="P280" t="s">
        <v>1774</v>
      </c>
      <c r="Q280" s="4">
        <v>937.4896</v>
      </c>
    </row>
    <row r="281" spans="1:17" x14ac:dyDescent="0.3">
      <c r="A281" t="s">
        <v>2053</v>
      </c>
      <c r="B281" t="str">
        <f t="shared" si="4"/>
        <v>Q3</v>
      </c>
      <c r="C281" t="str">
        <f>TEXT(Table1[[#This Row],[Order_Date]],"mmmm")</f>
        <v>July</v>
      </c>
      <c r="D281">
        <f>YEAR(Table1[[#This Row],[Order_Date]])</f>
        <v>2025</v>
      </c>
      <c r="E281" s="7">
        <v>45868</v>
      </c>
      <c r="F281" s="2" t="str">
        <f>VLOOKUP(Table1[[#This Row],[Customer_ID]],Customer_Dim!$A$2:$H$501,2,FALSE)</f>
        <v>Robert King</v>
      </c>
      <c r="G281" s="2" t="str">
        <f>_xlfn.XLOOKUP(Table1[[#This Row],[Customer_ID]],Customer_Dim!$A$2:$A$501,Customer_Dim!$E$2:$E$501)</f>
        <v>Cindyton</v>
      </c>
      <c r="H281" t="s">
        <v>1015</v>
      </c>
      <c r="I281" t="str">
        <f>VLOOKUP(Table1[[#This Row],[Product_ID]],Product_Dim!$A$2:$G$101,2,FALSE)</f>
        <v>Men's Casual Sneakers-Clothing</v>
      </c>
      <c r="J281" t="s">
        <v>1597</v>
      </c>
      <c r="K281" t="str">
        <f>VLOOKUP(Table1[[#This Row],[Store_ID]],Store_Dim!$A$3:$D$22,2,FALSE)</f>
        <v>Aguirre-Keller-South</v>
      </c>
      <c r="L281" t="s">
        <v>1750</v>
      </c>
      <c r="M281" t="s">
        <v>3958</v>
      </c>
      <c r="N281" s="3">
        <v>995.38</v>
      </c>
      <c r="O281" s="4">
        <v>0.1</v>
      </c>
      <c r="P281" t="s">
        <v>1774</v>
      </c>
      <c r="Q281" s="4">
        <v>2687.5259999999998</v>
      </c>
    </row>
    <row r="282" spans="1:17" x14ac:dyDescent="0.3">
      <c r="A282" t="s">
        <v>2054</v>
      </c>
      <c r="B282" t="str">
        <f t="shared" si="4"/>
        <v>Q2</v>
      </c>
      <c r="C282" t="str">
        <f>TEXT(Table1[[#This Row],[Order_Date]],"mmmm")</f>
        <v>April</v>
      </c>
      <c r="D282">
        <f>YEAR(Table1[[#This Row],[Order_Date]])</f>
        <v>2025</v>
      </c>
      <c r="E282" s="7">
        <v>45757</v>
      </c>
      <c r="F282" s="2" t="str">
        <f>VLOOKUP(Table1[[#This Row],[Customer_ID]],Customer_Dim!$A$2:$H$501,2,FALSE)</f>
        <v>Michael Jones</v>
      </c>
      <c r="G282" s="2" t="str">
        <f>_xlfn.XLOOKUP(Table1[[#This Row],[Customer_ID]],Customer_Dim!$A$2:$A$501,Customer_Dim!$E$2:$E$501)</f>
        <v>North Edwardton</v>
      </c>
      <c r="H282" t="s">
        <v>409</v>
      </c>
      <c r="I282" t="str">
        <f>VLOOKUP(Table1[[#This Row],[Product_ID]],Product_Dim!$A$2:$G$101,2,FALSE)</f>
        <v>Laptop Cooling Pad-Electronics</v>
      </c>
      <c r="J282" t="s">
        <v>1647</v>
      </c>
      <c r="K282" t="str">
        <f>VLOOKUP(Table1[[#This Row],[Store_ID]],Store_Dim!$A$3:$D$22,2,FALSE)</f>
        <v>Bean, Jones and Park-West</v>
      </c>
      <c r="L282" t="s">
        <v>1744</v>
      </c>
      <c r="M282" t="s">
        <v>3957</v>
      </c>
      <c r="N282" s="3">
        <v>329.31</v>
      </c>
      <c r="O282" s="4">
        <v>0.09</v>
      </c>
      <c r="P282" t="s">
        <v>1772</v>
      </c>
      <c r="Q282" s="4">
        <v>299.6721</v>
      </c>
    </row>
    <row r="283" spans="1:17" x14ac:dyDescent="0.3">
      <c r="A283" t="s">
        <v>2055</v>
      </c>
      <c r="B283" t="str">
        <f t="shared" si="4"/>
        <v>Q3</v>
      </c>
      <c r="C283" t="str">
        <f>TEXT(Table1[[#This Row],[Order_Date]],"mmmm")</f>
        <v>July</v>
      </c>
      <c r="D283">
        <f>YEAR(Table1[[#This Row],[Order_Date]])</f>
        <v>2024</v>
      </c>
      <c r="E283" s="7">
        <v>45475</v>
      </c>
      <c r="F283" s="2" t="str">
        <f>VLOOKUP(Table1[[#This Row],[Customer_ID]],Customer_Dim!$A$2:$H$501,2,FALSE)</f>
        <v>Scott Harris</v>
      </c>
      <c r="G283" s="2" t="str">
        <f>_xlfn.XLOOKUP(Table1[[#This Row],[Customer_ID]],Customer_Dim!$A$2:$A$501,Customer_Dim!$E$2:$E$501)</f>
        <v>North Nataliemouth</v>
      </c>
      <c r="H283" t="s">
        <v>1490</v>
      </c>
      <c r="I283" t="str">
        <f>VLOOKUP(Table1[[#This Row],[Product_ID]],Product_Dim!$A$2:$G$101,2,FALSE)</f>
        <v>Makeup Brush Set-Beauty</v>
      </c>
      <c r="J283" t="s">
        <v>1617</v>
      </c>
      <c r="K283" t="str">
        <f>VLOOKUP(Table1[[#This Row],[Store_ID]],Store_Dim!$A$3:$D$22,2,FALSE)</f>
        <v>Frederick-Wright-West</v>
      </c>
      <c r="L283" t="s">
        <v>1757</v>
      </c>
      <c r="M283" t="s">
        <v>3958</v>
      </c>
      <c r="N283" s="3">
        <v>64.2</v>
      </c>
      <c r="O283" s="4">
        <v>0.08</v>
      </c>
      <c r="P283" t="s">
        <v>1777</v>
      </c>
      <c r="Q283" s="4">
        <v>177.19200000000001</v>
      </c>
    </row>
    <row r="284" spans="1:17" x14ac:dyDescent="0.3">
      <c r="A284" t="s">
        <v>2056</v>
      </c>
      <c r="B284" t="str">
        <f t="shared" si="4"/>
        <v>Q2</v>
      </c>
      <c r="C284" t="str">
        <f>TEXT(Table1[[#This Row],[Order_Date]],"mmmm")</f>
        <v>June</v>
      </c>
      <c r="D284">
        <f>YEAR(Table1[[#This Row],[Order_Date]])</f>
        <v>2025</v>
      </c>
      <c r="E284" s="7">
        <v>45829</v>
      </c>
      <c r="F284" s="2" t="str">
        <f>VLOOKUP(Table1[[#This Row],[Customer_ID]],Customer_Dim!$A$2:$H$501,2,FALSE)</f>
        <v>Katherine Cowan</v>
      </c>
      <c r="G284" s="2" t="str">
        <f>_xlfn.XLOOKUP(Table1[[#This Row],[Customer_ID]],Customer_Dim!$A$2:$A$501,Customer_Dim!$E$2:$E$501)</f>
        <v>New Ana</v>
      </c>
      <c r="H284" t="s">
        <v>829</v>
      </c>
      <c r="I284" t="str">
        <f>VLOOKUP(Table1[[#This Row],[Product_ID]],Product_Dim!$A$2:$G$101,2,FALSE)</f>
        <v>HD Smart TV Stick-Electronics</v>
      </c>
      <c r="J284" t="s">
        <v>1545</v>
      </c>
      <c r="K284" t="str">
        <f>VLOOKUP(Table1[[#This Row],[Store_ID]],Store_Dim!$A$3:$D$22,2,FALSE)</f>
        <v>Gardner, Humphrey and Contreras-East</v>
      </c>
      <c r="L284" t="s">
        <v>1753</v>
      </c>
      <c r="M284" t="s">
        <v>3958</v>
      </c>
      <c r="N284" s="3">
        <v>697.13</v>
      </c>
      <c r="O284" s="4">
        <v>0.25</v>
      </c>
      <c r="P284" t="s">
        <v>1777</v>
      </c>
      <c r="Q284" s="4">
        <v>1568.5425</v>
      </c>
    </row>
    <row r="285" spans="1:17" x14ac:dyDescent="0.3">
      <c r="A285" t="s">
        <v>2057</v>
      </c>
      <c r="B285" t="str">
        <f t="shared" si="4"/>
        <v>Q4</v>
      </c>
      <c r="C285" t="str">
        <f>TEXT(Table1[[#This Row],[Order_Date]],"mmmm")</f>
        <v>December</v>
      </c>
      <c r="D285">
        <f>YEAR(Table1[[#This Row],[Order_Date]])</f>
        <v>2024</v>
      </c>
      <c r="E285" s="7">
        <v>45639</v>
      </c>
      <c r="F285" s="2" t="str">
        <f>VLOOKUP(Table1[[#This Row],[Customer_ID]],Customer_Dim!$A$2:$H$501,2,FALSE)</f>
        <v>Paul Fox</v>
      </c>
      <c r="G285" s="2" t="str">
        <f>_xlfn.XLOOKUP(Table1[[#This Row],[Customer_ID]],Customer_Dim!$A$2:$A$501,Customer_Dim!$E$2:$E$501)</f>
        <v>Michaelton</v>
      </c>
      <c r="H285" t="s">
        <v>97</v>
      </c>
      <c r="I285" t="str">
        <f>VLOOKUP(Table1[[#This Row],[Product_ID]],Product_Dim!$A$2:$G$101,2,FALSE)</f>
        <v>Adjustable Dumbbell Set-Sports</v>
      </c>
      <c r="J285" t="s">
        <v>1541</v>
      </c>
      <c r="K285" t="str">
        <f>VLOOKUP(Table1[[#This Row],[Store_ID]],Store_Dim!$A$3:$D$22,2,FALSE)</f>
        <v>Gray Ltd-North</v>
      </c>
      <c r="L285" t="s">
        <v>1738</v>
      </c>
      <c r="M285" t="s">
        <v>3958</v>
      </c>
      <c r="N285" s="3">
        <v>134.30000000000001</v>
      </c>
      <c r="O285" s="4">
        <v>0.14000000000000001</v>
      </c>
      <c r="P285" t="s">
        <v>1772</v>
      </c>
      <c r="Q285" s="4">
        <v>346.49400000000003</v>
      </c>
    </row>
    <row r="286" spans="1:17" x14ac:dyDescent="0.3">
      <c r="A286" t="s">
        <v>2058</v>
      </c>
      <c r="B286" t="str">
        <f t="shared" si="4"/>
        <v>Q3</v>
      </c>
      <c r="C286" t="str">
        <f>TEXT(Table1[[#This Row],[Order_Date]],"mmmm")</f>
        <v>August</v>
      </c>
      <c r="D286">
        <f>YEAR(Table1[[#This Row],[Order_Date]])</f>
        <v>2024</v>
      </c>
      <c r="E286" s="7">
        <v>45518</v>
      </c>
      <c r="F286" s="2" t="str">
        <f>VLOOKUP(Table1[[#This Row],[Customer_ID]],Customer_Dim!$A$2:$H$501,2,FALSE)</f>
        <v>Russell Lamb</v>
      </c>
      <c r="G286" s="2" t="str">
        <f>_xlfn.XLOOKUP(Table1[[#This Row],[Customer_ID]],Customer_Dim!$A$2:$A$501,Customer_Dim!$E$2:$E$501)</f>
        <v>North Jonathon</v>
      </c>
      <c r="H286" t="s">
        <v>823</v>
      </c>
      <c r="I286" t="str">
        <f>VLOOKUP(Table1[[#This Row],[Product_ID]],Product_Dim!$A$2:$G$101,2,FALSE)</f>
        <v>Wooden Bookshelf-Home</v>
      </c>
      <c r="J286" t="s">
        <v>1691</v>
      </c>
      <c r="K286" t="str">
        <f>VLOOKUP(Table1[[#This Row],[Store_ID]],Store_Dim!$A$3:$D$22,2,FALSE)</f>
        <v>Gardner, Humphrey and Contreras-East</v>
      </c>
      <c r="L286" t="s">
        <v>1753</v>
      </c>
      <c r="M286" t="s">
        <v>3957</v>
      </c>
      <c r="N286" s="3">
        <v>520.92999999999995</v>
      </c>
      <c r="O286" s="4">
        <v>0.15</v>
      </c>
      <c r="P286" t="s">
        <v>1772</v>
      </c>
      <c r="Q286" s="4">
        <v>442.79050000000001</v>
      </c>
    </row>
    <row r="287" spans="1:17" x14ac:dyDescent="0.3">
      <c r="A287" t="s">
        <v>2059</v>
      </c>
      <c r="B287" t="str">
        <f t="shared" si="4"/>
        <v>Q1</v>
      </c>
      <c r="C287" t="str">
        <f>TEXT(Table1[[#This Row],[Order_Date]],"mmmm")</f>
        <v>March</v>
      </c>
      <c r="D287">
        <f>YEAR(Table1[[#This Row],[Order_Date]])</f>
        <v>2025</v>
      </c>
      <c r="E287" s="7">
        <v>45721</v>
      </c>
      <c r="F287" s="2" t="str">
        <f>VLOOKUP(Table1[[#This Row],[Customer_ID]],Customer_Dim!$A$2:$H$501,2,FALSE)</f>
        <v>Elizabeth Stanley</v>
      </c>
      <c r="G287" s="2" t="str">
        <f>_xlfn.XLOOKUP(Table1[[#This Row],[Customer_ID]],Customer_Dim!$A$2:$A$501,Customer_Dim!$E$2:$E$501)</f>
        <v>Bethanyton</v>
      </c>
      <c r="H287" t="s">
        <v>721</v>
      </c>
      <c r="I287" t="str">
        <f>VLOOKUP(Table1[[#This Row],[Product_ID]],Product_Dim!$A$2:$G$101,2,FALSE)</f>
        <v>Knee Support Brace-Sports</v>
      </c>
      <c r="J287" t="s">
        <v>1561</v>
      </c>
      <c r="K287" t="str">
        <f>VLOOKUP(Table1[[#This Row],[Store_ID]],Store_Dim!$A$3:$D$22,2,FALSE)</f>
        <v>Martinez-Mullins-South</v>
      </c>
      <c r="L287" t="s">
        <v>1742</v>
      </c>
      <c r="M287" t="s">
        <v>3960</v>
      </c>
      <c r="N287" s="3">
        <v>350.12</v>
      </c>
      <c r="O287" s="4">
        <v>0.21</v>
      </c>
      <c r="P287" t="s">
        <v>1777</v>
      </c>
      <c r="Q287" s="4">
        <v>553.18960000000004</v>
      </c>
    </row>
    <row r="288" spans="1:17" x14ac:dyDescent="0.3">
      <c r="A288" t="s">
        <v>2060</v>
      </c>
      <c r="B288" t="str">
        <f t="shared" si="4"/>
        <v>Q1</v>
      </c>
      <c r="C288" t="str">
        <f>TEXT(Table1[[#This Row],[Order_Date]],"mmmm")</f>
        <v>January</v>
      </c>
      <c r="D288">
        <f>YEAR(Table1[[#This Row],[Order_Date]])</f>
        <v>2024</v>
      </c>
      <c r="E288" s="7">
        <v>45308</v>
      </c>
      <c r="F288" s="2" t="str">
        <f>VLOOKUP(Table1[[#This Row],[Customer_ID]],Customer_Dim!$A$2:$H$501,2,FALSE)</f>
        <v>Cynthia Parrish</v>
      </c>
      <c r="G288" s="2" t="str">
        <f>_xlfn.XLOOKUP(Table1[[#This Row],[Customer_ID]],Customer_Dim!$A$2:$A$501,Customer_Dim!$E$2:$E$501)</f>
        <v>Espinozaberg</v>
      </c>
      <c r="H288" t="s">
        <v>1421</v>
      </c>
      <c r="I288" t="str">
        <f>VLOOKUP(Table1[[#This Row],[Product_ID]],Product_Dim!$A$2:$G$101,2,FALSE)</f>
        <v>Car Dashboard Phone Holder-Electronics</v>
      </c>
      <c r="J288" t="s">
        <v>1619</v>
      </c>
      <c r="K288" t="str">
        <f>VLOOKUP(Table1[[#This Row],[Store_ID]],Store_Dim!$A$3:$D$22,2,FALSE)</f>
        <v>Mann-Austin-East</v>
      </c>
      <c r="L288" t="s">
        <v>1763</v>
      </c>
      <c r="M288" t="s">
        <v>3958</v>
      </c>
      <c r="N288" s="3">
        <v>807.95</v>
      </c>
      <c r="O288" s="4">
        <v>0.1</v>
      </c>
      <c r="P288" t="s">
        <v>1774</v>
      </c>
      <c r="Q288" s="4">
        <v>2181.4650000000011</v>
      </c>
    </row>
    <row r="289" spans="1:17" x14ac:dyDescent="0.3">
      <c r="A289" t="s">
        <v>2061</v>
      </c>
      <c r="B289" t="str">
        <f t="shared" si="4"/>
        <v>Q3</v>
      </c>
      <c r="C289" t="str">
        <f>TEXT(Table1[[#This Row],[Order_Date]],"mmmm")</f>
        <v>August</v>
      </c>
      <c r="D289">
        <f>YEAR(Table1[[#This Row],[Order_Date]])</f>
        <v>2025</v>
      </c>
      <c r="E289" s="7">
        <v>45889</v>
      </c>
      <c r="F289" s="2" t="str">
        <f>VLOOKUP(Table1[[#This Row],[Customer_ID]],Customer_Dim!$A$2:$H$501,2,FALSE)</f>
        <v>Jennifer Woods</v>
      </c>
      <c r="G289" s="2" t="str">
        <f>_xlfn.XLOOKUP(Table1[[#This Row],[Customer_ID]],Customer_Dim!$A$2:$A$501,Customer_Dim!$E$2:$E$501)</f>
        <v>West Brendamouth</v>
      </c>
      <c r="H289" t="s">
        <v>1042</v>
      </c>
      <c r="I289" t="str">
        <f>VLOOKUP(Table1[[#This Row],[Product_ID]],Product_Dim!$A$2:$G$101,2,FALSE)</f>
        <v>Sports Water Hydration Pack-Sports</v>
      </c>
      <c r="J289" t="s">
        <v>1599</v>
      </c>
      <c r="K289" t="str">
        <f>VLOOKUP(Table1[[#This Row],[Store_ID]],Store_Dim!$A$3:$D$22,2,FALSE)</f>
        <v>Benson-Elliott-East</v>
      </c>
      <c r="L289" t="s">
        <v>1740</v>
      </c>
      <c r="M289" t="s">
        <v>3959</v>
      </c>
      <c r="N289" s="3">
        <v>766.03</v>
      </c>
      <c r="O289" s="4">
        <v>0.28999999999999998</v>
      </c>
      <c r="P289" t="s">
        <v>1774</v>
      </c>
      <c r="Q289" s="4">
        <v>2175.5252</v>
      </c>
    </row>
    <row r="290" spans="1:17" x14ac:dyDescent="0.3">
      <c r="A290" t="s">
        <v>2062</v>
      </c>
      <c r="B290" t="str">
        <f t="shared" si="4"/>
        <v>Q2</v>
      </c>
      <c r="C290" t="str">
        <f>TEXT(Table1[[#This Row],[Order_Date]],"mmmm")</f>
        <v>April</v>
      </c>
      <c r="D290">
        <f>YEAR(Table1[[#This Row],[Order_Date]])</f>
        <v>2024</v>
      </c>
      <c r="E290" s="7">
        <v>45386</v>
      </c>
      <c r="F290" s="2" t="str">
        <f>VLOOKUP(Table1[[#This Row],[Customer_ID]],Customer_Dim!$A$2:$H$501,2,FALSE)</f>
        <v>Melissa Hamilton</v>
      </c>
      <c r="G290" s="2" t="str">
        <f>_xlfn.XLOOKUP(Table1[[#This Row],[Customer_ID]],Customer_Dim!$A$2:$A$501,Customer_Dim!$E$2:$E$501)</f>
        <v>Hutchinsonville</v>
      </c>
      <c r="H290" t="s">
        <v>595</v>
      </c>
      <c r="I290" t="str">
        <f>VLOOKUP(Table1[[#This Row],[Product_ID]],Product_Dim!$A$2:$G$101,2,FALSE)</f>
        <v>Foam Roller-Sports</v>
      </c>
      <c r="J290" t="s">
        <v>1637</v>
      </c>
      <c r="K290" t="str">
        <f>VLOOKUP(Table1[[#This Row],[Store_ID]],Store_Dim!$A$3:$D$22,2,FALSE)</f>
        <v>Bean, Jones and Park-West</v>
      </c>
      <c r="L290" t="s">
        <v>1744</v>
      </c>
      <c r="M290" t="s">
        <v>3958</v>
      </c>
      <c r="N290" s="3">
        <v>545.1</v>
      </c>
      <c r="O290" s="4">
        <v>0.08</v>
      </c>
      <c r="P290" t="s">
        <v>1777</v>
      </c>
      <c r="Q290" s="4">
        <v>1504.4760000000001</v>
      </c>
    </row>
    <row r="291" spans="1:17" x14ac:dyDescent="0.3">
      <c r="A291" t="s">
        <v>2063</v>
      </c>
      <c r="B291" t="str">
        <f t="shared" si="4"/>
        <v>Q2</v>
      </c>
      <c r="C291" t="str">
        <f>TEXT(Table1[[#This Row],[Order_Date]],"mmmm")</f>
        <v>May</v>
      </c>
      <c r="D291">
        <f>YEAR(Table1[[#This Row],[Order_Date]])</f>
        <v>2024</v>
      </c>
      <c r="E291" s="7">
        <v>45438</v>
      </c>
      <c r="F291" s="2" t="str">
        <f>VLOOKUP(Table1[[#This Row],[Customer_ID]],Customer_Dim!$A$2:$H$501,2,FALSE)</f>
        <v>Crystal Davis</v>
      </c>
      <c r="G291" s="2" t="str">
        <f>_xlfn.XLOOKUP(Table1[[#This Row],[Customer_ID]],Customer_Dim!$A$2:$A$501,Customer_Dim!$E$2:$E$501)</f>
        <v>Sallymouth</v>
      </c>
      <c r="H291" t="s">
        <v>832</v>
      </c>
      <c r="I291" t="str">
        <f>VLOOKUP(Table1[[#This Row],[Product_ID]],Product_Dim!$A$2:$G$101,2,FALSE)</f>
        <v>Adjustable Dumbbells 20kg-Sports</v>
      </c>
      <c r="J291" t="s">
        <v>1653</v>
      </c>
      <c r="K291" t="str">
        <f>VLOOKUP(Table1[[#This Row],[Store_ID]],Store_Dim!$A$3:$D$22,2,FALSE)</f>
        <v>Martinez-Mullins-South</v>
      </c>
      <c r="L291" t="s">
        <v>1742</v>
      </c>
      <c r="M291" t="s">
        <v>3957</v>
      </c>
      <c r="N291" s="3">
        <v>203.61</v>
      </c>
      <c r="O291" s="4">
        <v>0.24</v>
      </c>
      <c r="P291" t="s">
        <v>1777</v>
      </c>
      <c r="Q291" s="4">
        <v>154.74359999999999</v>
      </c>
    </row>
    <row r="292" spans="1:17" x14ac:dyDescent="0.3">
      <c r="A292" t="s">
        <v>2064</v>
      </c>
      <c r="B292" t="str">
        <f t="shared" si="4"/>
        <v>Q3</v>
      </c>
      <c r="C292" t="str">
        <f>TEXT(Table1[[#This Row],[Order_Date]],"mmmm")</f>
        <v>July</v>
      </c>
      <c r="D292">
        <f>YEAR(Table1[[#This Row],[Order_Date]])</f>
        <v>2025</v>
      </c>
      <c r="E292" s="7">
        <v>45856</v>
      </c>
      <c r="F292" s="2" t="str">
        <f>VLOOKUP(Table1[[#This Row],[Customer_ID]],Customer_Dim!$A$2:$H$501,2,FALSE)</f>
        <v>Karen King</v>
      </c>
      <c r="G292" s="2" t="str">
        <f>_xlfn.XLOOKUP(Table1[[#This Row],[Customer_ID]],Customer_Dim!$A$2:$A$501,Customer_Dim!$E$2:$E$501)</f>
        <v>Kimburgh</v>
      </c>
      <c r="H292" t="s">
        <v>1281</v>
      </c>
      <c r="I292" t="str">
        <f>VLOOKUP(Table1[[#This Row],[Product_ID]],Product_Dim!$A$2:$G$101,2,FALSE)</f>
        <v>Cricket Bat-Sports</v>
      </c>
      <c r="J292" t="s">
        <v>1717</v>
      </c>
      <c r="K292" t="str">
        <f>VLOOKUP(Table1[[#This Row],[Store_ID]],Store_Dim!$A$3:$D$22,2,FALSE)</f>
        <v>Shelton PLC-North</v>
      </c>
      <c r="L292" t="s">
        <v>1755</v>
      </c>
      <c r="M292" t="s">
        <v>3959</v>
      </c>
      <c r="N292" s="3">
        <v>493.8</v>
      </c>
      <c r="O292" s="4">
        <v>0.24</v>
      </c>
      <c r="P292" t="s">
        <v>1777</v>
      </c>
      <c r="Q292" s="4">
        <v>1501.152</v>
      </c>
    </row>
    <row r="293" spans="1:17" x14ac:dyDescent="0.3">
      <c r="A293" t="s">
        <v>2065</v>
      </c>
      <c r="B293" t="str">
        <f t="shared" si="4"/>
        <v>Q3</v>
      </c>
      <c r="C293" t="str">
        <f>TEXT(Table1[[#This Row],[Order_Date]],"mmmm")</f>
        <v>July</v>
      </c>
      <c r="D293">
        <f>YEAR(Table1[[#This Row],[Order_Date]])</f>
        <v>2024</v>
      </c>
      <c r="E293" s="7">
        <v>45485</v>
      </c>
      <c r="F293" s="2" t="str">
        <f>VLOOKUP(Table1[[#This Row],[Customer_ID]],Customer_Dim!$A$2:$H$501,2,FALSE)</f>
        <v>Adam Cruz</v>
      </c>
      <c r="G293" s="2" t="str">
        <f>_xlfn.XLOOKUP(Table1[[#This Row],[Customer_ID]],Customer_Dim!$A$2:$A$501,Customer_Dim!$E$2:$E$501)</f>
        <v>Brandonville</v>
      </c>
      <c r="H293" t="s">
        <v>78</v>
      </c>
      <c r="I293" t="str">
        <f>VLOOKUP(Table1[[#This Row],[Product_ID]],Product_Dim!$A$2:$G$101,2,FALSE)</f>
        <v>Yoga Exercise Mat-Sports</v>
      </c>
      <c r="J293" t="s">
        <v>1605</v>
      </c>
      <c r="K293" t="str">
        <f>VLOOKUP(Table1[[#This Row],[Store_ID]],Store_Dim!$A$3:$D$22,2,FALSE)</f>
        <v>Holloway Ltd-North</v>
      </c>
      <c r="L293" t="s">
        <v>1759</v>
      </c>
      <c r="M293" t="s">
        <v>3957</v>
      </c>
      <c r="N293" s="3">
        <v>640.54999999999995</v>
      </c>
      <c r="O293" s="4">
        <v>0.25</v>
      </c>
      <c r="P293" t="s">
        <v>1772</v>
      </c>
      <c r="Q293" s="4">
        <v>480.41250000000002</v>
      </c>
    </row>
    <row r="294" spans="1:17" x14ac:dyDescent="0.3">
      <c r="A294" t="s">
        <v>2066</v>
      </c>
      <c r="B294" t="str">
        <f t="shared" si="4"/>
        <v>Q3</v>
      </c>
      <c r="C294" t="str">
        <f>TEXT(Table1[[#This Row],[Order_Date]],"mmmm")</f>
        <v>September</v>
      </c>
      <c r="D294">
        <f>YEAR(Table1[[#This Row],[Order_Date]])</f>
        <v>2024</v>
      </c>
      <c r="E294" s="7">
        <v>45545</v>
      </c>
      <c r="F294" s="2" t="str">
        <f>VLOOKUP(Table1[[#This Row],[Customer_ID]],Customer_Dim!$A$2:$H$501,2,FALSE)</f>
        <v>Michael Jones</v>
      </c>
      <c r="G294" s="2" t="str">
        <f>_xlfn.XLOOKUP(Table1[[#This Row],[Customer_ID]],Customer_Dim!$A$2:$A$501,Customer_Dim!$E$2:$E$501)</f>
        <v>North Edwardton</v>
      </c>
      <c r="H294" t="s">
        <v>409</v>
      </c>
      <c r="I294" t="str">
        <f>VLOOKUP(Table1[[#This Row],[Product_ID]],Product_Dim!$A$2:$G$101,2,FALSE)</f>
        <v>Bluetooth Car Audio System-Electronics</v>
      </c>
      <c r="J294" t="s">
        <v>1671</v>
      </c>
      <c r="K294" t="str">
        <f>VLOOKUP(Table1[[#This Row],[Store_ID]],Store_Dim!$A$3:$D$22,2,FALSE)</f>
        <v>Alexander Group-South</v>
      </c>
      <c r="L294" t="s">
        <v>1735</v>
      </c>
      <c r="M294" t="s">
        <v>3957</v>
      </c>
      <c r="N294" s="3">
        <v>702.53</v>
      </c>
      <c r="O294" s="4">
        <v>0.3</v>
      </c>
      <c r="P294" t="s">
        <v>1772</v>
      </c>
      <c r="Q294" s="4">
        <v>491.77100000000002</v>
      </c>
    </row>
    <row r="295" spans="1:17" x14ac:dyDescent="0.3">
      <c r="A295" t="s">
        <v>2067</v>
      </c>
      <c r="B295" t="str">
        <f t="shared" si="4"/>
        <v>Q2</v>
      </c>
      <c r="C295" t="str">
        <f>TEXT(Table1[[#This Row],[Order_Date]],"mmmm")</f>
        <v>June</v>
      </c>
      <c r="D295">
        <f>YEAR(Table1[[#This Row],[Order_Date]])</f>
        <v>2025</v>
      </c>
      <c r="E295" s="7">
        <v>45826</v>
      </c>
      <c r="F295" s="2" t="str">
        <f>VLOOKUP(Table1[[#This Row],[Customer_ID]],Customer_Dim!$A$2:$H$501,2,FALSE)</f>
        <v>Anthony Morgan</v>
      </c>
      <c r="G295" s="2" t="str">
        <f>_xlfn.XLOOKUP(Table1[[#This Row],[Customer_ID]],Customer_Dim!$A$2:$A$501,Customer_Dim!$E$2:$E$501)</f>
        <v>New Anthonyfurt</v>
      </c>
      <c r="H295" t="s">
        <v>718</v>
      </c>
      <c r="I295" t="str">
        <f>VLOOKUP(Table1[[#This Row],[Product_ID]],Product_Dim!$A$2:$G$101,2,FALSE)</f>
        <v>Portable Power Bank-Electronics</v>
      </c>
      <c r="J295" t="s">
        <v>1601</v>
      </c>
      <c r="K295" t="str">
        <f>VLOOKUP(Table1[[#This Row],[Store_ID]],Store_Dim!$A$3:$D$22,2,FALSE)</f>
        <v>Bean, Jones and Park-West</v>
      </c>
      <c r="L295" t="s">
        <v>1744</v>
      </c>
      <c r="M295" t="s">
        <v>3959</v>
      </c>
      <c r="N295" s="3">
        <v>139.94</v>
      </c>
      <c r="O295" s="4">
        <v>0.24</v>
      </c>
      <c r="P295" t="s">
        <v>1772</v>
      </c>
      <c r="Q295" s="4">
        <v>425.41759999999999</v>
      </c>
    </row>
    <row r="296" spans="1:17" x14ac:dyDescent="0.3">
      <c r="A296" t="s">
        <v>2068</v>
      </c>
      <c r="B296" t="str">
        <f t="shared" si="4"/>
        <v>Q4</v>
      </c>
      <c r="C296" t="str">
        <f>TEXT(Table1[[#This Row],[Order_Date]],"mmmm")</f>
        <v>December</v>
      </c>
      <c r="D296">
        <f>YEAR(Table1[[#This Row],[Order_Date]])</f>
        <v>2024</v>
      </c>
      <c r="E296" s="7">
        <v>45654</v>
      </c>
      <c r="F296" s="2" t="str">
        <f>VLOOKUP(Table1[[#This Row],[Customer_ID]],Customer_Dim!$A$2:$H$501,2,FALSE)</f>
        <v>Jeffrey Gomez</v>
      </c>
      <c r="G296" s="2" t="str">
        <f>_xlfn.XLOOKUP(Table1[[#This Row],[Customer_ID]],Customer_Dim!$A$2:$A$501,Customer_Dim!$E$2:$E$501)</f>
        <v>Lake Nicole</v>
      </c>
      <c r="H296" t="s">
        <v>873</v>
      </c>
      <c r="I296" t="str">
        <f>VLOOKUP(Table1[[#This Row],[Product_ID]],Product_Dim!$A$2:$G$101,2,FALSE)</f>
        <v>Knee Support Brace-Sports</v>
      </c>
      <c r="J296" t="s">
        <v>1561</v>
      </c>
      <c r="K296" t="str">
        <f>VLOOKUP(Table1[[#This Row],[Store_ID]],Store_Dim!$A$3:$D$22,2,FALSE)</f>
        <v>Bean, Jones and Park-West</v>
      </c>
      <c r="L296" t="s">
        <v>1744</v>
      </c>
      <c r="M296" t="s">
        <v>3960</v>
      </c>
      <c r="N296" s="3">
        <v>230.85</v>
      </c>
      <c r="O296" s="4">
        <v>0.18</v>
      </c>
      <c r="P296" t="s">
        <v>1772</v>
      </c>
      <c r="Q296" s="4">
        <v>378.59399999999999</v>
      </c>
    </row>
    <row r="297" spans="1:17" x14ac:dyDescent="0.3">
      <c r="A297" t="s">
        <v>2069</v>
      </c>
      <c r="B297" t="str">
        <f t="shared" si="4"/>
        <v>Q3</v>
      </c>
      <c r="C297" t="str">
        <f>TEXT(Table1[[#This Row],[Order_Date]],"mmmm")</f>
        <v>September</v>
      </c>
      <c r="D297">
        <f>YEAR(Table1[[#This Row],[Order_Date]])</f>
        <v>2024</v>
      </c>
      <c r="E297" s="7">
        <v>45556</v>
      </c>
      <c r="F297" s="2" t="str">
        <f>VLOOKUP(Table1[[#This Row],[Customer_ID]],Customer_Dim!$A$2:$H$501,2,FALSE)</f>
        <v>Rodney Huffman</v>
      </c>
      <c r="G297" s="2" t="str">
        <f>_xlfn.XLOOKUP(Table1[[#This Row],[Customer_ID]],Customer_Dim!$A$2:$A$501,Customer_Dim!$E$2:$E$501)</f>
        <v>Garzafort</v>
      </c>
      <c r="H297" t="s">
        <v>681</v>
      </c>
      <c r="I297" t="str">
        <f>VLOOKUP(Table1[[#This Row],[Product_ID]],Product_Dim!$A$2:$G$101,2,FALSE)</f>
        <v>Women's Beanie Hat-Clothing</v>
      </c>
      <c r="J297" t="s">
        <v>1693</v>
      </c>
      <c r="K297" t="str">
        <f>VLOOKUP(Table1[[#This Row],[Store_ID]],Store_Dim!$A$3:$D$22,2,FALSE)</f>
        <v>Holloway Ltd-North</v>
      </c>
      <c r="L297" t="s">
        <v>1759</v>
      </c>
      <c r="M297" t="s">
        <v>3959</v>
      </c>
      <c r="N297" s="3">
        <v>626.35</v>
      </c>
      <c r="O297" s="4">
        <v>0.25</v>
      </c>
      <c r="P297" t="s">
        <v>1777</v>
      </c>
      <c r="Q297" s="4">
        <v>1879.05</v>
      </c>
    </row>
    <row r="298" spans="1:17" x14ac:dyDescent="0.3">
      <c r="A298" t="s">
        <v>2070</v>
      </c>
      <c r="B298" t="str">
        <f t="shared" si="4"/>
        <v>Q2</v>
      </c>
      <c r="C298" t="str">
        <f>TEXT(Table1[[#This Row],[Order_Date]],"mmmm")</f>
        <v>May</v>
      </c>
      <c r="D298">
        <f>YEAR(Table1[[#This Row],[Order_Date]])</f>
        <v>2024</v>
      </c>
      <c r="E298" s="7">
        <v>45434</v>
      </c>
      <c r="F298" s="2" t="str">
        <f>VLOOKUP(Table1[[#This Row],[Customer_ID]],Customer_Dim!$A$2:$H$501,2,FALSE)</f>
        <v>George Rosario</v>
      </c>
      <c r="G298" s="2" t="str">
        <f>_xlfn.XLOOKUP(Table1[[#This Row],[Customer_ID]],Customer_Dim!$A$2:$A$501,Customer_Dim!$E$2:$E$501)</f>
        <v>Leburgh</v>
      </c>
      <c r="H298" t="s">
        <v>295</v>
      </c>
      <c r="I298" t="str">
        <f>VLOOKUP(Table1[[#This Row],[Product_ID]],Product_Dim!$A$2:$G$101,2,FALSE)</f>
        <v>Yoga Exercise Mat-Sports</v>
      </c>
      <c r="J298" t="s">
        <v>1605</v>
      </c>
      <c r="K298" t="str">
        <f>VLOOKUP(Table1[[#This Row],[Store_ID]],Store_Dim!$A$3:$D$22,2,FALSE)</f>
        <v>Mcdonald Inc-South</v>
      </c>
      <c r="L298" t="s">
        <v>1754</v>
      </c>
      <c r="M298" t="s">
        <v>3959</v>
      </c>
      <c r="N298" s="3">
        <v>108.55</v>
      </c>
      <c r="O298" s="4">
        <v>0.18</v>
      </c>
      <c r="P298" t="s">
        <v>1774</v>
      </c>
      <c r="Q298" s="4">
        <v>356.04399999999998</v>
      </c>
    </row>
    <row r="299" spans="1:17" x14ac:dyDescent="0.3">
      <c r="A299" t="s">
        <v>2071</v>
      </c>
      <c r="B299" t="str">
        <f t="shared" si="4"/>
        <v>Q3</v>
      </c>
      <c r="C299" t="str">
        <f>TEXT(Table1[[#This Row],[Order_Date]],"mmmm")</f>
        <v>August</v>
      </c>
      <c r="D299">
        <f>YEAR(Table1[[#This Row],[Order_Date]])</f>
        <v>2025</v>
      </c>
      <c r="E299" s="7">
        <v>45871</v>
      </c>
      <c r="F299" s="2" t="str">
        <f>VLOOKUP(Table1[[#This Row],[Customer_ID]],Customer_Dim!$A$2:$H$501,2,FALSE)</f>
        <v>Todd Poole</v>
      </c>
      <c r="G299" s="2" t="str">
        <f>_xlfn.XLOOKUP(Table1[[#This Row],[Customer_ID]],Customer_Dim!$A$2:$A$501,Customer_Dim!$E$2:$E$501)</f>
        <v>Johnsonshire</v>
      </c>
      <c r="H299" t="s">
        <v>622</v>
      </c>
      <c r="I299" t="str">
        <f>VLOOKUP(Table1[[#This Row],[Product_ID]],Product_Dim!$A$2:$G$101,2,FALSE)</f>
        <v>Soccer Training Cone Set-Sports</v>
      </c>
      <c r="J299" t="s">
        <v>1557</v>
      </c>
      <c r="K299" t="str">
        <f>VLOOKUP(Table1[[#This Row],[Store_ID]],Store_Dim!$A$3:$D$22,2,FALSE)</f>
        <v>Martinez, Adkins and Johnson-North</v>
      </c>
      <c r="L299" t="s">
        <v>1728</v>
      </c>
      <c r="M299" t="s">
        <v>3959</v>
      </c>
      <c r="N299" s="3">
        <v>353.67</v>
      </c>
      <c r="O299" s="4">
        <v>0.03</v>
      </c>
      <c r="P299" t="s">
        <v>1777</v>
      </c>
      <c r="Q299" s="4">
        <v>1372.2396000000001</v>
      </c>
    </row>
    <row r="300" spans="1:17" x14ac:dyDescent="0.3">
      <c r="A300" t="s">
        <v>2072</v>
      </c>
      <c r="B300" t="str">
        <f t="shared" si="4"/>
        <v>Q4</v>
      </c>
      <c r="C300" t="str">
        <f>TEXT(Table1[[#This Row],[Order_Date]],"mmmm")</f>
        <v>October</v>
      </c>
      <c r="D300">
        <f>YEAR(Table1[[#This Row],[Order_Date]])</f>
        <v>2024</v>
      </c>
      <c r="E300" s="7">
        <v>45583</v>
      </c>
      <c r="F300" s="2" t="str">
        <f>VLOOKUP(Table1[[#This Row],[Customer_ID]],Customer_Dim!$A$2:$H$501,2,FALSE)</f>
        <v>Michael Thomas</v>
      </c>
      <c r="G300" s="2" t="str">
        <f>_xlfn.XLOOKUP(Table1[[#This Row],[Customer_ID]],Customer_Dim!$A$2:$A$501,Customer_Dim!$E$2:$E$501)</f>
        <v>Woodmouth</v>
      </c>
      <c r="H300" t="s">
        <v>238</v>
      </c>
      <c r="I300" t="str">
        <f>VLOOKUP(Table1[[#This Row],[Product_ID]],Product_Dim!$A$2:$G$101,2,FALSE)</f>
        <v>Gaming Mouse Pad XL-Electronics</v>
      </c>
      <c r="J300" t="s">
        <v>1703</v>
      </c>
      <c r="K300" t="str">
        <f>VLOOKUP(Table1[[#This Row],[Store_ID]],Store_Dim!$A$3:$D$22,2,FALSE)</f>
        <v>Martinez, Adkins and Johnson-North</v>
      </c>
      <c r="L300" t="s">
        <v>1728</v>
      </c>
      <c r="M300" t="s">
        <v>3959</v>
      </c>
      <c r="N300" s="3">
        <v>61.98</v>
      </c>
      <c r="O300" s="4">
        <v>0.16</v>
      </c>
      <c r="P300" t="s">
        <v>1772</v>
      </c>
      <c r="Q300" s="4">
        <v>208.25280000000001</v>
      </c>
    </row>
    <row r="301" spans="1:17" x14ac:dyDescent="0.3">
      <c r="A301" t="s">
        <v>2073</v>
      </c>
      <c r="B301" t="str">
        <f t="shared" si="4"/>
        <v>Q1</v>
      </c>
      <c r="C301" t="str">
        <f>TEXT(Table1[[#This Row],[Order_Date]],"mmmm")</f>
        <v>February</v>
      </c>
      <c r="D301">
        <f>YEAR(Table1[[#This Row],[Order_Date]])</f>
        <v>2024</v>
      </c>
      <c r="E301" s="7">
        <v>45348</v>
      </c>
      <c r="F301" s="2" t="str">
        <f>VLOOKUP(Table1[[#This Row],[Customer_ID]],Customer_Dim!$A$2:$H$501,2,FALSE)</f>
        <v>Kathryn Garcia</v>
      </c>
      <c r="G301" s="2" t="str">
        <f>_xlfn.XLOOKUP(Table1[[#This Row],[Customer_ID]],Customer_Dim!$A$2:$A$501,Customer_Dim!$E$2:$E$501)</f>
        <v>Morrismouth</v>
      </c>
      <c r="H301" t="s">
        <v>696</v>
      </c>
      <c r="I301" t="str">
        <f>VLOOKUP(Table1[[#This Row],[Product_ID]],Product_Dim!$A$2:$G$101,2,FALSE)</f>
        <v>Carbon Fiber Tennis Racket-Sports</v>
      </c>
      <c r="J301" t="s">
        <v>1567</v>
      </c>
      <c r="K301" t="str">
        <f>VLOOKUP(Table1[[#This Row],[Store_ID]],Store_Dim!$A$3:$D$22,2,FALSE)</f>
        <v>Mann-Austin-East</v>
      </c>
      <c r="L301" t="s">
        <v>1763</v>
      </c>
      <c r="M301" t="s">
        <v>3960</v>
      </c>
      <c r="N301" s="3">
        <v>873.1</v>
      </c>
      <c r="O301" s="4">
        <v>0.12</v>
      </c>
      <c r="P301" t="s">
        <v>1774</v>
      </c>
      <c r="Q301" s="4">
        <v>1536.6559999999999</v>
      </c>
    </row>
    <row r="302" spans="1:17" x14ac:dyDescent="0.3">
      <c r="A302" t="s">
        <v>2074</v>
      </c>
      <c r="B302" t="str">
        <f t="shared" si="4"/>
        <v>Q4</v>
      </c>
      <c r="C302" t="str">
        <f>TEXT(Table1[[#This Row],[Order_Date]],"mmmm")</f>
        <v>December</v>
      </c>
      <c r="D302">
        <f>YEAR(Table1[[#This Row],[Order_Date]])</f>
        <v>2023</v>
      </c>
      <c r="E302" s="7">
        <v>45268</v>
      </c>
      <c r="F302" s="2" t="str">
        <f>VLOOKUP(Table1[[#This Row],[Customer_ID]],Customer_Dim!$A$2:$H$501,2,FALSE)</f>
        <v>Wanda Snyder</v>
      </c>
      <c r="G302" s="2" t="str">
        <f>_xlfn.XLOOKUP(Table1[[#This Row],[Customer_ID]],Customer_Dim!$A$2:$A$501,Customer_Dim!$E$2:$E$501)</f>
        <v>Frostmouth</v>
      </c>
      <c r="H302" t="s">
        <v>642</v>
      </c>
      <c r="I302" t="str">
        <f>VLOOKUP(Table1[[#This Row],[Product_ID]],Product_Dim!$A$2:$G$101,2,FALSE)</f>
        <v>Hair Strengthening Shampoo-Beauty</v>
      </c>
      <c r="J302" t="s">
        <v>1547</v>
      </c>
      <c r="K302" t="str">
        <f>VLOOKUP(Table1[[#This Row],[Store_ID]],Store_Dim!$A$3:$D$22,2,FALSE)</f>
        <v>Shelton PLC-North</v>
      </c>
      <c r="L302" t="s">
        <v>1755</v>
      </c>
      <c r="M302" t="s">
        <v>3959</v>
      </c>
      <c r="N302" s="3">
        <v>889.47</v>
      </c>
      <c r="O302" s="4">
        <v>0.24</v>
      </c>
      <c r="P302" t="s">
        <v>1772</v>
      </c>
      <c r="Q302" s="4">
        <v>2703.9888000000001</v>
      </c>
    </row>
    <row r="303" spans="1:17" x14ac:dyDescent="0.3">
      <c r="A303" t="s">
        <v>2075</v>
      </c>
      <c r="B303" t="str">
        <f t="shared" si="4"/>
        <v>Q4</v>
      </c>
      <c r="C303" t="str">
        <f>TEXT(Table1[[#This Row],[Order_Date]],"mmmm")</f>
        <v>October</v>
      </c>
      <c r="D303">
        <f>YEAR(Table1[[#This Row],[Order_Date]])</f>
        <v>2024</v>
      </c>
      <c r="E303" s="7">
        <v>45596</v>
      </c>
      <c r="F303" s="2" t="str">
        <f>VLOOKUP(Table1[[#This Row],[Customer_ID]],Customer_Dim!$A$2:$H$501,2,FALSE)</f>
        <v>Joshua Ryan</v>
      </c>
      <c r="G303" s="2" t="str">
        <f>_xlfn.XLOOKUP(Table1[[#This Row],[Customer_ID]],Customer_Dim!$A$2:$A$501,Customer_Dim!$E$2:$E$501)</f>
        <v>New David</v>
      </c>
      <c r="H303" t="s">
        <v>118</v>
      </c>
      <c r="I303" t="str">
        <f>VLOOKUP(Table1[[#This Row],[Product_ID]],Product_Dim!$A$2:$G$101,2,FALSE)</f>
        <v>Bluetooth Car Audio System-Electronics</v>
      </c>
      <c r="J303" t="s">
        <v>1671</v>
      </c>
      <c r="K303" t="str">
        <f>VLOOKUP(Table1[[#This Row],[Store_ID]],Store_Dim!$A$3:$D$22,2,FALSE)</f>
        <v>Aguirre-Keller-South</v>
      </c>
      <c r="L303" t="s">
        <v>1750</v>
      </c>
      <c r="M303" t="s">
        <v>3958</v>
      </c>
      <c r="N303" s="3">
        <v>803.76</v>
      </c>
      <c r="O303" s="4">
        <v>0.19</v>
      </c>
      <c r="P303" t="s">
        <v>1777</v>
      </c>
      <c r="Q303" s="4">
        <v>1953.1368</v>
      </c>
    </row>
    <row r="304" spans="1:17" x14ac:dyDescent="0.3">
      <c r="A304" t="s">
        <v>2076</v>
      </c>
      <c r="B304" t="str">
        <f t="shared" si="4"/>
        <v>Q4</v>
      </c>
      <c r="C304" t="str">
        <f>TEXT(Table1[[#This Row],[Order_Date]],"mmmm")</f>
        <v>November</v>
      </c>
      <c r="D304">
        <f>YEAR(Table1[[#This Row],[Order_Date]])</f>
        <v>2024</v>
      </c>
      <c r="E304" s="7">
        <v>45624</v>
      </c>
      <c r="F304" s="2" t="str">
        <f>VLOOKUP(Table1[[#This Row],[Customer_ID]],Customer_Dim!$A$2:$H$501,2,FALSE)</f>
        <v>Gregory Curtis</v>
      </c>
      <c r="G304" s="2" t="str">
        <f>_xlfn.XLOOKUP(Table1[[#This Row],[Customer_ID]],Customer_Dim!$A$2:$A$501,Customer_Dim!$E$2:$E$501)</f>
        <v>Bergermouth</v>
      </c>
      <c r="H304" t="s">
        <v>1427</v>
      </c>
      <c r="I304" t="str">
        <f>VLOOKUP(Table1[[#This Row],[Product_ID]],Product_Dim!$A$2:$G$101,2,FALSE)</f>
        <v>Women's Ankle Boots-Clothing</v>
      </c>
      <c r="J304" t="s">
        <v>1673</v>
      </c>
      <c r="K304" t="str">
        <f>VLOOKUP(Table1[[#This Row],[Store_ID]],Store_Dim!$A$3:$D$22,2,FALSE)</f>
        <v>Gray Ltd-North</v>
      </c>
      <c r="L304" t="s">
        <v>1738</v>
      </c>
      <c r="M304" t="s">
        <v>3960</v>
      </c>
      <c r="N304" s="3">
        <v>865.14</v>
      </c>
      <c r="O304" s="4">
        <v>0.2</v>
      </c>
      <c r="P304" t="s">
        <v>1774</v>
      </c>
      <c r="Q304" s="4">
        <v>1384.2239999999999</v>
      </c>
    </row>
    <row r="305" spans="1:17" x14ac:dyDescent="0.3">
      <c r="A305" t="s">
        <v>2077</v>
      </c>
      <c r="B305" t="str">
        <f t="shared" si="4"/>
        <v>Q2</v>
      </c>
      <c r="C305" t="str">
        <f>TEXT(Table1[[#This Row],[Order_Date]],"mmmm")</f>
        <v>June</v>
      </c>
      <c r="D305">
        <f>YEAR(Table1[[#This Row],[Order_Date]])</f>
        <v>2025</v>
      </c>
      <c r="E305" s="7">
        <v>45813</v>
      </c>
      <c r="F305" s="2" t="str">
        <f>VLOOKUP(Table1[[#This Row],[Customer_ID]],Customer_Dim!$A$2:$H$501,2,FALSE)</f>
        <v>David Cobb</v>
      </c>
      <c r="G305" s="2" t="str">
        <f>_xlfn.XLOOKUP(Table1[[#This Row],[Customer_ID]],Customer_Dim!$A$2:$A$501,Customer_Dim!$E$2:$E$501)</f>
        <v>Lake Thomas</v>
      </c>
      <c r="H305" t="s">
        <v>342</v>
      </c>
      <c r="I305" t="str">
        <f>VLOOKUP(Table1[[#This Row],[Product_ID]],Product_Dim!$A$2:$G$101,2,FALSE)</f>
        <v>Basketball-Sports</v>
      </c>
      <c r="J305" t="s">
        <v>1585</v>
      </c>
      <c r="K305" t="str">
        <f>VLOOKUP(Table1[[#This Row],[Store_ID]],Store_Dim!$A$3:$D$22,2,FALSE)</f>
        <v>Moore, Padilla and Butler-South</v>
      </c>
      <c r="L305" t="s">
        <v>1746</v>
      </c>
      <c r="M305" t="s">
        <v>3960</v>
      </c>
      <c r="N305" s="3">
        <v>916.49</v>
      </c>
      <c r="O305" s="4">
        <v>0.3</v>
      </c>
      <c r="P305" t="s">
        <v>1777</v>
      </c>
      <c r="Q305" s="4">
        <v>1283.086</v>
      </c>
    </row>
    <row r="306" spans="1:17" x14ac:dyDescent="0.3">
      <c r="A306" t="s">
        <v>2078</v>
      </c>
      <c r="B306" t="str">
        <f t="shared" si="4"/>
        <v>Q4</v>
      </c>
      <c r="C306" t="str">
        <f>TEXT(Table1[[#This Row],[Order_Date]],"mmmm")</f>
        <v>November</v>
      </c>
      <c r="D306">
        <f>YEAR(Table1[[#This Row],[Order_Date]])</f>
        <v>2024</v>
      </c>
      <c r="E306" s="7">
        <v>45615</v>
      </c>
      <c r="F306" s="2" t="str">
        <f>VLOOKUP(Table1[[#This Row],[Customer_ID]],Customer_Dim!$A$2:$H$501,2,FALSE)</f>
        <v>William Martin</v>
      </c>
      <c r="G306" s="2" t="str">
        <f>_xlfn.XLOOKUP(Table1[[#This Row],[Customer_ID]],Customer_Dim!$A$2:$A$501,Customer_Dim!$E$2:$E$501)</f>
        <v>Ryanburgh</v>
      </c>
      <c r="H306" t="s">
        <v>163</v>
      </c>
      <c r="I306" t="str">
        <f>VLOOKUP(Table1[[#This Row],[Product_ID]],Product_Dim!$A$2:$G$101,2,FALSE)</f>
        <v>HDMI Cable – 2m-Electronics</v>
      </c>
      <c r="J306" t="s">
        <v>1625</v>
      </c>
      <c r="K306" t="str">
        <f>VLOOKUP(Table1[[#This Row],[Store_ID]],Store_Dim!$A$3:$D$22,2,FALSE)</f>
        <v>Thomas, Bridges and Harris-North</v>
      </c>
      <c r="L306" t="s">
        <v>1751</v>
      </c>
      <c r="M306" t="s">
        <v>3958</v>
      </c>
      <c r="N306" s="3">
        <v>781.39</v>
      </c>
      <c r="O306" s="4">
        <v>0.12</v>
      </c>
      <c r="P306" t="s">
        <v>1772</v>
      </c>
      <c r="Q306" s="4">
        <v>2062.8696</v>
      </c>
    </row>
    <row r="307" spans="1:17" x14ac:dyDescent="0.3">
      <c r="A307" t="s">
        <v>2079</v>
      </c>
      <c r="B307" t="str">
        <f t="shared" si="4"/>
        <v>Q2</v>
      </c>
      <c r="C307" t="str">
        <f>TEXT(Table1[[#This Row],[Order_Date]],"mmmm")</f>
        <v>May</v>
      </c>
      <c r="D307">
        <f>YEAR(Table1[[#This Row],[Order_Date]])</f>
        <v>2024</v>
      </c>
      <c r="E307" s="7">
        <v>45431</v>
      </c>
      <c r="F307" s="2" t="str">
        <f>VLOOKUP(Table1[[#This Row],[Customer_ID]],Customer_Dim!$A$2:$H$501,2,FALSE)</f>
        <v>Rodney Huffman</v>
      </c>
      <c r="G307" s="2" t="str">
        <f>_xlfn.XLOOKUP(Table1[[#This Row],[Customer_ID]],Customer_Dim!$A$2:$A$501,Customer_Dim!$E$2:$E$501)</f>
        <v>Garzafort</v>
      </c>
      <c r="H307" t="s">
        <v>681</v>
      </c>
      <c r="I307" t="str">
        <f>VLOOKUP(Table1[[#This Row],[Product_ID]],Product_Dim!$A$2:$G$101,2,FALSE)</f>
        <v>Sports Water Hydration Pack-Sports</v>
      </c>
      <c r="J307" t="s">
        <v>1599</v>
      </c>
      <c r="K307" t="str">
        <f>VLOOKUP(Table1[[#This Row],[Store_ID]],Store_Dim!$A$3:$D$22,2,FALSE)</f>
        <v>Thomas, Bridges and Harris-North</v>
      </c>
      <c r="L307" t="s">
        <v>1751</v>
      </c>
      <c r="M307" t="s">
        <v>3959</v>
      </c>
      <c r="N307" s="3">
        <v>619.74</v>
      </c>
      <c r="O307" s="4">
        <v>0.13</v>
      </c>
      <c r="P307" t="s">
        <v>1777</v>
      </c>
      <c r="Q307" s="4">
        <v>2156.6952000000001</v>
      </c>
    </row>
    <row r="308" spans="1:17" x14ac:dyDescent="0.3">
      <c r="A308" t="s">
        <v>2080</v>
      </c>
      <c r="B308" t="str">
        <f t="shared" si="4"/>
        <v>Q1</v>
      </c>
      <c r="C308" t="str">
        <f>TEXT(Table1[[#This Row],[Order_Date]],"mmmm")</f>
        <v>January</v>
      </c>
      <c r="D308">
        <f>YEAR(Table1[[#This Row],[Order_Date]])</f>
        <v>2025</v>
      </c>
      <c r="E308" s="7">
        <v>45679</v>
      </c>
      <c r="F308" s="2" t="str">
        <f>VLOOKUP(Table1[[#This Row],[Customer_ID]],Customer_Dim!$A$2:$H$501,2,FALSE)</f>
        <v>Bryan Tran</v>
      </c>
      <c r="G308" s="2" t="str">
        <f>_xlfn.XLOOKUP(Table1[[#This Row],[Customer_ID]],Customer_Dim!$A$2:$A$501,Customer_Dim!$E$2:$E$501)</f>
        <v>Kelseybury</v>
      </c>
      <c r="H308" t="s">
        <v>1464</v>
      </c>
      <c r="I308" t="str">
        <f>VLOOKUP(Table1[[#This Row],[Product_ID]],Product_Dim!$A$2:$G$101,2,FALSE)</f>
        <v>Laptop Cooling Pad-Electronics</v>
      </c>
      <c r="J308" t="s">
        <v>1647</v>
      </c>
      <c r="K308" t="str">
        <f>VLOOKUP(Table1[[#This Row],[Store_ID]],Store_Dim!$A$3:$D$22,2,FALSE)</f>
        <v>Mcdonald Inc-South</v>
      </c>
      <c r="L308" t="s">
        <v>1754</v>
      </c>
      <c r="M308" t="s">
        <v>3960</v>
      </c>
      <c r="N308" s="3">
        <v>837.76</v>
      </c>
      <c r="O308" s="4">
        <v>0.03</v>
      </c>
      <c r="P308" t="s">
        <v>1777</v>
      </c>
      <c r="Q308" s="4">
        <v>1625.2544</v>
      </c>
    </row>
    <row r="309" spans="1:17" x14ac:dyDescent="0.3">
      <c r="A309" t="s">
        <v>2081</v>
      </c>
      <c r="B309" t="str">
        <f t="shared" si="4"/>
        <v>Q3</v>
      </c>
      <c r="C309" t="str">
        <f>TEXT(Table1[[#This Row],[Order_Date]],"mmmm")</f>
        <v>July</v>
      </c>
      <c r="D309">
        <f>YEAR(Table1[[#This Row],[Order_Date]])</f>
        <v>2025</v>
      </c>
      <c r="E309" s="7">
        <v>45842</v>
      </c>
      <c r="F309" s="2" t="str">
        <f>VLOOKUP(Table1[[#This Row],[Customer_ID]],Customer_Dim!$A$2:$H$501,2,FALSE)</f>
        <v>Ashley Roberts</v>
      </c>
      <c r="G309" s="2" t="str">
        <f>_xlfn.XLOOKUP(Table1[[#This Row],[Customer_ID]],Customer_Dim!$A$2:$A$501,Customer_Dim!$E$2:$E$501)</f>
        <v>Josephmouth</v>
      </c>
      <c r="H309" t="s">
        <v>1379</v>
      </c>
      <c r="I309" t="str">
        <f>VLOOKUP(Table1[[#This Row],[Product_ID]],Product_Dim!$A$2:$G$101,2,FALSE)</f>
        <v>Gaming Mouse Pad XL-Electronics</v>
      </c>
      <c r="J309" t="s">
        <v>1703</v>
      </c>
      <c r="K309" t="str">
        <f>VLOOKUP(Table1[[#This Row],[Store_ID]],Store_Dim!$A$3:$D$22,2,FALSE)</f>
        <v>Martinez, Adkins and Johnson-North</v>
      </c>
      <c r="L309" t="s">
        <v>1728</v>
      </c>
      <c r="M309" t="s">
        <v>3958</v>
      </c>
      <c r="N309" s="3">
        <v>135.94</v>
      </c>
      <c r="O309" s="4">
        <v>0.2</v>
      </c>
      <c r="P309" t="s">
        <v>1772</v>
      </c>
      <c r="Q309" s="4">
        <v>326.25599999999997</v>
      </c>
    </row>
    <row r="310" spans="1:17" x14ac:dyDescent="0.3">
      <c r="A310" t="s">
        <v>2082</v>
      </c>
      <c r="B310" t="str">
        <f t="shared" si="4"/>
        <v>Q2</v>
      </c>
      <c r="C310" t="str">
        <f>TEXT(Table1[[#This Row],[Order_Date]],"mmmm")</f>
        <v>May</v>
      </c>
      <c r="D310">
        <f>YEAR(Table1[[#This Row],[Order_Date]])</f>
        <v>2025</v>
      </c>
      <c r="E310" s="7">
        <v>45796</v>
      </c>
      <c r="F310" s="2" t="str">
        <f>VLOOKUP(Table1[[#This Row],[Customer_ID]],Customer_Dim!$A$2:$H$501,2,FALSE)</f>
        <v>Dylan Gutierrez</v>
      </c>
      <c r="G310" s="2" t="str">
        <f>_xlfn.XLOOKUP(Table1[[#This Row],[Customer_ID]],Customer_Dim!$A$2:$A$501,Customer_Dim!$E$2:$E$501)</f>
        <v>New Jamesview</v>
      </c>
      <c r="H310" t="s">
        <v>1458</v>
      </c>
      <c r="I310" t="str">
        <f>VLOOKUP(Table1[[#This Row],[Product_ID]],Product_Dim!$A$2:$G$101,2,FALSE)</f>
        <v>Bluetooth Car Audio System-Electronics</v>
      </c>
      <c r="J310" t="s">
        <v>1671</v>
      </c>
      <c r="K310" t="str">
        <f>VLOOKUP(Table1[[#This Row],[Store_ID]],Store_Dim!$A$3:$D$22,2,FALSE)</f>
        <v>Martinez, Adkins and Johnson-North</v>
      </c>
      <c r="L310" t="s">
        <v>1728</v>
      </c>
      <c r="M310" t="s">
        <v>3959</v>
      </c>
      <c r="N310" s="3">
        <v>396.53</v>
      </c>
      <c r="O310" s="4">
        <v>7.0000000000000007E-2</v>
      </c>
      <c r="P310" t="s">
        <v>1774</v>
      </c>
      <c r="Q310" s="4">
        <v>1475.0916</v>
      </c>
    </row>
    <row r="311" spans="1:17" x14ac:dyDescent="0.3">
      <c r="A311" t="s">
        <v>2083</v>
      </c>
      <c r="B311" t="str">
        <f t="shared" si="4"/>
        <v>Q4</v>
      </c>
      <c r="C311" t="str">
        <f>TEXT(Table1[[#This Row],[Order_Date]],"mmmm")</f>
        <v>December</v>
      </c>
      <c r="D311">
        <f>YEAR(Table1[[#This Row],[Order_Date]])</f>
        <v>2023</v>
      </c>
      <c r="E311" s="7">
        <v>45264</v>
      </c>
      <c r="F311" s="2" t="str">
        <f>VLOOKUP(Table1[[#This Row],[Customer_ID]],Customer_Dim!$A$2:$H$501,2,FALSE)</f>
        <v>George Davis</v>
      </c>
      <c r="G311" s="2" t="str">
        <f>_xlfn.XLOOKUP(Table1[[#This Row],[Customer_ID]],Customer_Dim!$A$2:$A$501,Customer_Dim!$E$2:$E$501)</f>
        <v xml:space="preserve">    lake lisa</v>
      </c>
      <c r="H311" t="s">
        <v>707</v>
      </c>
      <c r="I311" t="str">
        <f>VLOOKUP(Table1[[#This Row],[Product_ID]],Product_Dim!$A$2:$G$101,2,FALSE)</f>
        <v>Fabric Sofa Throw Blanket-Home</v>
      </c>
      <c r="J311" t="s">
        <v>1581</v>
      </c>
      <c r="K311" t="str">
        <f>VLOOKUP(Table1[[#This Row],[Store_ID]],Store_Dim!$A$3:$D$22,2,FALSE)</f>
        <v>Mcdonald Inc-South</v>
      </c>
      <c r="L311" t="s">
        <v>1754</v>
      </c>
      <c r="M311" t="s">
        <v>3960</v>
      </c>
      <c r="N311" s="3">
        <v>722.45</v>
      </c>
      <c r="O311" s="4">
        <v>0.22</v>
      </c>
      <c r="P311" t="s">
        <v>1774</v>
      </c>
      <c r="Q311" s="4">
        <v>1127.0219999999999</v>
      </c>
    </row>
    <row r="312" spans="1:17" x14ac:dyDescent="0.3">
      <c r="A312" t="s">
        <v>2084</v>
      </c>
      <c r="B312" t="str">
        <f t="shared" si="4"/>
        <v>Q3</v>
      </c>
      <c r="C312" t="str">
        <f>TEXT(Table1[[#This Row],[Order_Date]],"mmmm")</f>
        <v>July</v>
      </c>
      <c r="D312">
        <f>YEAR(Table1[[#This Row],[Order_Date]])</f>
        <v>2024</v>
      </c>
      <c r="E312" s="7">
        <v>45504</v>
      </c>
      <c r="F312" s="2" t="str">
        <f>VLOOKUP(Table1[[#This Row],[Customer_ID]],Customer_Dim!$A$2:$H$501,2,FALSE)</f>
        <v>Gina Knight</v>
      </c>
      <c r="G312" s="2" t="str">
        <f>_xlfn.XLOOKUP(Table1[[#This Row],[Customer_ID]],Customer_Dim!$A$2:$A$501,Customer_Dim!$E$2:$E$501)</f>
        <v>Lake Roberthaven</v>
      </c>
      <c r="H312" t="s">
        <v>178</v>
      </c>
      <c r="I312" t="str">
        <f>VLOOKUP(Table1[[#This Row],[Product_ID]],Product_Dim!$A$2:$G$101,2,FALSE)</f>
        <v>Matte Lipstick Set-Beauty</v>
      </c>
      <c r="J312" t="s">
        <v>1651</v>
      </c>
      <c r="K312" t="str">
        <f>VLOOKUP(Table1[[#This Row],[Store_ID]],Store_Dim!$A$3:$D$22,2,FALSE)</f>
        <v>Black-Horn-South</v>
      </c>
      <c r="L312" t="s">
        <v>1730</v>
      </c>
      <c r="M312" t="s">
        <v>3960</v>
      </c>
      <c r="N312" s="3">
        <v>138.41</v>
      </c>
      <c r="O312" s="4">
        <v>0.02</v>
      </c>
      <c r="P312" t="s">
        <v>1772</v>
      </c>
      <c r="Q312" s="4">
        <v>271.28359999999998</v>
      </c>
    </row>
    <row r="313" spans="1:17" x14ac:dyDescent="0.3">
      <c r="A313" t="s">
        <v>2085</v>
      </c>
      <c r="B313" t="str">
        <f t="shared" si="4"/>
        <v>Q1</v>
      </c>
      <c r="C313" t="str">
        <f>TEXT(Table1[[#This Row],[Order_Date]],"mmmm")</f>
        <v>January</v>
      </c>
      <c r="D313">
        <f>YEAR(Table1[[#This Row],[Order_Date]])</f>
        <v>2025</v>
      </c>
      <c r="E313" s="7">
        <v>45679</v>
      </c>
      <c r="F313" s="2" t="str">
        <f>VLOOKUP(Table1[[#This Row],[Customer_ID]],Customer_Dim!$A$2:$H$501,2,FALSE)</f>
        <v>James Wolfe</v>
      </c>
      <c r="G313" s="2" t="str">
        <f>_xlfn.XLOOKUP(Table1[[#This Row],[Customer_ID]],Customer_Dim!$A$2:$A$501,Customer_Dim!$E$2:$E$501)</f>
        <v>Benjaminton</v>
      </c>
      <c r="H313" t="s">
        <v>430</v>
      </c>
      <c r="I313" t="str">
        <f>VLOOKUP(Table1[[#This Row],[Product_ID]],Product_Dim!$A$2:$G$101,2,FALSE)</f>
        <v>Wall-Mounted Spice Rack-Home</v>
      </c>
      <c r="J313" t="s">
        <v>1683</v>
      </c>
      <c r="K313" t="str">
        <f>VLOOKUP(Table1[[#This Row],[Store_ID]],Store_Dim!$A$3:$D$22,2,FALSE)</f>
        <v>Black-Horn-South</v>
      </c>
      <c r="L313" t="s">
        <v>1730</v>
      </c>
      <c r="M313" t="s">
        <v>3959</v>
      </c>
      <c r="N313" s="3">
        <v>741.51</v>
      </c>
      <c r="O313" s="4">
        <v>0.09</v>
      </c>
      <c r="P313" t="s">
        <v>1777</v>
      </c>
      <c r="Q313" s="4">
        <v>2699.0963999999999</v>
      </c>
    </row>
    <row r="314" spans="1:17" x14ac:dyDescent="0.3">
      <c r="A314" t="s">
        <v>2086</v>
      </c>
      <c r="B314" t="str">
        <f t="shared" si="4"/>
        <v>Q4</v>
      </c>
      <c r="C314" t="str">
        <f>TEXT(Table1[[#This Row],[Order_Date]],"mmmm")</f>
        <v>November</v>
      </c>
      <c r="D314">
        <f>YEAR(Table1[[#This Row],[Order_Date]])</f>
        <v>2024</v>
      </c>
      <c r="E314" s="7">
        <v>45611</v>
      </c>
      <c r="F314" s="2" t="str">
        <f>VLOOKUP(Table1[[#This Row],[Customer_ID]],Customer_Dim!$A$2:$H$501,2,FALSE)</f>
        <v>Jonathan Steele</v>
      </c>
      <c r="G314" s="2" t="str">
        <f>_xlfn.XLOOKUP(Table1[[#This Row],[Customer_ID]],Customer_Dim!$A$2:$A$501,Customer_Dim!$E$2:$E$501)</f>
        <v>Molinabury</v>
      </c>
      <c r="H314" t="s">
        <v>100</v>
      </c>
      <c r="I314" t="str">
        <f>VLOOKUP(Table1[[#This Row],[Product_ID]],Product_Dim!$A$2:$G$101,2,FALSE)</f>
        <v>Wall-Mounted Spice Rack-Home</v>
      </c>
      <c r="J314" t="s">
        <v>1683</v>
      </c>
      <c r="K314" t="str">
        <f>VLOOKUP(Table1[[#This Row],[Store_ID]],Store_Dim!$A$3:$D$22,2,FALSE)</f>
        <v>Holloway Ltd-North</v>
      </c>
      <c r="L314" t="s">
        <v>1759</v>
      </c>
      <c r="M314" t="s">
        <v>3960</v>
      </c>
      <c r="N314" s="3">
        <v>588.9</v>
      </c>
      <c r="O314" s="4">
        <v>0.19</v>
      </c>
      <c r="P314" t="s">
        <v>1774</v>
      </c>
      <c r="Q314" s="4">
        <v>954.01800000000003</v>
      </c>
    </row>
    <row r="315" spans="1:17" x14ac:dyDescent="0.3">
      <c r="A315" t="s">
        <v>2087</v>
      </c>
      <c r="B315" t="str">
        <f t="shared" si="4"/>
        <v>Q2</v>
      </c>
      <c r="C315" t="str">
        <f>TEXT(Table1[[#This Row],[Order_Date]],"mmmm")</f>
        <v>April</v>
      </c>
      <c r="D315">
        <f>YEAR(Table1[[#This Row],[Order_Date]])</f>
        <v>2024</v>
      </c>
      <c r="E315" s="7">
        <v>45389</v>
      </c>
      <c r="F315" s="2" t="str">
        <f>VLOOKUP(Table1[[#This Row],[Customer_ID]],Customer_Dim!$A$2:$H$501,2,FALSE)</f>
        <v>Miss Alexandria Li Dvm</v>
      </c>
      <c r="G315" s="2" t="str">
        <f>_xlfn.XLOOKUP(Table1[[#This Row],[Customer_ID]],Customer_Dim!$A$2:$A$501,Customer_Dim!$E$2:$E$501)</f>
        <v>Port Jenniferton</v>
      </c>
      <c r="H315" t="s">
        <v>951</v>
      </c>
      <c r="I315" t="str">
        <f>VLOOKUP(Table1[[#This Row],[Product_ID]],Product_Dim!$A$2:$G$101,2,FALSE)</f>
        <v>Boxing Hand Wraps-Sports</v>
      </c>
      <c r="J315" t="s">
        <v>1623</v>
      </c>
      <c r="K315" t="str">
        <f>VLOOKUP(Table1[[#This Row],[Store_ID]],Store_Dim!$A$3:$D$22,2,FALSE)</f>
        <v>Black-Horn-South</v>
      </c>
      <c r="L315" t="s">
        <v>1730</v>
      </c>
      <c r="M315" t="s">
        <v>3957</v>
      </c>
      <c r="N315" s="3">
        <v>88.92</v>
      </c>
      <c r="O315" s="4">
        <v>0.19</v>
      </c>
      <c r="P315" t="s">
        <v>1774</v>
      </c>
      <c r="Q315" s="4">
        <v>72.025200000000012</v>
      </c>
    </row>
    <row r="316" spans="1:17" x14ac:dyDescent="0.3">
      <c r="A316" t="s">
        <v>2088</v>
      </c>
      <c r="B316" t="str">
        <f t="shared" si="4"/>
        <v>Q1</v>
      </c>
      <c r="C316" t="str">
        <f>TEXT(Table1[[#This Row],[Order_Date]],"mmmm")</f>
        <v>February</v>
      </c>
      <c r="D316">
        <f>YEAR(Table1[[#This Row],[Order_Date]])</f>
        <v>2024</v>
      </c>
      <c r="E316" s="7">
        <v>45339</v>
      </c>
      <c r="F316" s="2" t="str">
        <f>VLOOKUP(Table1[[#This Row],[Customer_ID]],Customer_Dim!$A$2:$H$501,2,FALSE)</f>
        <v>Earl Allen</v>
      </c>
      <c r="G316" s="2" t="str">
        <f>_xlfn.XLOOKUP(Table1[[#This Row],[Customer_ID]],Customer_Dim!$A$2:$A$501,Customer_Dim!$E$2:$E$501)</f>
        <v>New Jenniferburgh</v>
      </c>
      <c r="H316" t="s">
        <v>406</v>
      </c>
      <c r="I316" t="str">
        <f>VLOOKUP(Table1[[#This Row],[Product_ID]],Product_Dim!$A$2:$G$101,2,FALSE)</f>
        <v>Tennis Ball 3-Pack-Sports</v>
      </c>
      <c r="J316" t="s">
        <v>1645</v>
      </c>
      <c r="K316" t="str">
        <f>VLOOKUP(Table1[[#This Row],[Store_ID]],Store_Dim!$A$3:$D$22,2,FALSE)</f>
        <v>Frederick-Wright-West</v>
      </c>
      <c r="L316" t="s">
        <v>1757</v>
      </c>
      <c r="M316" t="s">
        <v>3957</v>
      </c>
      <c r="N316" s="3">
        <v>299.13</v>
      </c>
      <c r="O316" s="4">
        <v>0.1</v>
      </c>
      <c r="P316" t="s">
        <v>1777</v>
      </c>
      <c r="Q316" s="4">
        <v>269.21699999999998</v>
      </c>
    </row>
    <row r="317" spans="1:17" x14ac:dyDescent="0.3">
      <c r="A317" t="s">
        <v>2089</v>
      </c>
      <c r="B317" t="str">
        <f t="shared" si="4"/>
        <v>Q2</v>
      </c>
      <c r="C317" t="str">
        <f>TEXT(Table1[[#This Row],[Order_Date]],"mmmm")</f>
        <v>May</v>
      </c>
      <c r="D317">
        <f>YEAR(Table1[[#This Row],[Order_Date]])</f>
        <v>2024</v>
      </c>
      <c r="E317" s="7">
        <v>45433</v>
      </c>
      <c r="F317" s="2" t="str">
        <f>VLOOKUP(Table1[[#This Row],[Customer_ID]],Customer_Dim!$A$2:$H$501,2,FALSE)</f>
        <v>Anthony Phillips</v>
      </c>
      <c r="G317" s="2" t="str">
        <f>_xlfn.XLOOKUP(Table1[[#This Row],[Customer_ID]],Customer_Dim!$A$2:$A$501,Customer_Dim!$E$2:$E$501)</f>
        <v>North Davidport</v>
      </c>
      <c r="H317" t="s">
        <v>400</v>
      </c>
      <c r="I317" t="str">
        <f>VLOOKUP(Table1[[#This Row],[Product_ID]],Product_Dim!$A$2:$G$101,2,FALSE)</f>
        <v>WiFi Mesh Router-Electronics</v>
      </c>
      <c r="J317" t="s">
        <v>1677</v>
      </c>
      <c r="K317" t="str">
        <f>VLOOKUP(Table1[[#This Row],[Store_ID]],Store_Dim!$A$3:$D$22,2,FALSE)</f>
        <v>Johnson-Wright-North</v>
      </c>
      <c r="L317" t="s">
        <v>1733</v>
      </c>
      <c r="M317" t="s">
        <v>3960</v>
      </c>
      <c r="N317" s="3">
        <v>548.29999999999995</v>
      </c>
      <c r="O317" s="4">
        <v>0.23</v>
      </c>
      <c r="P317" t="s">
        <v>1772</v>
      </c>
      <c r="Q317" s="4">
        <v>844.38199999999995</v>
      </c>
    </row>
    <row r="318" spans="1:17" x14ac:dyDescent="0.3">
      <c r="A318" t="s">
        <v>2090</v>
      </c>
      <c r="B318" t="str">
        <f t="shared" si="4"/>
        <v>Q2</v>
      </c>
      <c r="C318" t="str">
        <f>TEXT(Table1[[#This Row],[Order_Date]],"mmmm")</f>
        <v>May</v>
      </c>
      <c r="D318">
        <f>YEAR(Table1[[#This Row],[Order_Date]])</f>
        <v>2024</v>
      </c>
      <c r="E318" s="7">
        <v>45435</v>
      </c>
      <c r="F318" s="2" t="str">
        <f>VLOOKUP(Table1[[#This Row],[Customer_ID]],Customer_Dim!$A$2:$H$501,2,FALSE)</f>
        <v>Katherine Cowan</v>
      </c>
      <c r="G318" s="2" t="str">
        <f>_xlfn.XLOOKUP(Table1[[#This Row],[Customer_ID]],Customer_Dim!$A$2:$A$501,Customer_Dim!$E$2:$E$501)</f>
        <v>New Ana</v>
      </c>
      <c r="H318" t="s">
        <v>829</v>
      </c>
      <c r="I318" t="str">
        <f>VLOOKUP(Table1[[#This Row],[Product_ID]],Product_Dim!$A$2:$G$101,2,FALSE)</f>
        <v>Sports Stopwatch Pro-Sports</v>
      </c>
      <c r="J318" t="s">
        <v>1631</v>
      </c>
      <c r="K318" t="str">
        <f>VLOOKUP(Table1[[#This Row],[Store_ID]],Store_Dim!$A$3:$D$22,2,FALSE)</f>
        <v>Hill, Wagner and Ballard-East</v>
      </c>
      <c r="L318" t="s">
        <v>1748</v>
      </c>
      <c r="M318" t="s">
        <v>3958</v>
      </c>
      <c r="N318" s="3">
        <v>977.55</v>
      </c>
      <c r="O318" s="4">
        <v>0.02</v>
      </c>
      <c r="P318" t="s">
        <v>1774</v>
      </c>
      <c r="Q318" s="4">
        <v>2873.9969999999989</v>
      </c>
    </row>
    <row r="319" spans="1:17" x14ac:dyDescent="0.3">
      <c r="A319" t="s">
        <v>2091</v>
      </c>
      <c r="B319" t="str">
        <f t="shared" si="4"/>
        <v>Q2</v>
      </c>
      <c r="C319" t="str">
        <f>TEXT(Table1[[#This Row],[Order_Date]],"mmmm")</f>
        <v>June</v>
      </c>
      <c r="D319">
        <f>YEAR(Table1[[#This Row],[Order_Date]])</f>
        <v>2025</v>
      </c>
      <c r="E319" s="7">
        <v>45823</v>
      </c>
      <c r="F319" s="2" t="str">
        <f>VLOOKUP(Table1[[#This Row],[Customer_ID]],Customer_Dim!$A$2:$H$501,2,FALSE)</f>
        <v>John Jordan</v>
      </c>
      <c r="G319" s="2" t="str">
        <f>_xlfn.XLOOKUP(Table1[[#This Row],[Customer_ID]],Customer_Dim!$A$2:$A$501,Customer_Dim!$E$2:$E$501)</f>
        <v>Port Crystalberg</v>
      </c>
      <c r="H319" t="s">
        <v>1075</v>
      </c>
      <c r="I319" t="str">
        <f>VLOOKUP(Table1[[#This Row],[Product_ID]],Product_Dim!$A$2:$G$101,2,FALSE)</f>
        <v>Adjustable Jump Rope-Sports</v>
      </c>
      <c r="J319" t="s">
        <v>1611</v>
      </c>
      <c r="K319" t="str">
        <f>VLOOKUP(Table1[[#This Row],[Store_ID]],Store_Dim!$A$3:$D$22,2,FALSE)</f>
        <v>Guerrero-Schmitt-East</v>
      </c>
      <c r="L319" t="s">
        <v>1761</v>
      </c>
      <c r="M319" t="s">
        <v>3957</v>
      </c>
      <c r="N319" s="3">
        <v>459.42</v>
      </c>
      <c r="O319" s="4">
        <v>0.28000000000000003</v>
      </c>
      <c r="P319" t="s">
        <v>1777</v>
      </c>
      <c r="Q319" s="4">
        <v>330.7824</v>
      </c>
    </row>
    <row r="320" spans="1:17" x14ac:dyDescent="0.3">
      <c r="A320" t="s">
        <v>2092</v>
      </c>
      <c r="B320" t="str">
        <f t="shared" si="4"/>
        <v>Q1</v>
      </c>
      <c r="C320" t="str">
        <f>TEXT(Table1[[#This Row],[Order_Date]],"mmmm")</f>
        <v>January</v>
      </c>
      <c r="D320">
        <f>YEAR(Table1[[#This Row],[Order_Date]])</f>
        <v>2025</v>
      </c>
      <c r="E320" s="7">
        <v>45663</v>
      </c>
      <c r="F320" s="2" t="str">
        <f>VLOOKUP(Table1[[#This Row],[Customer_ID]],Customer_Dim!$A$2:$H$501,2,FALSE)</f>
        <v>Timothy Wright</v>
      </c>
      <c r="G320" s="2" t="str">
        <f>_xlfn.XLOOKUP(Table1[[#This Row],[Customer_ID]],Customer_Dim!$A$2:$A$501,Customer_Dim!$E$2:$E$501)</f>
        <v>Ashleystad</v>
      </c>
      <c r="H320" t="s">
        <v>313</v>
      </c>
      <c r="I320" t="str">
        <f>VLOOKUP(Table1[[#This Row],[Product_ID]],Product_Dim!$A$2:$G$101,2,FALSE)</f>
        <v>Women's Casual Hoodie-Clothing</v>
      </c>
      <c r="J320" t="s">
        <v>1527</v>
      </c>
      <c r="K320" t="str">
        <f>VLOOKUP(Table1[[#This Row],[Store_ID]],Store_Dim!$A$3:$D$22,2,FALSE)</f>
        <v>Alexander Group-South</v>
      </c>
      <c r="L320" t="s">
        <v>1735</v>
      </c>
      <c r="M320" t="s">
        <v>3960</v>
      </c>
      <c r="N320" s="3">
        <v>123.19</v>
      </c>
      <c r="O320" s="4">
        <v>0.19</v>
      </c>
      <c r="P320" t="s">
        <v>1772</v>
      </c>
      <c r="Q320" s="4">
        <v>199.56780000000001</v>
      </c>
    </row>
    <row r="321" spans="1:17" x14ac:dyDescent="0.3">
      <c r="A321" t="s">
        <v>2093</v>
      </c>
      <c r="B321" t="str">
        <f t="shared" si="4"/>
        <v>Q3</v>
      </c>
      <c r="C321" t="str">
        <f>TEXT(Table1[[#This Row],[Order_Date]],"mmmm")</f>
        <v>August</v>
      </c>
      <c r="D321">
        <f>YEAR(Table1[[#This Row],[Order_Date]])</f>
        <v>2025</v>
      </c>
      <c r="E321" s="7">
        <v>45879</v>
      </c>
      <c r="F321" s="2" t="str">
        <f>VLOOKUP(Table1[[#This Row],[Customer_ID]],Customer_Dim!$A$2:$H$501,2,FALSE)</f>
        <v>Ashley Anderson</v>
      </c>
      <c r="G321" s="2" t="str">
        <f>_xlfn.XLOOKUP(Table1[[#This Row],[Customer_ID]],Customer_Dim!$A$2:$A$501,Customer_Dim!$E$2:$E$501)</f>
        <v>West Johnmouth</v>
      </c>
      <c r="H321" t="s">
        <v>1109</v>
      </c>
      <c r="I321" t="str">
        <f>VLOOKUP(Table1[[#This Row],[Product_ID]],Product_Dim!$A$2:$G$101,2,FALSE)</f>
        <v>Ceramic Plant Pot-Home</v>
      </c>
      <c r="J321" t="s">
        <v>1633</v>
      </c>
      <c r="K321" t="str">
        <f>VLOOKUP(Table1[[#This Row],[Store_ID]],Store_Dim!$A$3:$D$22,2,FALSE)</f>
        <v>Mann-Austin-East</v>
      </c>
      <c r="L321" t="s">
        <v>1763</v>
      </c>
      <c r="M321" t="s">
        <v>3957</v>
      </c>
      <c r="N321" s="3">
        <v>222.95</v>
      </c>
      <c r="O321" s="4">
        <v>0.02</v>
      </c>
      <c r="P321" t="s">
        <v>1774</v>
      </c>
      <c r="Q321" s="4">
        <v>218.49100000000001</v>
      </c>
    </row>
    <row r="322" spans="1:17" x14ac:dyDescent="0.3">
      <c r="A322" t="s">
        <v>2094</v>
      </c>
      <c r="B322" t="str">
        <f t="shared" ref="B322:B385" si="5">"Q" &amp;ROUNDUP(MONTH(E322)/3,0)</f>
        <v>Q3</v>
      </c>
      <c r="C322" t="str">
        <f>TEXT(Table1[[#This Row],[Order_Date]],"mmmm")</f>
        <v>July</v>
      </c>
      <c r="D322">
        <f>YEAR(Table1[[#This Row],[Order_Date]])</f>
        <v>2025</v>
      </c>
      <c r="E322" s="7">
        <v>45840</v>
      </c>
      <c r="F322" s="2" t="str">
        <f>VLOOKUP(Table1[[#This Row],[Customer_ID]],Customer_Dim!$A$2:$H$501,2,FALSE)</f>
        <v>Dr. Lindsay Hanna</v>
      </c>
      <c r="G322" s="2" t="str">
        <f>_xlfn.XLOOKUP(Table1[[#This Row],[Customer_ID]],Customer_Dim!$A$2:$A$501,Customer_Dim!$E$2:$E$501)</f>
        <v>New Paulstad</v>
      </c>
      <c r="H322" t="s">
        <v>1033</v>
      </c>
      <c r="I322" t="str">
        <f>VLOOKUP(Table1[[#This Row],[Product_ID]],Product_Dim!$A$2:$G$101,2,FALSE)</f>
        <v>Vitamin C Face Serum-Beauty</v>
      </c>
      <c r="J322" t="s">
        <v>1587</v>
      </c>
      <c r="K322" t="str">
        <f>VLOOKUP(Table1[[#This Row],[Store_ID]],Store_Dim!$A$3:$D$22,2,FALSE)</f>
        <v>Alexander Group-South</v>
      </c>
      <c r="L322" t="s">
        <v>1735</v>
      </c>
      <c r="M322" t="s">
        <v>3958</v>
      </c>
      <c r="N322" s="3">
        <v>601.92999999999995</v>
      </c>
      <c r="O322" s="4">
        <v>0.14000000000000001</v>
      </c>
      <c r="P322" t="s">
        <v>1772</v>
      </c>
      <c r="Q322" s="4">
        <v>1552.9793999999999</v>
      </c>
    </row>
    <row r="323" spans="1:17" x14ac:dyDescent="0.3">
      <c r="A323" t="s">
        <v>2095</v>
      </c>
      <c r="B323" t="str">
        <f t="shared" si="5"/>
        <v>Q1</v>
      </c>
      <c r="C323" t="str">
        <f>TEXT(Table1[[#This Row],[Order_Date]],"mmmm")</f>
        <v>March</v>
      </c>
      <c r="D323">
        <f>YEAR(Table1[[#This Row],[Order_Date]])</f>
        <v>2024</v>
      </c>
      <c r="E323" s="7">
        <v>45380</v>
      </c>
      <c r="F323" s="2" t="str">
        <f>VLOOKUP(Table1[[#This Row],[Customer_ID]],Customer_Dim!$A$2:$H$501,2,FALSE)</f>
        <v>Jennifer Carr</v>
      </c>
      <c r="G323" s="2" t="str">
        <f>_xlfn.XLOOKUP(Table1[[#This Row],[Customer_ID]],Customer_Dim!$A$2:$A$501,Customer_Dim!$E$2:$E$501)</f>
        <v>Lake Brett</v>
      </c>
      <c r="H323" t="s">
        <v>930</v>
      </c>
      <c r="I323" t="str">
        <f>VLOOKUP(Table1[[#This Row],[Product_ID]],Product_Dim!$A$2:$G$101,2,FALSE)</f>
        <v>Men's Sports Shorts-Clothing</v>
      </c>
      <c r="J323" t="s">
        <v>1661</v>
      </c>
      <c r="K323" t="str">
        <f>VLOOKUP(Table1[[#This Row],[Store_ID]],Store_Dim!$A$3:$D$22,2,FALSE)</f>
        <v>Black-Horn-South</v>
      </c>
      <c r="L323" t="s">
        <v>1730</v>
      </c>
      <c r="M323" t="s">
        <v>3957</v>
      </c>
      <c r="N323" s="3">
        <v>564.1</v>
      </c>
      <c r="O323" s="4">
        <v>0.03</v>
      </c>
      <c r="P323" t="s">
        <v>1772</v>
      </c>
      <c r="Q323" s="4">
        <v>547.17700000000002</v>
      </c>
    </row>
    <row r="324" spans="1:17" x14ac:dyDescent="0.3">
      <c r="A324" t="s">
        <v>2096</v>
      </c>
      <c r="B324" t="str">
        <f t="shared" si="5"/>
        <v>Q1</v>
      </c>
      <c r="C324" t="str">
        <f>TEXT(Table1[[#This Row],[Order_Date]],"mmmm")</f>
        <v>January</v>
      </c>
      <c r="D324">
        <f>YEAR(Table1[[#This Row],[Order_Date]])</f>
        <v>2025</v>
      </c>
      <c r="E324" s="7">
        <v>45672</v>
      </c>
      <c r="F324" s="2" t="str">
        <f>VLOOKUP(Table1[[#This Row],[Customer_ID]],Customer_Dim!$A$2:$H$501,2,FALSE)</f>
        <v>Amy Fowler</v>
      </c>
      <c r="G324" s="2" t="str">
        <f>_xlfn.XLOOKUP(Table1[[#This Row],[Customer_ID]],Customer_Dim!$A$2:$A$501,Customer_Dim!$E$2:$E$501)</f>
        <v>West Bobbyshire</v>
      </c>
      <c r="H324" t="s">
        <v>336</v>
      </c>
      <c r="I324" t="str">
        <f>VLOOKUP(Table1[[#This Row],[Product_ID]],Product_Dim!$A$2:$G$101,2,FALSE)</f>
        <v>Wall-Mounted Spice Rack-Home</v>
      </c>
      <c r="J324" t="s">
        <v>1683</v>
      </c>
      <c r="K324" t="str">
        <f>VLOOKUP(Table1[[#This Row],[Store_ID]],Store_Dim!$A$3:$D$22,2,FALSE)</f>
        <v>Gray Ltd-North</v>
      </c>
      <c r="L324" t="s">
        <v>1738</v>
      </c>
      <c r="M324" t="s">
        <v>3957</v>
      </c>
      <c r="N324" s="3">
        <v>516.62</v>
      </c>
      <c r="O324" s="4">
        <v>0.18</v>
      </c>
      <c r="P324" t="s">
        <v>1772</v>
      </c>
      <c r="Q324" s="4">
        <v>423.62840000000011</v>
      </c>
    </row>
    <row r="325" spans="1:17" x14ac:dyDescent="0.3">
      <c r="A325" t="s">
        <v>2097</v>
      </c>
      <c r="B325" t="str">
        <f t="shared" si="5"/>
        <v>Q3</v>
      </c>
      <c r="C325" t="str">
        <f>TEXT(Table1[[#This Row],[Order_Date]],"mmmm")</f>
        <v>July</v>
      </c>
      <c r="D325">
        <f>YEAR(Table1[[#This Row],[Order_Date]])</f>
        <v>2024</v>
      </c>
      <c r="E325" s="7">
        <v>45497</v>
      </c>
      <c r="F325" s="2" t="str">
        <f>VLOOKUP(Table1[[#This Row],[Customer_ID]],Customer_Dim!$A$2:$H$501,2,FALSE)</f>
        <v>Monica Flynn</v>
      </c>
      <c r="G325" s="2" t="str">
        <f>_xlfn.XLOOKUP(Table1[[#This Row],[Customer_ID]],Customer_Dim!$A$2:$A$501,Customer_Dim!$E$2:$E$501)</f>
        <v>Amberburgh</v>
      </c>
      <c r="H325" t="s">
        <v>1341</v>
      </c>
      <c r="I325" t="str">
        <f>VLOOKUP(Table1[[#This Row],[Product_ID]],Product_Dim!$A$2:$G$101,2,FALSE)</f>
        <v>Organic Sunscreen Lotion-Beauty</v>
      </c>
      <c r="J325" t="s">
        <v>1649</v>
      </c>
      <c r="K325" t="str">
        <f>VLOOKUP(Table1[[#This Row],[Store_ID]],Store_Dim!$A$3:$D$22,2,FALSE)</f>
        <v>Thomas, Bridges and Harris-North</v>
      </c>
      <c r="L325" t="s">
        <v>1751</v>
      </c>
      <c r="M325" t="s">
        <v>3957</v>
      </c>
      <c r="N325" s="3">
        <v>934.75</v>
      </c>
      <c r="O325" s="4">
        <v>0.11</v>
      </c>
      <c r="P325" t="s">
        <v>1774</v>
      </c>
      <c r="Q325" s="4">
        <v>831.92750000000001</v>
      </c>
    </row>
    <row r="326" spans="1:17" x14ac:dyDescent="0.3">
      <c r="A326" t="s">
        <v>2098</v>
      </c>
      <c r="B326" t="str">
        <f t="shared" si="5"/>
        <v>Q2</v>
      </c>
      <c r="C326" t="str">
        <f>TEXT(Table1[[#This Row],[Order_Date]],"mmmm")</f>
        <v>April</v>
      </c>
      <c r="D326">
        <f>YEAR(Table1[[#This Row],[Order_Date]])</f>
        <v>2024</v>
      </c>
      <c r="E326" s="7">
        <v>45407</v>
      </c>
      <c r="F326" s="2" t="str">
        <f>VLOOKUP(Table1[[#This Row],[Customer_ID]],Customer_Dim!$A$2:$H$501,2,FALSE)</f>
        <v>Nathaniel Hill</v>
      </c>
      <c r="G326" s="2" t="str">
        <f>_xlfn.XLOOKUP(Table1[[#This Row],[Customer_ID]],Customer_Dim!$A$2:$A$501,Customer_Dim!$E$2:$E$501)</f>
        <v>Lake Mark</v>
      </c>
      <c r="H326" t="s">
        <v>746</v>
      </c>
      <c r="I326" t="str">
        <f>VLOOKUP(Table1[[#This Row],[Product_ID]],Product_Dim!$A$2:$G$101,2,FALSE)</f>
        <v>Portable Bluetooth Speaker-Electronics</v>
      </c>
      <c r="J326" t="s">
        <v>1719</v>
      </c>
      <c r="K326" t="str">
        <f>VLOOKUP(Table1[[#This Row],[Store_ID]],Store_Dim!$A$3:$D$22,2,FALSE)</f>
        <v>Martinez-Mullins-South</v>
      </c>
      <c r="L326" t="s">
        <v>1742</v>
      </c>
      <c r="M326" t="s">
        <v>3959</v>
      </c>
      <c r="N326" s="3">
        <v>548.44000000000005</v>
      </c>
      <c r="O326" s="4">
        <v>0.05</v>
      </c>
      <c r="P326" t="s">
        <v>1774</v>
      </c>
      <c r="Q326" s="4">
        <v>2084.0720000000001</v>
      </c>
    </row>
    <row r="327" spans="1:17" x14ac:dyDescent="0.3">
      <c r="A327" t="s">
        <v>2099</v>
      </c>
      <c r="B327" t="str">
        <f t="shared" si="5"/>
        <v>Q2</v>
      </c>
      <c r="C327" t="str">
        <f>TEXT(Table1[[#This Row],[Order_Date]],"mmmm")</f>
        <v>April</v>
      </c>
      <c r="D327">
        <f>YEAR(Table1[[#This Row],[Order_Date]])</f>
        <v>2025</v>
      </c>
      <c r="E327" s="7">
        <v>45764</v>
      </c>
      <c r="F327" s="2" t="str">
        <f>VLOOKUP(Table1[[#This Row],[Customer_ID]],Customer_Dim!$A$2:$H$501,2,FALSE)</f>
        <v>Nathan Hernandez</v>
      </c>
      <c r="G327" s="2" t="str">
        <f>_xlfn.XLOOKUP(Table1[[#This Row],[Customer_ID]],Customer_Dim!$A$2:$A$501,Customer_Dim!$E$2:$E$501)</f>
        <v>New Becky</v>
      </c>
      <c r="H327" t="s">
        <v>63</v>
      </c>
      <c r="I327" t="str">
        <f>VLOOKUP(Table1[[#This Row],[Product_ID]],Product_Dim!$A$2:$G$101,2,FALSE)</f>
        <v>Men's Casual Sneakers-Clothing</v>
      </c>
      <c r="J327" t="s">
        <v>1597</v>
      </c>
      <c r="K327" t="str">
        <f>VLOOKUP(Table1[[#This Row],[Store_ID]],Store_Dim!$A$3:$D$22,2,FALSE)</f>
        <v>Johnson-Wright-North</v>
      </c>
      <c r="L327" t="s">
        <v>1733</v>
      </c>
      <c r="M327" t="s">
        <v>3958</v>
      </c>
      <c r="N327" s="3">
        <v>361.11</v>
      </c>
      <c r="O327" s="4">
        <v>0.06</v>
      </c>
      <c r="P327" t="s">
        <v>1772</v>
      </c>
      <c r="Q327" s="4">
        <v>1018.3302</v>
      </c>
    </row>
    <row r="328" spans="1:17" x14ac:dyDescent="0.3">
      <c r="A328" t="s">
        <v>2100</v>
      </c>
      <c r="B328" t="str">
        <f t="shared" si="5"/>
        <v>Q3</v>
      </c>
      <c r="C328" t="str">
        <f>TEXT(Table1[[#This Row],[Order_Date]],"mmmm")</f>
        <v>September</v>
      </c>
      <c r="D328">
        <f>YEAR(Table1[[#This Row],[Order_Date]])</f>
        <v>2025</v>
      </c>
      <c r="E328" s="7">
        <v>45924</v>
      </c>
      <c r="F328" s="2" t="str">
        <f>VLOOKUP(Table1[[#This Row],[Customer_ID]],Customer_Dim!$A$2:$H$501,2,FALSE)</f>
        <v>Dr. Suzanne Bullock</v>
      </c>
      <c r="G328" s="2" t="str">
        <f>_xlfn.XLOOKUP(Table1[[#This Row],[Customer_ID]],Customer_Dim!$A$2:$A$501,Customer_Dim!$E$2:$E$501)</f>
        <v>Lake Blaketon</v>
      </c>
      <c r="H328" t="s">
        <v>610</v>
      </c>
      <c r="I328" t="str">
        <f>VLOOKUP(Table1[[#This Row],[Product_ID]],Product_Dim!$A$2:$G$101,2,FALSE)</f>
        <v>USB-C Fast Charger-Electronics</v>
      </c>
      <c r="J328" t="s">
        <v>1549</v>
      </c>
      <c r="K328" t="str">
        <f>VLOOKUP(Table1[[#This Row],[Store_ID]],Store_Dim!$A$3:$D$22,2,FALSE)</f>
        <v>Martinez, Adkins and Johnson-North</v>
      </c>
      <c r="L328" t="s">
        <v>1728</v>
      </c>
      <c r="M328" t="s">
        <v>3960</v>
      </c>
      <c r="N328" s="3">
        <v>610.37</v>
      </c>
      <c r="O328" s="4">
        <v>0.1</v>
      </c>
      <c r="P328" t="s">
        <v>1774</v>
      </c>
      <c r="Q328" s="4">
        <v>1098.6659999999999</v>
      </c>
    </row>
    <row r="329" spans="1:17" x14ac:dyDescent="0.3">
      <c r="A329" t="s">
        <v>2101</v>
      </c>
      <c r="B329" t="str">
        <f t="shared" si="5"/>
        <v>Q4</v>
      </c>
      <c r="C329" t="str">
        <f>TEXT(Table1[[#This Row],[Order_Date]],"mmmm")</f>
        <v>November</v>
      </c>
      <c r="D329">
        <f>YEAR(Table1[[#This Row],[Order_Date]])</f>
        <v>2023</v>
      </c>
      <c r="E329" s="7">
        <v>45240</v>
      </c>
      <c r="F329" s="2" t="str">
        <f>VLOOKUP(Table1[[#This Row],[Customer_ID]],Customer_Dim!$A$2:$H$501,2,FALSE)</f>
        <v>Mr. Christopher Sims</v>
      </c>
      <c r="G329" s="2" t="str">
        <f>_xlfn.XLOOKUP(Table1[[#This Row],[Customer_ID]],Customer_Dim!$A$2:$A$501,Customer_Dim!$E$2:$E$501)</f>
        <v>Donaldsontown</v>
      </c>
      <c r="H329" t="s">
        <v>1039</v>
      </c>
      <c r="I329" t="str">
        <f>VLOOKUP(Table1[[#This Row],[Product_ID]],Product_Dim!$A$2:$G$101,2,FALSE)</f>
        <v>HDMI Cable – 2m-Electronics</v>
      </c>
      <c r="J329" t="s">
        <v>1625</v>
      </c>
      <c r="K329" t="str">
        <f>VLOOKUP(Table1[[#This Row],[Store_ID]],Store_Dim!$A$3:$D$22,2,FALSE)</f>
        <v>Frederick-Wright-West</v>
      </c>
      <c r="L329" t="s">
        <v>1757</v>
      </c>
      <c r="M329" t="s">
        <v>3957</v>
      </c>
      <c r="N329" s="3">
        <v>272.2</v>
      </c>
      <c r="O329" s="4">
        <v>0.3</v>
      </c>
      <c r="P329" t="s">
        <v>1772</v>
      </c>
      <c r="Q329" s="4">
        <v>190.54</v>
      </c>
    </row>
    <row r="330" spans="1:17" x14ac:dyDescent="0.3">
      <c r="A330" t="s">
        <v>2102</v>
      </c>
      <c r="B330" t="str">
        <f t="shared" si="5"/>
        <v>Q1</v>
      </c>
      <c r="C330" t="str">
        <f>TEXT(Table1[[#This Row],[Order_Date]],"mmmm")</f>
        <v>February</v>
      </c>
      <c r="D330">
        <f>YEAR(Table1[[#This Row],[Order_Date]])</f>
        <v>2024</v>
      </c>
      <c r="E330" s="7">
        <v>45349</v>
      </c>
      <c r="F330" s="2" t="str">
        <f>VLOOKUP(Table1[[#This Row],[Customer_ID]],Customer_Dim!$A$2:$H$501,2,FALSE)</f>
        <v>Monica Flynn</v>
      </c>
      <c r="G330" s="2" t="str">
        <f>_xlfn.XLOOKUP(Table1[[#This Row],[Customer_ID]],Customer_Dim!$A$2:$A$501,Customer_Dim!$E$2:$E$501)</f>
        <v>Amberburgh</v>
      </c>
      <c r="H330" t="s">
        <v>1341</v>
      </c>
      <c r="I330" t="str">
        <f>VLOOKUP(Table1[[#This Row],[Product_ID]],Product_Dim!$A$2:$G$101,2,FALSE)</f>
        <v>WiFi Mesh Router-Electronics</v>
      </c>
      <c r="J330" t="s">
        <v>1677</v>
      </c>
      <c r="K330" t="str">
        <f>VLOOKUP(Table1[[#This Row],[Store_ID]],Store_Dim!$A$3:$D$22,2,FALSE)</f>
        <v>Benson-Elliott-East</v>
      </c>
      <c r="L330" t="s">
        <v>1740</v>
      </c>
      <c r="M330" t="s">
        <v>3958</v>
      </c>
      <c r="N330" s="3">
        <v>573.1</v>
      </c>
      <c r="O330" s="4">
        <v>0.16</v>
      </c>
      <c r="P330" t="s">
        <v>1777</v>
      </c>
      <c r="Q330" s="4">
        <v>1444.212</v>
      </c>
    </row>
    <row r="331" spans="1:17" x14ac:dyDescent="0.3">
      <c r="A331" t="s">
        <v>2103</v>
      </c>
      <c r="B331" t="str">
        <f t="shared" si="5"/>
        <v>Q2</v>
      </c>
      <c r="C331" t="str">
        <f>TEXT(Table1[[#This Row],[Order_Date]],"mmmm")</f>
        <v>April</v>
      </c>
      <c r="D331">
        <f>YEAR(Table1[[#This Row],[Order_Date]])</f>
        <v>2025</v>
      </c>
      <c r="E331" s="7">
        <v>45756</v>
      </c>
      <c r="F331" s="2" t="str">
        <f>VLOOKUP(Table1[[#This Row],[Customer_ID]],Customer_Dim!$A$2:$H$501,2,FALSE)</f>
        <v>Samuel Arias</v>
      </c>
      <c r="G331" s="2" t="str">
        <f>_xlfn.XLOOKUP(Table1[[#This Row],[Customer_ID]],Customer_Dim!$A$2:$A$501,Customer_Dim!$E$2:$E$501)</f>
        <v>North Nicole</v>
      </c>
      <c r="H331" t="s">
        <v>1004</v>
      </c>
      <c r="I331" t="str">
        <f>VLOOKUP(Table1[[#This Row],[Product_ID]],Product_Dim!$A$2:$G$101,2,FALSE)</f>
        <v>Herbal Face Moisturizer-Beauty</v>
      </c>
      <c r="J331" t="s">
        <v>1535</v>
      </c>
      <c r="K331" t="str">
        <f>VLOOKUP(Table1[[#This Row],[Store_ID]],Store_Dim!$A$3:$D$22,2,FALSE)</f>
        <v>Rivera-Warner-East</v>
      </c>
      <c r="L331" t="s">
        <v>1725</v>
      </c>
      <c r="M331" t="s">
        <v>3959</v>
      </c>
      <c r="N331" s="3">
        <v>24.72</v>
      </c>
      <c r="O331" s="4">
        <v>0.28000000000000003</v>
      </c>
      <c r="P331" t="s">
        <v>1772</v>
      </c>
      <c r="Q331" s="4">
        <v>71.193599999999989</v>
      </c>
    </row>
    <row r="332" spans="1:17" x14ac:dyDescent="0.3">
      <c r="A332" t="s">
        <v>2104</v>
      </c>
      <c r="B332" t="str">
        <f t="shared" si="5"/>
        <v>Q3</v>
      </c>
      <c r="C332" t="str">
        <f>TEXT(Table1[[#This Row],[Order_Date]],"mmmm")</f>
        <v>July</v>
      </c>
      <c r="D332">
        <f>YEAR(Table1[[#This Row],[Order_Date]])</f>
        <v>2024</v>
      </c>
      <c r="E332" s="7">
        <v>45478</v>
      </c>
      <c r="F332" s="2" t="str">
        <f>VLOOKUP(Table1[[#This Row],[Customer_ID]],Customer_Dim!$A$2:$H$501,2,FALSE)</f>
        <v>Tyler Garner</v>
      </c>
      <c r="G332" s="2" t="str">
        <f>_xlfn.XLOOKUP(Table1[[#This Row],[Customer_ID]],Customer_Dim!$A$2:$A$501,Customer_Dim!$E$2:$E$501)</f>
        <v>Port Coreyfort</v>
      </c>
      <c r="H332" t="s">
        <v>797</v>
      </c>
      <c r="I332" t="str">
        <f>VLOOKUP(Table1[[#This Row],[Product_ID]],Product_Dim!$A$2:$G$101,2,FALSE)</f>
        <v>Adjustable Dumbbell Set-Sports</v>
      </c>
      <c r="J332" t="s">
        <v>1541</v>
      </c>
      <c r="K332" t="str">
        <f>VLOOKUP(Table1[[#This Row],[Store_ID]],Store_Dim!$A$3:$D$22,2,FALSE)</f>
        <v>Moore, Padilla and Butler-South</v>
      </c>
      <c r="L332" t="s">
        <v>1746</v>
      </c>
      <c r="M332" t="s">
        <v>3958</v>
      </c>
      <c r="N332" s="3">
        <v>268.89</v>
      </c>
      <c r="O332" s="4">
        <v>7.0000000000000007E-2</v>
      </c>
      <c r="P332" t="s">
        <v>1777</v>
      </c>
      <c r="Q332" s="4">
        <v>750.20309999999995</v>
      </c>
    </row>
    <row r="333" spans="1:17" x14ac:dyDescent="0.3">
      <c r="A333" t="s">
        <v>2105</v>
      </c>
      <c r="B333" t="str">
        <f t="shared" si="5"/>
        <v>Q3</v>
      </c>
      <c r="C333" t="str">
        <f>TEXT(Table1[[#This Row],[Order_Date]],"mmmm")</f>
        <v>August</v>
      </c>
      <c r="D333">
        <f>YEAR(Table1[[#This Row],[Order_Date]])</f>
        <v>2025</v>
      </c>
      <c r="E333" s="7">
        <v>45890</v>
      </c>
      <c r="F333" s="2" t="str">
        <f>VLOOKUP(Table1[[#This Row],[Customer_ID]],Customer_Dim!$A$2:$H$501,2,FALSE)</f>
        <v>Christopher David</v>
      </c>
      <c r="G333" s="2" t="str">
        <f>_xlfn.XLOOKUP(Table1[[#This Row],[Customer_ID]],Customer_Dim!$A$2:$A$501,Customer_Dim!$E$2:$E$501)</f>
        <v>Karenmouth</v>
      </c>
      <c r="H333" t="s">
        <v>814</v>
      </c>
      <c r="I333" t="str">
        <f>VLOOKUP(Table1[[#This Row],[Product_ID]],Product_Dim!$A$2:$G$101,2,FALSE)</f>
        <v>Wooden Nightstand-Home</v>
      </c>
      <c r="J333" t="s">
        <v>1659</v>
      </c>
      <c r="K333" t="str">
        <f>VLOOKUP(Table1[[#This Row],[Store_ID]],Store_Dim!$A$3:$D$22,2,FALSE)</f>
        <v>Moore, Padilla and Butler-South</v>
      </c>
      <c r="L333" t="s">
        <v>1746</v>
      </c>
      <c r="M333" t="s">
        <v>3957</v>
      </c>
      <c r="N333" s="3">
        <v>78.5</v>
      </c>
      <c r="O333" s="4">
        <v>0.17</v>
      </c>
      <c r="P333" t="s">
        <v>1777</v>
      </c>
      <c r="Q333" s="4">
        <v>65.155000000000001</v>
      </c>
    </row>
    <row r="334" spans="1:17" x14ac:dyDescent="0.3">
      <c r="A334" t="s">
        <v>2106</v>
      </c>
      <c r="B334" t="str">
        <f t="shared" si="5"/>
        <v>Q2</v>
      </c>
      <c r="C334" t="str">
        <f>TEXT(Table1[[#This Row],[Order_Date]],"mmmm")</f>
        <v>June</v>
      </c>
      <c r="D334">
        <f>YEAR(Table1[[#This Row],[Order_Date]])</f>
        <v>2025</v>
      </c>
      <c r="E334" s="7">
        <v>45815</v>
      </c>
      <c r="F334" s="2" t="str">
        <f>VLOOKUP(Table1[[#This Row],[Customer_ID]],Customer_Dim!$A$2:$H$501,2,FALSE)</f>
        <v>Hayley Pope</v>
      </c>
      <c r="G334" s="2" t="str">
        <f>_xlfn.XLOOKUP(Table1[[#This Row],[Customer_ID]],Customer_Dim!$A$2:$A$501,Customer_Dim!$E$2:$E$501)</f>
        <v>West Stephenville</v>
      </c>
      <c r="H334" t="s">
        <v>450</v>
      </c>
      <c r="I334" t="str">
        <f>VLOOKUP(Table1[[#This Row],[Product_ID]],Product_Dim!$A$2:$G$101,2,FALSE)</f>
        <v>Women's Summer Dress-Clothing</v>
      </c>
      <c r="J334" t="s">
        <v>1595</v>
      </c>
      <c r="K334" t="str">
        <f>VLOOKUP(Table1[[#This Row],[Store_ID]],Store_Dim!$A$3:$D$22,2,FALSE)</f>
        <v>Alexander Group-South</v>
      </c>
      <c r="L334" t="s">
        <v>1735</v>
      </c>
      <c r="M334" t="s">
        <v>3958</v>
      </c>
      <c r="N334" s="3">
        <v>399.42</v>
      </c>
      <c r="O334" s="4">
        <v>0.02</v>
      </c>
      <c r="P334" t="s">
        <v>1772</v>
      </c>
      <c r="Q334" s="4">
        <v>1174.2947999999999</v>
      </c>
    </row>
    <row r="335" spans="1:17" x14ac:dyDescent="0.3">
      <c r="A335" t="s">
        <v>2107</v>
      </c>
      <c r="B335" t="str">
        <f t="shared" si="5"/>
        <v>Q3</v>
      </c>
      <c r="C335" t="str">
        <f>TEXT(Table1[[#This Row],[Order_Date]],"mmmm")</f>
        <v>August</v>
      </c>
      <c r="D335">
        <f>YEAR(Table1[[#This Row],[Order_Date]])</f>
        <v>2025</v>
      </c>
      <c r="E335" s="7">
        <v>45891</v>
      </c>
      <c r="F335" s="2" t="str">
        <f>VLOOKUP(Table1[[#This Row],[Customer_ID]],Customer_Dim!$A$2:$H$501,2,FALSE)</f>
        <v>Richard Delgado</v>
      </c>
      <c r="G335" s="2" t="str">
        <f>_xlfn.XLOOKUP(Table1[[#This Row],[Customer_ID]],Customer_Dim!$A$2:$A$501,Customer_Dim!$E$2:$E$501)</f>
        <v>West Theodorechester</v>
      </c>
      <c r="H335" t="s">
        <v>304</v>
      </c>
      <c r="I335" t="str">
        <f>VLOOKUP(Table1[[#This Row],[Product_ID]],Product_Dim!$A$2:$G$101,2,FALSE)</f>
        <v>Basketball-Sports</v>
      </c>
      <c r="J335" t="s">
        <v>1585</v>
      </c>
      <c r="K335" t="str">
        <f>VLOOKUP(Table1[[#This Row],[Store_ID]],Store_Dim!$A$3:$D$22,2,FALSE)</f>
        <v>Mann-Austin-East</v>
      </c>
      <c r="L335" t="s">
        <v>1763</v>
      </c>
      <c r="M335" t="s">
        <v>3958</v>
      </c>
      <c r="N335" s="3">
        <v>455.82</v>
      </c>
      <c r="O335" s="4">
        <v>0.01</v>
      </c>
      <c r="P335" t="s">
        <v>1774</v>
      </c>
      <c r="Q335" s="4">
        <v>1353.7854</v>
      </c>
    </row>
    <row r="336" spans="1:17" x14ac:dyDescent="0.3">
      <c r="A336" t="s">
        <v>2108</v>
      </c>
      <c r="B336" t="str">
        <f t="shared" si="5"/>
        <v>Q4</v>
      </c>
      <c r="C336" t="str">
        <f>TEXT(Table1[[#This Row],[Order_Date]],"mmmm")</f>
        <v>November</v>
      </c>
      <c r="D336">
        <f>YEAR(Table1[[#This Row],[Order_Date]])</f>
        <v>2024</v>
      </c>
      <c r="E336" s="7">
        <v>45609</v>
      </c>
      <c r="F336" s="2" t="str">
        <f>VLOOKUP(Table1[[#This Row],[Customer_ID]],Customer_Dim!$A$2:$H$501,2,FALSE)</f>
        <v>Heather Valenzuela</v>
      </c>
      <c r="G336" s="2" t="str">
        <f>_xlfn.XLOOKUP(Table1[[#This Row],[Customer_ID]],Customer_Dim!$A$2:$A$501,Customer_Dim!$E$2:$E$501)</f>
        <v>New Angiefurt</v>
      </c>
      <c r="H336" t="s">
        <v>1083</v>
      </c>
      <c r="I336" t="str">
        <f>VLOOKUP(Table1[[#This Row],[Product_ID]],Product_Dim!$A$2:$G$101,2,FALSE)</f>
        <v>Boxing Hand Wraps-Sports</v>
      </c>
      <c r="J336" t="s">
        <v>1623</v>
      </c>
      <c r="K336" t="str">
        <f>VLOOKUP(Table1[[#This Row],[Store_ID]],Store_Dim!$A$3:$D$22,2,FALSE)</f>
        <v>Gray Ltd-North</v>
      </c>
      <c r="L336" t="s">
        <v>1738</v>
      </c>
      <c r="M336" t="s">
        <v>3960</v>
      </c>
      <c r="N336" s="3">
        <v>613.23</v>
      </c>
      <c r="O336" s="4">
        <v>0.15</v>
      </c>
      <c r="P336" t="s">
        <v>1774</v>
      </c>
      <c r="Q336" s="4">
        <v>1042.491</v>
      </c>
    </row>
    <row r="337" spans="1:17" x14ac:dyDescent="0.3">
      <c r="A337" t="s">
        <v>2109</v>
      </c>
      <c r="B337" t="str">
        <f t="shared" si="5"/>
        <v>Q1</v>
      </c>
      <c r="C337" t="str">
        <f>TEXT(Table1[[#This Row],[Order_Date]],"mmmm")</f>
        <v>January</v>
      </c>
      <c r="D337">
        <f>YEAR(Table1[[#This Row],[Order_Date]])</f>
        <v>2024</v>
      </c>
      <c r="E337" s="7">
        <v>45309</v>
      </c>
      <c r="F337" s="2" t="str">
        <f>VLOOKUP(Table1[[#This Row],[Customer_ID]],Customer_Dim!$A$2:$H$501,2,FALSE)</f>
        <v>Kelly Garrett</v>
      </c>
      <c r="G337" s="2" t="str">
        <f>_xlfn.XLOOKUP(Table1[[#This Row],[Customer_ID]],Customer_Dim!$A$2:$A$501,Customer_Dim!$E$2:$E$501)</f>
        <v>Port Taylorberg</v>
      </c>
      <c r="H337" t="s">
        <v>1398</v>
      </c>
      <c r="I337" t="str">
        <f>VLOOKUP(Table1[[#This Row],[Product_ID]],Product_Dim!$A$2:$G$101,2,FALSE)</f>
        <v>Women's Casual Hoodie-Clothing</v>
      </c>
      <c r="J337" t="s">
        <v>1527</v>
      </c>
      <c r="K337" t="str">
        <f>VLOOKUP(Table1[[#This Row],[Store_ID]],Store_Dim!$A$3:$D$22,2,FALSE)</f>
        <v>Mcdonald Inc-South</v>
      </c>
      <c r="L337" t="s">
        <v>1754</v>
      </c>
      <c r="M337" t="s">
        <v>3959</v>
      </c>
      <c r="N337" s="3">
        <v>971.9</v>
      </c>
      <c r="O337" s="4">
        <v>0.28000000000000003</v>
      </c>
      <c r="P337" t="s">
        <v>1774</v>
      </c>
      <c r="Q337" s="4">
        <v>2799.0720000000001</v>
      </c>
    </row>
    <row r="338" spans="1:17" x14ac:dyDescent="0.3">
      <c r="A338" t="s">
        <v>2110</v>
      </c>
      <c r="B338" t="str">
        <f t="shared" si="5"/>
        <v>Q3</v>
      </c>
      <c r="C338" t="str">
        <f>TEXT(Table1[[#This Row],[Order_Date]],"mmmm")</f>
        <v>August</v>
      </c>
      <c r="D338">
        <f>YEAR(Table1[[#This Row],[Order_Date]])</f>
        <v>2024</v>
      </c>
      <c r="E338" s="7">
        <v>45519</v>
      </c>
      <c r="F338" s="2" t="str">
        <f>VLOOKUP(Table1[[#This Row],[Customer_ID]],Customer_Dim!$A$2:$H$501,2,FALSE)</f>
        <v>Christopher Olson</v>
      </c>
      <c r="G338" s="2" t="str">
        <f>_xlfn.XLOOKUP(Table1[[#This Row],[Customer_ID]],Customer_Dim!$A$2:$A$501,Customer_Dim!$E$2:$E$501)</f>
        <v>West Richard</v>
      </c>
      <c r="H338" t="s">
        <v>136</v>
      </c>
      <c r="I338" t="str">
        <f>VLOOKUP(Table1[[#This Row],[Product_ID]],Product_Dim!$A$2:$G$101,2,FALSE)</f>
        <v>Sports Stopwatch Timer-Sports</v>
      </c>
      <c r="J338" t="s">
        <v>1579</v>
      </c>
      <c r="K338" t="str">
        <f>VLOOKUP(Table1[[#This Row],[Store_ID]],Store_Dim!$A$3:$D$22,2,FALSE)</f>
        <v>Martinez-Mullins-South</v>
      </c>
      <c r="L338" t="s">
        <v>1742</v>
      </c>
      <c r="M338" t="s">
        <v>3958</v>
      </c>
      <c r="N338" s="3">
        <v>884.92</v>
      </c>
      <c r="O338" s="4">
        <v>0.06</v>
      </c>
      <c r="P338" t="s">
        <v>1774</v>
      </c>
      <c r="Q338" s="4">
        <v>2495.4744000000001</v>
      </c>
    </row>
    <row r="339" spans="1:17" x14ac:dyDescent="0.3">
      <c r="A339" t="s">
        <v>2111</v>
      </c>
      <c r="B339" t="str">
        <f t="shared" si="5"/>
        <v>Q3</v>
      </c>
      <c r="C339" t="str">
        <f>TEXT(Table1[[#This Row],[Order_Date]],"mmmm")</f>
        <v>September</v>
      </c>
      <c r="D339">
        <f>YEAR(Table1[[#This Row],[Order_Date]])</f>
        <v>2025</v>
      </c>
      <c r="E339" s="7">
        <v>45921</v>
      </c>
      <c r="F339" s="2" t="str">
        <f>VLOOKUP(Table1[[#This Row],[Customer_ID]],Customer_Dim!$A$2:$H$501,2,FALSE)</f>
        <v>Melissa Duffy Md</v>
      </c>
      <c r="G339" s="2" t="str">
        <f>_xlfn.XLOOKUP(Table1[[#This Row],[Customer_ID]],Customer_Dim!$A$2:$A$501,Customer_Dim!$E$2:$E$501)</f>
        <v>East Jenna</v>
      </c>
      <c r="H339" t="s">
        <v>310</v>
      </c>
      <c r="I339" t="str">
        <f>VLOOKUP(Table1[[#This Row],[Product_ID]],Product_Dim!$A$2:$G$101,2,FALSE)</f>
        <v>Wireless Bluetooth Earbuds-Electronics</v>
      </c>
      <c r="J339" t="s">
        <v>1539</v>
      </c>
      <c r="K339" t="str">
        <f>VLOOKUP(Table1[[#This Row],[Store_ID]],Store_Dim!$A$3:$D$22,2,FALSE)</f>
        <v>Moore, Padilla and Butler-South</v>
      </c>
      <c r="L339" t="s">
        <v>1746</v>
      </c>
      <c r="M339" t="s">
        <v>3957</v>
      </c>
      <c r="N339" s="3">
        <v>125</v>
      </c>
      <c r="O339" s="4">
        <v>0.23</v>
      </c>
      <c r="P339" t="s">
        <v>1772</v>
      </c>
      <c r="Q339" s="4">
        <v>96.25</v>
      </c>
    </row>
    <row r="340" spans="1:17" x14ac:dyDescent="0.3">
      <c r="A340" t="s">
        <v>2112</v>
      </c>
      <c r="B340" t="str">
        <f t="shared" si="5"/>
        <v>Q2</v>
      </c>
      <c r="C340" t="str">
        <f>TEXT(Table1[[#This Row],[Order_Date]],"mmmm")</f>
        <v>June</v>
      </c>
      <c r="D340">
        <f>YEAR(Table1[[#This Row],[Order_Date]])</f>
        <v>2024</v>
      </c>
      <c r="E340" s="7">
        <v>45465</v>
      </c>
      <c r="F340" s="2" t="str">
        <f>VLOOKUP(Table1[[#This Row],[Customer_ID]],Customer_Dim!$A$2:$H$501,2,FALSE)</f>
        <v>Susan Mcdonald</v>
      </c>
      <c r="G340" s="2" t="str">
        <f>_xlfn.XLOOKUP(Table1[[#This Row],[Customer_ID]],Customer_Dim!$A$2:$A$501,Customer_Dim!$E$2:$E$501)</f>
        <v>East Ellen</v>
      </c>
      <c r="H340" t="s">
        <v>436</v>
      </c>
      <c r="I340" t="str">
        <f>VLOOKUP(Table1[[#This Row],[Product_ID]],Product_Dim!$A$2:$G$101,2,FALSE)</f>
        <v>Ceramic Kitchen Bowl Set-Home</v>
      </c>
      <c r="J340" t="s">
        <v>1543</v>
      </c>
      <c r="K340" t="str">
        <f>VLOOKUP(Table1[[#This Row],[Store_ID]],Store_Dim!$A$3:$D$22,2,FALSE)</f>
        <v>Shelton PLC-North</v>
      </c>
      <c r="L340" t="s">
        <v>1755</v>
      </c>
      <c r="M340" t="s">
        <v>3960</v>
      </c>
      <c r="N340" s="3">
        <v>188.25</v>
      </c>
      <c r="O340" s="4">
        <v>0.08</v>
      </c>
      <c r="P340" t="s">
        <v>1774</v>
      </c>
      <c r="Q340" s="4">
        <v>346.38</v>
      </c>
    </row>
    <row r="341" spans="1:17" x14ac:dyDescent="0.3">
      <c r="A341" t="s">
        <v>2113</v>
      </c>
      <c r="B341" t="str">
        <f t="shared" si="5"/>
        <v>Q1</v>
      </c>
      <c r="C341" t="str">
        <f>TEXT(Table1[[#This Row],[Order_Date]],"mmmm")</f>
        <v>January</v>
      </c>
      <c r="D341">
        <f>YEAR(Table1[[#This Row],[Order_Date]])</f>
        <v>2024</v>
      </c>
      <c r="E341" s="7">
        <v>45303</v>
      </c>
      <c r="F341" s="2" t="str">
        <f>VLOOKUP(Table1[[#This Row],[Customer_ID]],Customer_Dim!$A$2:$H$501,2,FALSE)</f>
        <v>Alejandro Doyle</v>
      </c>
      <c r="G341" s="2" t="str">
        <f>_xlfn.XLOOKUP(Table1[[#This Row],[Customer_ID]],Customer_Dim!$A$2:$A$501,Customer_Dim!$E$2:$E$501)</f>
        <v>East Crystalton</v>
      </c>
      <c r="H341" t="s">
        <v>713</v>
      </c>
      <c r="I341" t="str">
        <f>VLOOKUP(Table1[[#This Row],[Product_ID]],Product_Dim!$A$2:$G$101,2,FALSE)</f>
        <v>Men's Winter Jacket-Clothing</v>
      </c>
      <c r="J341" t="s">
        <v>1615</v>
      </c>
      <c r="K341" t="str">
        <f>VLOOKUP(Table1[[#This Row],[Store_ID]],Store_Dim!$A$3:$D$22,2,FALSE)</f>
        <v>Benson-Elliott-East</v>
      </c>
      <c r="L341" t="s">
        <v>1740</v>
      </c>
      <c r="M341" t="s">
        <v>3959</v>
      </c>
      <c r="N341" s="3">
        <v>344.12</v>
      </c>
      <c r="O341" s="4">
        <v>0.25</v>
      </c>
      <c r="P341" t="s">
        <v>1774</v>
      </c>
      <c r="Q341" s="4">
        <v>1032.3599999999999</v>
      </c>
    </row>
    <row r="342" spans="1:17" x14ac:dyDescent="0.3">
      <c r="A342" t="s">
        <v>2114</v>
      </c>
      <c r="B342" t="str">
        <f t="shared" si="5"/>
        <v>Q4</v>
      </c>
      <c r="C342" t="str">
        <f>TEXT(Table1[[#This Row],[Order_Date]],"mmmm")</f>
        <v>October</v>
      </c>
      <c r="D342">
        <f>YEAR(Table1[[#This Row],[Order_Date]])</f>
        <v>2023</v>
      </c>
      <c r="E342" s="7">
        <v>45218</v>
      </c>
      <c r="F342" s="2" t="str">
        <f>VLOOKUP(Table1[[#This Row],[Customer_ID]],Customer_Dim!$A$2:$H$501,2,FALSE)</f>
        <v>Gina Knight</v>
      </c>
      <c r="G342" s="2" t="str">
        <f>_xlfn.XLOOKUP(Table1[[#This Row],[Customer_ID]],Customer_Dim!$A$2:$A$501,Customer_Dim!$E$2:$E$501)</f>
        <v>Lake Roberthaven</v>
      </c>
      <c r="H342" t="s">
        <v>178</v>
      </c>
      <c r="I342" t="str">
        <f>VLOOKUP(Table1[[#This Row],[Product_ID]],Product_Dim!$A$2:$G$101,2,FALSE)</f>
        <v>Soccer Training Cone Set-Sports</v>
      </c>
      <c r="J342" t="s">
        <v>1557</v>
      </c>
      <c r="K342" t="str">
        <f>VLOOKUP(Table1[[#This Row],[Store_ID]],Store_Dim!$A$3:$D$22,2,FALSE)</f>
        <v>Mann-Austin-East</v>
      </c>
      <c r="L342" t="s">
        <v>1763</v>
      </c>
      <c r="M342" t="s">
        <v>3958</v>
      </c>
      <c r="N342" s="3">
        <v>997.95</v>
      </c>
      <c r="O342" s="4">
        <v>0.09</v>
      </c>
      <c r="P342" t="s">
        <v>1777</v>
      </c>
      <c r="Q342" s="4">
        <v>2724.4034999999999</v>
      </c>
    </row>
    <row r="343" spans="1:17" x14ac:dyDescent="0.3">
      <c r="A343" t="s">
        <v>2115</v>
      </c>
      <c r="B343" t="str">
        <f t="shared" si="5"/>
        <v>Q1</v>
      </c>
      <c r="C343" t="str">
        <f>TEXT(Table1[[#This Row],[Order_Date]],"mmmm")</f>
        <v>March</v>
      </c>
      <c r="D343">
        <f>YEAR(Table1[[#This Row],[Order_Date]])</f>
        <v>2025</v>
      </c>
      <c r="E343" s="7">
        <v>45727</v>
      </c>
      <c r="F343" s="2" t="str">
        <f>VLOOKUP(Table1[[#This Row],[Customer_ID]],Customer_Dim!$A$2:$H$501,2,FALSE)</f>
        <v>Stephanie Conway</v>
      </c>
      <c r="G343" s="2" t="str">
        <f>_xlfn.XLOOKUP(Table1[[#This Row],[Customer_ID]],Customer_Dim!$A$2:$A$501,Customer_Dim!$E$2:$E$501)</f>
        <v>Port Frankmouth</v>
      </c>
      <c r="H343" t="s">
        <v>500</v>
      </c>
      <c r="I343" t="str">
        <f>VLOOKUP(Table1[[#This Row],[Product_ID]],Product_Dim!$A$2:$G$101,2,FALSE)</f>
        <v>HD Smart TV Stick-Electronics</v>
      </c>
      <c r="J343" t="s">
        <v>1545</v>
      </c>
      <c r="K343" t="str">
        <f>VLOOKUP(Table1[[#This Row],[Store_ID]],Store_Dim!$A$3:$D$22,2,FALSE)</f>
        <v>Shelton PLC-North</v>
      </c>
      <c r="L343" t="s">
        <v>1755</v>
      </c>
      <c r="M343" t="s">
        <v>3958</v>
      </c>
      <c r="N343" s="3">
        <v>121.64</v>
      </c>
      <c r="O343" s="4">
        <v>7.0000000000000007E-2</v>
      </c>
      <c r="P343" t="s">
        <v>1774</v>
      </c>
      <c r="Q343" s="4">
        <v>339.37560000000002</v>
      </c>
    </row>
    <row r="344" spans="1:17" x14ac:dyDescent="0.3">
      <c r="A344" t="s">
        <v>2116</v>
      </c>
      <c r="B344" t="str">
        <f t="shared" si="5"/>
        <v>Q3</v>
      </c>
      <c r="C344" t="str">
        <f>TEXT(Table1[[#This Row],[Order_Date]],"mmmm")</f>
        <v>September</v>
      </c>
      <c r="D344">
        <f>YEAR(Table1[[#This Row],[Order_Date]])</f>
        <v>2024</v>
      </c>
      <c r="E344" s="7">
        <v>45557</v>
      </c>
      <c r="F344" s="2" t="str">
        <f>VLOOKUP(Table1[[#This Row],[Customer_ID]],Customer_Dim!$A$2:$H$501,2,FALSE)</f>
        <v>Lisa Young</v>
      </c>
      <c r="G344" s="2" t="str">
        <f>_xlfn.XLOOKUP(Table1[[#This Row],[Customer_ID]],Customer_Dim!$A$2:$A$501,Customer_Dim!$E$2:$E$501)</f>
        <v>Maybury</v>
      </c>
      <c r="H344" t="s">
        <v>710</v>
      </c>
      <c r="I344" t="str">
        <f>VLOOKUP(Table1[[#This Row],[Product_ID]],Product_Dim!$A$2:$G$101,2,FALSE)</f>
        <v>Wooden Nightstand-Home</v>
      </c>
      <c r="J344" t="s">
        <v>1659</v>
      </c>
      <c r="K344" t="str">
        <f>VLOOKUP(Table1[[#This Row],[Store_ID]],Store_Dim!$A$3:$D$22,2,FALSE)</f>
        <v>Hill, Wagner and Ballard-East</v>
      </c>
      <c r="L344" t="s">
        <v>1748</v>
      </c>
      <c r="M344" t="s">
        <v>3960</v>
      </c>
      <c r="N344" s="3">
        <v>692.72</v>
      </c>
      <c r="O344" s="4">
        <v>0.13</v>
      </c>
      <c r="P344" t="s">
        <v>1774</v>
      </c>
      <c r="Q344" s="4">
        <v>1205.3327999999999</v>
      </c>
    </row>
    <row r="345" spans="1:17" x14ac:dyDescent="0.3">
      <c r="A345" t="s">
        <v>2117</v>
      </c>
      <c r="B345" t="str">
        <f t="shared" si="5"/>
        <v>Q4</v>
      </c>
      <c r="C345" t="str">
        <f>TEXT(Table1[[#This Row],[Order_Date]],"mmmm")</f>
        <v>November</v>
      </c>
      <c r="D345">
        <f>YEAR(Table1[[#This Row],[Order_Date]])</f>
        <v>2024</v>
      </c>
      <c r="E345" s="7">
        <v>45623</v>
      </c>
      <c r="F345" s="2" t="str">
        <f>VLOOKUP(Table1[[#This Row],[Customer_ID]],Customer_Dim!$A$2:$H$501,2,FALSE)</f>
        <v>Leslie Johnson</v>
      </c>
      <c r="G345" s="2" t="str">
        <f>_xlfn.XLOOKUP(Table1[[#This Row],[Customer_ID]],Customer_Dim!$A$2:$A$501,Customer_Dim!$E$2:$E$501)</f>
        <v>Mollyshire</v>
      </c>
      <c r="H345" t="s">
        <v>114</v>
      </c>
      <c r="I345" t="str">
        <f>VLOOKUP(Table1[[#This Row],[Product_ID]],Product_Dim!$A$2:$G$101,2,FALSE)</f>
        <v>Foldable Camping Chair-Sports</v>
      </c>
      <c r="J345" t="s">
        <v>1571</v>
      </c>
      <c r="K345" t="str">
        <f>VLOOKUP(Table1[[#This Row],[Store_ID]],Store_Dim!$A$3:$D$22,2,FALSE)</f>
        <v>Mann-Austin-East</v>
      </c>
      <c r="L345" t="s">
        <v>1763</v>
      </c>
      <c r="M345" t="s">
        <v>3958</v>
      </c>
      <c r="N345" s="3">
        <v>794.59</v>
      </c>
      <c r="O345" s="4">
        <v>0.03</v>
      </c>
      <c r="P345" t="s">
        <v>1774</v>
      </c>
      <c r="Q345" s="4">
        <v>2312.2568999999999</v>
      </c>
    </row>
    <row r="346" spans="1:17" x14ac:dyDescent="0.3">
      <c r="A346" t="s">
        <v>2118</v>
      </c>
      <c r="B346" t="str">
        <f t="shared" si="5"/>
        <v>Q4</v>
      </c>
      <c r="C346" t="str">
        <f>TEXT(Table1[[#This Row],[Order_Date]],"mmmm")</f>
        <v>October</v>
      </c>
      <c r="D346">
        <f>YEAR(Table1[[#This Row],[Order_Date]])</f>
        <v>2023</v>
      </c>
      <c r="E346" s="7">
        <v>45224</v>
      </c>
      <c r="F346" s="2" t="str">
        <f>VLOOKUP(Table1[[#This Row],[Customer_ID]],Customer_Dim!$A$2:$H$501,2,FALSE)</f>
        <v>Ashley Cohen</v>
      </c>
      <c r="G346" s="2" t="str">
        <f>_xlfn.XLOOKUP(Table1[[#This Row],[Customer_ID]],Customer_Dim!$A$2:$A$501,Customer_Dim!$E$2:$E$501)</f>
        <v>Lake Kristamouth</v>
      </c>
      <c r="H346" t="s">
        <v>67</v>
      </c>
      <c r="I346" t="str">
        <f>VLOOKUP(Table1[[#This Row],[Product_ID]],Product_Dim!$A$2:$G$101,2,FALSE)</f>
        <v>Wireless Bluetooth Speaker-Electronics</v>
      </c>
      <c r="J346" t="s">
        <v>1575</v>
      </c>
      <c r="K346" t="str">
        <f>VLOOKUP(Table1[[#This Row],[Store_ID]],Store_Dim!$A$3:$D$22,2,FALSE)</f>
        <v>Moore, Padilla and Butler-South</v>
      </c>
      <c r="L346" t="s">
        <v>1746</v>
      </c>
      <c r="M346" t="s">
        <v>3957</v>
      </c>
      <c r="N346" s="3">
        <v>907.95</v>
      </c>
      <c r="O346" s="4">
        <v>0.1</v>
      </c>
      <c r="P346" t="s">
        <v>1774</v>
      </c>
      <c r="Q346" s="4">
        <v>817.15500000000009</v>
      </c>
    </row>
    <row r="347" spans="1:17" x14ac:dyDescent="0.3">
      <c r="A347" t="s">
        <v>2119</v>
      </c>
      <c r="B347" t="str">
        <f t="shared" si="5"/>
        <v>Q4</v>
      </c>
      <c r="C347" t="str">
        <f>TEXT(Table1[[#This Row],[Order_Date]],"mmmm")</f>
        <v>October</v>
      </c>
      <c r="D347">
        <f>YEAR(Table1[[#This Row],[Order_Date]])</f>
        <v>2025</v>
      </c>
      <c r="E347" s="7">
        <v>45940</v>
      </c>
      <c r="F347" s="2" t="str">
        <f>VLOOKUP(Table1[[#This Row],[Customer_ID]],Customer_Dim!$A$2:$H$501,2,FALSE)</f>
        <v>Cynthia Roberts</v>
      </c>
      <c r="G347" s="2" t="str">
        <f>_xlfn.XLOOKUP(Table1[[#This Row],[Customer_ID]],Customer_Dim!$A$2:$A$501,Customer_Dim!$E$2:$E$501)</f>
        <v>Millerfort</v>
      </c>
      <c r="H347" t="s">
        <v>903</v>
      </c>
      <c r="I347" t="str">
        <f>VLOOKUP(Table1[[#This Row],[Product_ID]],Product_Dim!$A$2:$G$101,2,FALSE)</f>
        <v>Boxing Hand Wraps-Sports</v>
      </c>
      <c r="J347" t="s">
        <v>1623</v>
      </c>
      <c r="K347" t="str">
        <f>VLOOKUP(Table1[[#This Row],[Store_ID]],Store_Dim!$A$3:$D$22,2,FALSE)</f>
        <v>Rivera-Warner-East</v>
      </c>
      <c r="L347" t="s">
        <v>1725</v>
      </c>
      <c r="M347" t="s">
        <v>3960</v>
      </c>
      <c r="N347" s="3">
        <v>660.81</v>
      </c>
      <c r="O347" s="4">
        <v>0.18</v>
      </c>
      <c r="P347" t="s">
        <v>1772</v>
      </c>
      <c r="Q347" s="4">
        <v>1083.7284</v>
      </c>
    </row>
    <row r="348" spans="1:17" x14ac:dyDescent="0.3">
      <c r="A348" t="s">
        <v>2120</v>
      </c>
      <c r="B348" t="str">
        <f t="shared" si="5"/>
        <v>Q3</v>
      </c>
      <c r="C348" t="str">
        <f>TEXT(Table1[[#This Row],[Order_Date]],"mmmm")</f>
        <v>September</v>
      </c>
      <c r="D348">
        <f>YEAR(Table1[[#This Row],[Order_Date]])</f>
        <v>2025</v>
      </c>
      <c r="E348" s="7">
        <v>45915</v>
      </c>
      <c r="F348" s="2" t="str">
        <f>VLOOKUP(Table1[[#This Row],[Customer_ID]],Customer_Dim!$A$2:$H$501,2,FALSE)</f>
        <v>Kristin Stein</v>
      </c>
      <c r="G348" s="2" t="str">
        <f>_xlfn.XLOOKUP(Table1[[#This Row],[Customer_ID]],Customer_Dim!$A$2:$A$501,Customer_Dim!$E$2:$E$501)</f>
        <v>Jennifermouth</v>
      </c>
      <c r="H348" t="s">
        <v>224</v>
      </c>
      <c r="I348" t="str">
        <f>VLOOKUP(Table1[[#This Row],[Product_ID]],Product_Dim!$A$2:$G$101,2,FALSE)</f>
        <v>HDMI Cable – 2m-Electronics</v>
      </c>
      <c r="J348" t="s">
        <v>1625</v>
      </c>
      <c r="K348" t="str">
        <f>VLOOKUP(Table1[[#This Row],[Store_ID]],Store_Dim!$A$3:$D$22,2,FALSE)</f>
        <v>Bean, Jones and Park-West</v>
      </c>
      <c r="L348" t="s">
        <v>1744</v>
      </c>
      <c r="M348" t="s">
        <v>3958</v>
      </c>
      <c r="N348" s="3">
        <v>564.94000000000005</v>
      </c>
      <c r="O348" s="4">
        <v>0.22</v>
      </c>
      <c r="P348" t="s">
        <v>1777</v>
      </c>
      <c r="Q348" s="4">
        <v>1321.9595999999999</v>
      </c>
    </row>
    <row r="349" spans="1:17" x14ac:dyDescent="0.3">
      <c r="A349" t="s">
        <v>2121</v>
      </c>
      <c r="B349" t="str">
        <f t="shared" si="5"/>
        <v>Q3</v>
      </c>
      <c r="C349" t="str">
        <f>TEXT(Table1[[#This Row],[Order_Date]],"mmmm")</f>
        <v>September</v>
      </c>
      <c r="D349">
        <f>YEAR(Table1[[#This Row],[Order_Date]])</f>
        <v>2024</v>
      </c>
      <c r="E349" s="7">
        <v>45541</v>
      </c>
      <c r="F349" s="2" t="str">
        <f>VLOOKUP(Table1[[#This Row],[Customer_ID]],Customer_Dim!$A$2:$H$501,2,FALSE)</f>
        <v>Katherine Dorsey</v>
      </c>
      <c r="G349" s="2" t="str">
        <f>_xlfn.XLOOKUP(Table1[[#This Row],[Customer_ID]],Customer_Dim!$A$2:$A$501,Customer_Dim!$E$2:$E$501)</f>
        <v>Christopherland</v>
      </c>
      <c r="H349" t="s">
        <v>202</v>
      </c>
      <c r="I349" t="str">
        <f>VLOOKUP(Table1[[#This Row],[Product_ID]],Product_Dim!$A$2:$G$101,2,FALSE)</f>
        <v>4K Home Projector-Electronics</v>
      </c>
      <c r="J349" t="s">
        <v>1553</v>
      </c>
      <c r="K349" t="str">
        <f>VLOOKUP(Table1[[#This Row],[Store_ID]],Store_Dim!$A$3:$D$22,2,FALSE)</f>
        <v>Shelton PLC-North</v>
      </c>
      <c r="L349" t="s">
        <v>1755</v>
      </c>
      <c r="M349" t="s">
        <v>3960</v>
      </c>
      <c r="N349" s="3">
        <v>280.37</v>
      </c>
      <c r="O349" s="4">
        <v>0.22</v>
      </c>
      <c r="P349" t="s">
        <v>1777</v>
      </c>
      <c r="Q349" s="4">
        <v>437.37720000000002</v>
      </c>
    </row>
    <row r="350" spans="1:17" x14ac:dyDescent="0.3">
      <c r="A350" t="s">
        <v>2122</v>
      </c>
      <c r="B350" t="str">
        <f t="shared" si="5"/>
        <v>Q3</v>
      </c>
      <c r="C350" t="str">
        <f>TEXT(Table1[[#This Row],[Order_Date]],"mmmm")</f>
        <v>July</v>
      </c>
      <c r="D350">
        <f>YEAR(Table1[[#This Row],[Order_Date]])</f>
        <v>2024</v>
      </c>
      <c r="E350" s="7">
        <v>45489</v>
      </c>
      <c r="F350" s="2" t="str">
        <f>VLOOKUP(Table1[[#This Row],[Customer_ID]],Customer_Dim!$A$2:$H$501,2,FALSE)</f>
        <v>Jacqueline Anthony</v>
      </c>
      <c r="G350" s="2" t="str">
        <f>_xlfn.XLOOKUP(Table1[[#This Row],[Customer_ID]],Customer_Dim!$A$2:$A$501,Customer_Dim!$E$2:$E$501)</f>
        <v>Vincentside</v>
      </c>
      <c r="H350" t="s">
        <v>1150</v>
      </c>
      <c r="I350" t="str">
        <f>VLOOKUP(Table1[[#This Row],[Product_ID]],Product_Dim!$A$2:$G$101,2,FALSE)</f>
        <v>Boxing Hand Wraps-Sports</v>
      </c>
      <c r="J350" t="s">
        <v>1623</v>
      </c>
      <c r="K350" t="str">
        <f>VLOOKUP(Table1[[#This Row],[Store_ID]],Store_Dim!$A$3:$D$22,2,FALSE)</f>
        <v>Johnson-Wright-North</v>
      </c>
      <c r="L350" t="s">
        <v>1733</v>
      </c>
      <c r="M350" t="s">
        <v>3960</v>
      </c>
      <c r="N350" s="3">
        <v>85.23</v>
      </c>
      <c r="O350" s="4">
        <v>0.13</v>
      </c>
      <c r="P350" t="s">
        <v>1772</v>
      </c>
      <c r="Q350" s="4">
        <v>148.30019999999999</v>
      </c>
    </row>
    <row r="351" spans="1:17" x14ac:dyDescent="0.3">
      <c r="A351" t="s">
        <v>2123</v>
      </c>
      <c r="B351" t="str">
        <f t="shared" si="5"/>
        <v>Q2</v>
      </c>
      <c r="C351" t="str">
        <f>TEXT(Table1[[#This Row],[Order_Date]],"mmmm")</f>
        <v>April</v>
      </c>
      <c r="D351">
        <f>YEAR(Table1[[#This Row],[Order_Date]])</f>
        <v>2025</v>
      </c>
      <c r="E351" s="7">
        <v>45748</v>
      </c>
      <c r="F351" s="2" t="str">
        <f>VLOOKUP(Table1[[#This Row],[Customer_ID]],Customer_Dim!$A$2:$H$501,2,FALSE)</f>
        <v>Jason Mullins</v>
      </c>
      <c r="G351" s="2" t="str">
        <f>_xlfn.XLOOKUP(Table1[[#This Row],[Customer_ID]],Customer_Dim!$A$2:$A$501,Customer_Dim!$E$2:$E$501)</f>
        <v>Brianchester</v>
      </c>
      <c r="H351" t="s">
        <v>974</v>
      </c>
      <c r="I351" t="str">
        <f>VLOOKUP(Table1[[#This Row],[Product_ID]],Product_Dim!$A$2:$G$101,2,FALSE)</f>
        <v>Decorative Floor Vase-Home</v>
      </c>
      <c r="J351" t="s">
        <v>1577</v>
      </c>
      <c r="K351" t="str">
        <f>VLOOKUP(Table1[[#This Row],[Store_ID]],Store_Dim!$A$3:$D$22,2,FALSE)</f>
        <v>Gardner, Humphrey and Contreras-East</v>
      </c>
      <c r="L351" t="s">
        <v>1753</v>
      </c>
      <c r="M351" t="s">
        <v>3960</v>
      </c>
      <c r="N351" s="3">
        <v>563.29999999999995</v>
      </c>
      <c r="O351" s="4">
        <v>0.26</v>
      </c>
      <c r="P351" t="s">
        <v>1772</v>
      </c>
      <c r="Q351" s="4">
        <v>833.68399999999997</v>
      </c>
    </row>
    <row r="352" spans="1:17" x14ac:dyDescent="0.3">
      <c r="A352" t="s">
        <v>2124</v>
      </c>
      <c r="B352" t="str">
        <f t="shared" si="5"/>
        <v>Q1</v>
      </c>
      <c r="C352" t="str">
        <f>TEXT(Table1[[#This Row],[Order_Date]],"mmmm")</f>
        <v>January</v>
      </c>
      <c r="D352">
        <f>YEAR(Table1[[#This Row],[Order_Date]])</f>
        <v>2024</v>
      </c>
      <c r="E352" s="7">
        <v>45309</v>
      </c>
      <c r="F352" s="2" t="str">
        <f>VLOOKUP(Table1[[#This Row],[Customer_ID]],Customer_Dim!$A$2:$H$501,2,FALSE)</f>
        <v>Robert Jones Dds</v>
      </c>
      <c r="G352" s="2" t="str">
        <f>_xlfn.XLOOKUP(Table1[[#This Row],[Customer_ID]],Customer_Dim!$A$2:$A$501,Customer_Dim!$E$2:$E$501)</f>
        <v>Tristanton</v>
      </c>
      <c r="H352" t="s">
        <v>134</v>
      </c>
      <c r="I352" t="str">
        <f>VLOOKUP(Table1[[#This Row],[Product_ID]],Product_Dim!$A$2:$G$101,2,FALSE)</f>
        <v>Wall-Mounted Spice Rack-Home</v>
      </c>
      <c r="J352" t="s">
        <v>1683</v>
      </c>
      <c r="K352" t="str">
        <f>VLOOKUP(Table1[[#This Row],[Store_ID]],Store_Dim!$A$3:$D$22,2,FALSE)</f>
        <v>Guerrero-Schmitt-East</v>
      </c>
      <c r="L352" t="s">
        <v>1761</v>
      </c>
      <c r="M352" t="s">
        <v>3960</v>
      </c>
      <c r="N352" s="3">
        <v>827.81</v>
      </c>
      <c r="O352" s="4">
        <v>0.04</v>
      </c>
      <c r="P352" t="s">
        <v>1774</v>
      </c>
      <c r="Q352" s="4">
        <v>1589.3951999999999</v>
      </c>
    </row>
    <row r="353" spans="1:17" x14ac:dyDescent="0.3">
      <c r="A353" t="s">
        <v>2125</v>
      </c>
      <c r="B353" t="str">
        <f t="shared" si="5"/>
        <v>Q4</v>
      </c>
      <c r="C353" t="str">
        <f>TEXT(Table1[[#This Row],[Order_Date]],"mmmm")</f>
        <v>November</v>
      </c>
      <c r="D353">
        <f>YEAR(Table1[[#This Row],[Order_Date]])</f>
        <v>2024</v>
      </c>
      <c r="E353" s="7">
        <v>45621</v>
      </c>
      <c r="F353" s="2" t="str">
        <f>VLOOKUP(Table1[[#This Row],[Customer_ID]],Customer_Dim!$A$2:$H$501,2,FALSE)</f>
        <v>Eric Todd</v>
      </c>
      <c r="G353" s="2" t="str">
        <f>_xlfn.XLOOKUP(Table1[[#This Row],[Customer_ID]],Customer_Dim!$A$2:$A$501,Customer_Dim!$E$2:$E$501)</f>
        <v>Danielstad</v>
      </c>
      <c r="H353" t="s">
        <v>690</v>
      </c>
      <c r="I353" t="str">
        <f>VLOOKUP(Table1[[#This Row],[Product_ID]],Product_Dim!$A$2:$G$101,2,FALSE)</f>
        <v>Hair Strengthening Shampoo-Beauty</v>
      </c>
      <c r="J353" t="s">
        <v>1547</v>
      </c>
      <c r="K353" t="str">
        <f>VLOOKUP(Table1[[#This Row],[Store_ID]],Store_Dim!$A$3:$D$22,2,FALSE)</f>
        <v>Guerrero-Schmitt-East</v>
      </c>
      <c r="L353" t="s">
        <v>1761</v>
      </c>
      <c r="M353" t="s">
        <v>3958</v>
      </c>
      <c r="N353" s="3">
        <v>877.71</v>
      </c>
      <c r="O353" s="4">
        <v>0.12</v>
      </c>
      <c r="P353" t="s">
        <v>1774</v>
      </c>
      <c r="Q353" s="4">
        <v>2317.1543999999999</v>
      </c>
    </row>
    <row r="354" spans="1:17" x14ac:dyDescent="0.3">
      <c r="A354" t="s">
        <v>2126</v>
      </c>
      <c r="B354" t="str">
        <f t="shared" si="5"/>
        <v>Q4</v>
      </c>
      <c r="C354" t="str">
        <f>TEXT(Table1[[#This Row],[Order_Date]],"mmmm")</f>
        <v>November</v>
      </c>
      <c r="D354">
        <f>YEAR(Table1[[#This Row],[Order_Date]])</f>
        <v>2024</v>
      </c>
      <c r="E354" s="7">
        <v>45603</v>
      </c>
      <c r="F354" s="2" t="str">
        <f>VLOOKUP(Table1[[#This Row],[Customer_ID]],Customer_Dim!$A$2:$H$501,2,FALSE)</f>
        <v>Christopher David</v>
      </c>
      <c r="G354" s="2" t="str">
        <f>_xlfn.XLOOKUP(Table1[[#This Row],[Customer_ID]],Customer_Dim!$A$2:$A$501,Customer_Dim!$E$2:$E$501)</f>
        <v>Karenmouth</v>
      </c>
      <c r="H354" t="s">
        <v>814</v>
      </c>
      <c r="I354" t="str">
        <f>VLOOKUP(Table1[[#This Row],[Product_ID]],Product_Dim!$A$2:$G$101,2,FALSE)</f>
        <v>Foam Roller-Sports</v>
      </c>
      <c r="J354" t="s">
        <v>1637</v>
      </c>
      <c r="K354" t="str">
        <f>VLOOKUP(Table1[[#This Row],[Store_ID]],Store_Dim!$A$3:$D$22,2,FALSE)</f>
        <v>Moore, Padilla and Butler-South</v>
      </c>
      <c r="L354" t="s">
        <v>1746</v>
      </c>
      <c r="M354" t="s">
        <v>3959</v>
      </c>
      <c r="N354" s="3">
        <v>488.56</v>
      </c>
      <c r="O354" s="4">
        <v>0.26</v>
      </c>
      <c r="P354" t="s">
        <v>1777</v>
      </c>
      <c r="Q354" s="4">
        <v>1446.1376</v>
      </c>
    </row>
    <row r="355" spans="1:17" x14ac:dyDescent="0.3">
      <c r="A355" t="s">
        <v>2127</v>
      </c>
      <c r="B355" t="str">
        <f t="shared" si="5"/>
        <v>Q3</v>
      </c>
      <c r="C355" t="str">
        <f>TEXT(Table1[[#This Row],[Order_Date]],"mmmm")</f>
        <v>July</v>
      </c>
      <c r="D355">
        <f>YEAR(Table1[[#This Row],[Order_Date]])</f>
        <v>2024</v>
      </c>
      <c r="E355" s="7">
        <v>45501</v>
      </c>
      <c r="F355" s="2" t="str">
        <f>VLOOKUP(Table1[[#This Row],[Customer_ID]],Customer_Dim!$A$2:$H$501,2,FALSE)</f>
        <v>Christopher Lester</v>
      </c>
      <c r="G355" s="2" t="str">
        <f>_xlfn.XLOOKUP(Table1[[#This Row],[Customer_ID]],Customer_Dim!$A$2:$A$501,Customer_Dim!$E$2:$E$501)</f>
        <v>South Jenniferville</v>
      </c>
      <c r="H355" t="s">
        <v>364</v>
      </c>
      <c r="I355" t="str">
        <f>VLOOKUP(Table1[[#This Row],[Product_ID]],Product_Dim!$A$2:$G$101,2,FALSE)</f>
        <v>Women's Scarf Set-Clothing</v>
      </c>
      <c r="J355" t="s">
        <v>1573</v>
      </c>
      <c r="K355" t="str">
        <f>VLOOKUP(Table1[[#This Row],[Store_ID]],Store_Dim!$A$3:$D$22,2,FALSE)</f>
        <v>Thomas, Bridges and Harris-North</v>
      </c>
      <c r="L355" t="s">
        <v>1751</v>
      </c>
      <c r="M355" t="s">
        <v>3959</v>
      </c>
      <c r="N355" s="3">
        <v>175.91</v>
      </c>
      <c r="O355" s="4">
        <v>0.13</v>
      </c>
      <c r="P355" t="s">
        <v>1774</v>
      </c>
      <c r="Q355" s="4">
        <v>612.16679999999997</v>
      </c>
    </row>
    <row r="356" spans="1:17" x14ac:dyDescent="0.3">
      <c r="A356" t="s">
        <v>2128</v>
      </c>
      <c r="B356" t="str">
        <f t="shared" si="5"/>
        <v>Q2</v>
      </c>
      <c r="C356" t="str">
        <f>TEXT(Table1[[#This Row],[Order_Date]],"mmmm")</f>
        <v>April</v>
      </c>
      <c r="D356">
        <f>YEAR(Table1[[#This Row],[Order_Date]])</f>
        <v>2024</v>
      </c>
      <c r="E356" s="7">
        <v>45398</v>
      </c>
      <c r="F356" s="2" t="str">
        <f>VLOOKUP(Table1[[#This Row],[Customer_ID]],Customer_Dim!$A$2:$H$501,2,FALSE)</f>
        <v>Nicholas Webb</v>
      </c>
      <c r="G356" s="2" t="str">
        <f>_xlfn.XLOOKUP(Table1[[#This Row],[Customer_ID]],Customer_Dim!$A$2:$A$501,Customer_Dim!$E$2:$E$501)</f>
        <v>Lake Timothy</v>
      </c>
      <c r="H356" t="s">
        <v>788</v>
      </c>
      <c r="I356" t="str">
        <f>VLOOKUP(Table1[[#This Row],[Product_ID]],Product_Dim!$A$2:$G$101,2,FALSE)</f>
        <v>LED Bedside Lamp-Home</v>
      </c>
      <c r="J356" t="s">
        <v>1697</v>
      </c>
      <c r="K356" t="str">
        <f>VLOOKUP(Table1[[#This Row],[Store_ID]],Store_Dim!$A$3:$D$22,2,FALSE)</f>
        <v>Bean, Jones and Park-West</v>
      </c>
      <c r="L356" t="s">
        <v>1744</v>
      </c>
      <c r="M356" t="s">
        <v>3959</v>
      </c>
      <c r="N356" s="3">
        <v>289.66000000000003</v>
      </c>
      <c r="O356" s="4">
        <v>0.25</v>
      </c>
      <c r="P356" t="s">
        <v>1777</v>
      </c>
      <c r="Q356" s="4">
        <v>868.98</v>
      </c>
    </row>
    <row r="357" spans="1:17" x14ac:dyDescent="0.3">
      <c r="A357" t="s">
        <v>2129</v>
      </c>
      <c r="B357" t="str">
        <f t="shared" si="5"/>
        <v>Q1</v>
      </c>
      <c r="C357" t="str">
        <f>TEXT(Table1[[#This Row],[Order_Date]],"mmmm")</f>
        <v>January</v>
      </c>
      <c r="D357">
        <f>YEAR(Table1[[#This Row],[Order_Date]])</f>
        <v>2024</v>
      </c>
      <c r="E357" s="7">
        <v>45304</v>
      </c>
      <c r="F357" s="2" t="str">
        <f>VLOOKUP(Table1[[#This Row],[Customer_ID]],Customer_Dim!$A$2:$H$501,2,FALSE)</f>
        <v>Mr. William Horton</v>
      </c>
      <c r="G357" s="2" t="str">
        <f>_xlfn.XLOOKUP(Table1[[#This Row],[Customer_ID]],Customer_Dim!$A$2:$A$501,Customer_Dim!$E$2:$E$501)</f>
        <v>Dawsonchester</v>
      </c>
      <c r="H357" t="s">
        <v>767</v>
      </c>
      <c r="I357" t="str">
        <f>VLOOKUP(Table1[[#This Row],[Product_ID]],Product_Dim!$A$2:$G$101,2,FALSE)</f>
        <v>4K Home Projector-Electronics</v>
      </c>
      <c r="J357" t="s">
        <v>1553</v>
      </c>
      <c r="K357" t="str">
        <f>VLOOKUP(Table1[[#This Row],[Store_ID]],Store_Dim!$A$3:$D$22,2,FALSE)</f>
        <v>Shelton PLC-North</v>
      </c>
      <c r="L357" t="s">
        <v>1755</v>
      </c>
      <c r="M357" t="s">
        <v>3960</v>
      </c>
      <c r="N357" s="3">
        <v>899.27</v>
      </c>
      <c r="O357" s="4">
        <v>0.17</v>
      </c>
      <c r="P357" t="s">
        <v>1772</v>
      </c>
      <c r="Q357" s="4">
        <v>1492.7882</v>
      </c>
    </row>
    <row r="358" spans="1:17" x14ac:dyDescent="0.3">
      <c r="A358" t="s">
        <v>2130</v>
      </c>
      <c r="B358" t="str">
        <f t="shared" si="5"/>
        <v>Q1</v>
      </c>
      <c r="C358" t="str">
        <f>TEXT(Table1[[#This Row],[Order_Date]],"mmmm")</f>
        <v>January</v>
      </c>
      <c r="D358">
        <f>YEAR(Table1[[#This Row],[Order_Date]])</f>
        <v>2024</v>
      </c>
      <c r="E358" s="7">
        <v>45299</v>
      </c>
      <c r="F358" s="2" t="str">
        <f>VLOOKUP(Table1[[#This Row],[Customer_ID]],Customer_Dim!$A$2:$H$501,2,FALSE)</f>
        <v>Michael Thomas</v>
      </c>
      <c r="G358" s="2" t="str">
        <f>_xlfn.XLOOKUP(Table1[[#This Row],[Customer_ID]],Customer_Dim!$A$2:$A$501,Customer_Dim!$E$2:$E$501)</f>
        <v>Woodmouth</v>
      </c>
      <c r="H358" t="s">
        <v>238</v>
      </c>
      <c r="I358" t="str">
        <f>VLOOKUP(Table1[[#This Row],[Product_ID]],Product_Dim!$A$2:$G$101,2,FALSE)</f>
        <v>Women's Denim Jeans-Clothing</v>
      </c>
      <c r="J358" t="s">
        <v>1559</v>
      </c>
      <c r="K358" t="str">
        <f>VLOOKUP(Table1[[#This Row],[Store_ID]],Store_Dim!$A$3:$D$22,2,FALSE)</f>
        <v>Martinez, Adkins and Johnson-North</v>
      </c>
      <c r="L358" t="s">
        <v>1728</v>
      </c>
      <c r="M358" t="s">
        <v>3957</v>
      </c>
      <c r="N358" s="3">
        <v>691.38</v>
      </c>
      <c r="O358" s="4">
        <v>0.11</v>
      </c>
      <c r="P358" t="s">
        <v>1777</v>
      </c>
      <c r="Q358" s="4">
        <v>615.32820000000004</v>
      </c>
    </row>
    <row r="359" spans="1:17" x14ac:dyDescent="0.3">
      <c r="A359" t="s">
        <v>2131</v>
      </c>
      <c r="B359" t="str">
        <f t="shared" si="5"/>
        <v>Q3</v>
      </c>
      <c r="C359" t="str">
        <f>TEXT(Table1[[#This Row],[Order_Date]],"mmmm")</f>
        <v>September</v>
      </c>
      <c r="D359">
        <f>YEAR(Table1[[#This Row],[Order_Date]])</f>
        <v>2024</v>
      </c>
      <c r="E359" s="7">
        <v>45564</v>
      </c>
      <c r="F359" s="2" t="str">
        <f>VLOOKUP(Table1[[#This Row],[Customer_ID]],Customer_Dim!$A$2:$H$501,2,FALSE)</f>
        <v>Jason Wheeler</v>
      </c>
      <c r="G359" s="2" t="str">
        <f>_xlfn.XLOOKUP(Table1[[#This Row],[Customer_ID]],Customer_Dim!$A$2:$A$501,Customer_Dim!$E$2:$E$501)</f>
        <v>Carolview</v>
      </c>
      <c r="H359" t="s">
        <v>545</v>
      </c>
      <c r="I359" t="str">
        <f>VLOOKUP(Table1[[#This Row],[Product_ID]],Product_Dim!$A$2:$G$101,2,FALSE)</f>
        <v>Decorative Floor Vase-Home</v>
      </c>
      <c r="J359" t="s">
        <v>1577</v>
      </c>
      <c r="K359" t="str">
        <f>VLOOKUP(Table1[[#This Row],[Store_ID]],Store_Dim!$A$3:$D$22,2,FALSE)</f>
        <v>Rivera-Warner-East</v>
      </c>
      <c r="L359" t="s">
        <v>1725</v>
      </c>
      <c r="M359" t="s">
        <v>3958</v>
      </c>
      <c r="N359" s="3">
        <v>158.72</v>
      </c>
      <c r="O359" s="4">
        <v>0.13</v>
      </c>
      <c r="P359" t="s">
        <v>1772</v>
      </c>
      <c r="Q359" s="4">
        <v>414.25920000000002</v>
      </c>
    </row>
    <row r="360" spans="1:17" x14ac:dyDescent="0.3">
      <c r="A360" t="s">
        <v>2132</v>
      </c>
      <c r="B360" t="str">
        <f t="shared" si="5"/>
        <v>Q2</v>
      </c>
      <c r="C360" t="str">
        <f>TEXT(Table1[[#This Row],[Order_Date]],"mmmm")</f>
        <v>May</v>
      </c>
      <c r="D360">
        <f>YEAR(Table1[[#This Row],[Order_Date]])</f>
        <v>2024</v>
      </c>
      <c r="E360" s="7">
        <v>45413</v>
      </c>
      <c r="F360" s="2" t="str">
        <f>VLOOKUP(Table1[[#This Row],[Customer_ID]],Customer_Dim!$A$2:$H$501,2,FALSE)</f>
        <v>Antonio Jones</v>
      </c>
      <c r="G360" s="2" t="str">
        <f>_xlfn.XLOOKUP(Table1[[#This Row],[Customer_ID]],Customer_Dim!$A$2:$A$501,Customer_Dim!$E$2:$E$501)</f>
        <v>Matthewborough</v>
      </c>
      <c r="H360" t="s">
        <v>678</v>
      </c>
      <c r="I360" t="str">
        <f>VLOOKUP(Table1[[#This Row],[Product_ID]],Product_Dim!$A$2:$G$101,2,FALSE)</f>
        <v>Luxury Perfume Spray-Beauty</v>
      </c>
      <c r="J360" t="s">
        <v>1643</v>
      </c>
      <c r="K360" t="str">
        <f>VLOOKUP(Table1[[#This Row],[Store_ID]],Store_Dim!$A$3:$D$22,2,FALSE)</f>
        <v>Frederick-Wright-West</v>
      </c>
      <c r="L360" t="s">
        <v>1757</v>
      </c>
      <c r="M360" t="s">
        <v>3959</v>
      </c>
      <c r="N360" s="3">
        <v>537.15</v>
      </c>
      <c r="O360" s="4">
        <v>0.06</v>
      </c>
      <c r="P360" t="s">
        <v>1777</v>
      </c>
      <c r="Q360" s="4">
        <v>2019.684</v>
      </c>
    </row>
    <row r="361" spans="1:17" x14ac:dyDescent="0.3">
      <c r="A361" t="s">
        <v>2133</v>
      </c>
      <c r="B361" t="str">
        <f t="shared" si="5"/>
        <v>Q3</v>
      </c>
      <c r="C361" t="str">
        <f>TEXT(Table1[[#This Row],[Order_Date]],"mmmm")</f>
        <v>July</v>
      </c>
      <c r="D361">
        <f>YEAR(Table1[[#This Row],[Order_Date]])</f>
        <v>2024</v>
      </c>
      <c r="E361" s="7">
        <v>45480</v>
      </c>
      <c r="F361" s="2" t="str">
        <f>VLOOKUP(Table1[[#This Row],[Customer_ID]],Customer_Dim!$A$2:$H$501,2,FALSE)</f>
        <v>Karen King</v>
      </c>
      <c r="G361" s="2" t="str">
        <f>_xlfn.XLOOKUP(Table1[[#This Row],[Customer_ID]],Customer_Dim!$A$2:$A$501,Customer_Dim!$E$2:$E$501)</f>
        <v>Kimburgh</v>
      </c>
      <c r="H361" t="s">
        <v>1281</v>
      </c>
      <c r="I361" t="str">
        <f>VLOOKUP(Table1[[#This Row],[Product_ID]],Product_Dim!$A$2:$G$101,2,FALSE)</f>
        <v>Yoga Exercise Mat-Sports</v>
      </c>
      <c r="J361" t="s">
        <v>1605</v>
      </c>
      <c r="K361" t="str">
        <f>VLOOKUP(Table1[[#This Row],[Store_ID]],Store_Dim!$A$3:$D$22,2,FALSE)</f>
        <v>Moore, Padilla and Butler-South</v>
      </c>
      <c r="L361" t="s">
        <v>1746</v>
      </c>
      <c r="M361" t="s">
        <v>3958</v>
      </c>
      <c r="N361" s="3">
        <v>771.7</v>
      </c>
      <c r="O361" s="4">
        <v>0.05</v>
      </c>
      <c r="P361" t="s">
        <v>1777</v>
      </c>
      <c r="Q361" s="4">
        <v>2199.3449999999998</v>
      </c>
    </row>
    <row r="362" spans="1:17" x14ac:dyDescent="0.3">
      <c r="A362" t="s">
        <v>2134</v>
      </c>
      <c r="B362" t="str">
        <f t="shared" si="5"/>
        <v>Q4</v>
      </c>
      <c r="C362" t="str">
        <f>TEXT(Table1[[#This Row],[Order_Date]],"mmmm")</f>
        <v>November</v>
      </c>
      <c r="D362">
        <f>YEAR(Table1[[#This Row],[Order_Date]])</f>
        <v>2024</v>
      </c>
      <c r="E362" s="7">
        <v>45610</v>
      </c>
      <c r="F362" s="2" t="str">
        <f>VLOOKUP(Table1[[#This Row],[Customer_ID]],Customer_Dim!$A$2:$H$501,2,FALSE)</f>
        <v>Travis Holland</v>
      </c>
      <c r="G362" s="2" t="str">
        <f>_xlfn.XLOOKUP(Table1[[#This Row],[Customer_ID]],Customer_Dim!$A$2:$A$501,Customer_Dim!$E$2:$E$501)</f>
        <v>Webstermouth</v>
      </c>
      <c r="H362" t="s">
        <v>376</v>
      </c>
      <c r="I362" t="str">
        <f>VLOOKUP(Table1[[#This Row],[Product_ID]],Product_Dim!$A$2:$G$101,2,FALSE)</f>
        <v>Sports Wrist Sweatbands-Sports</v>
      </c>
      <c r="J362" t="s">
        <v>1699</v>
      </c>
      <c r="K362" t="str">
        <f>VLOOKUP(Table1[[#This Row],[Store_ID]],Store_Dim!$A$3:$D$22,2,FALSE)</f>
        <v>Martinez, Adkins and Johnson-North</v>
      </c>
      <c r="L362" t="s">
        <v>1728</v>
      </c>
      <c r="M362" t="s">
        <v>3959</v>
      </c>
      <c r="N362" s="3">
        <v>677.25</v>
      </c>
      <c r="O362" s="4">
        <v>0.14000000000000001</v>
      </c>
      <c r="P362" t="s">
        <v>1774</v>
      </c>
      <c r="Q362" s="4">
        <v>2329.7399999999998</v>
      </c>
    </row>
    <row r="363" spans="1:17" x14ac:dyDescent="0.3">
      <c r="A363" t="s">
        <v>2135</v>
      </c>
      <c r="B363" t="str">
        <f t="shared" si="5"/>
        <v>Q2</v>
      </c>
      <c r="C363" t="str">
        <f>TEXT(Table1[[#This Row],[Order_Date]],"mmmm")</f>
        <v>April</v>
      </c>
      <c r="D363">
        <f>YEAR(Table1[[#This Row],[Order_Date]])</f>
        <v>2025</v>
      </c>
      <c r="E363" s="7">
        <v>45763</v>
      </c>
      <c r="F363" s="2" t="str">
        <f>VLOOKUP(Table1[[#This Row],[Customer_ID]],Customer_Dim!$A$2:$H$501,2,FALSE)</f>
        <v>Sarah Schneider</v>
      </c>
      <c r="G363" s="2" t="str">
        <f>_xlfn.XLOOKUP(Table1[[#This Row],[Customer_ID]],Customer_Dim!$A$2:$A$501,Customer_Dim!$E$2:$E$501)</f>
        <v>Port Joshuachester</v>
      </c>
      <c r="H363" t="s">
        <v>358</v>
      </c>
      <c r="I363" t="str">
        <f>VLOOKUP(Table1[[#This Row],[Product_ID]],Product_Dim!$A$2:$G$101,2,FALSE)</f>
        <v>Portable Bluetooth Speaker-Electronics</v>
      </c>
      <c r="J363" t="s">
        <v>1719</v>
      </c>
      <c r="K363" t="str">
        <f>VLOOKUP(Table1[[#This Row],[Store_ID]],Store_Dim!$A$3:$D$22,2,FALSE)</f>
        <v>Aguirre-Keller-South</v>
      </c>
      <c r="L363" t="s">
        <v>1750</v>
      </c>
      <c r="M363" t="s">
        <v>3957</v>
      </c>
      <c r="N363" s="3">
        <v>645.48</v>
      </c>
      <c r="O363" s="4">
        <v>0.26</v>
      </c>
      <c r="P363" t="s">
        <v>1777</v>
      </c>
      <c r="Q363" s="4">
        <v>477.65519999999998</v>
      </c>
    </row>
    <row r="364" spans="1:17" x14ac:dyDescent="0.3">
      <c r="A364" t="s">
        <v>2136</v>
      </c>
      <c r="B364" t="str">
        <f t="shared" si="5"/>
        <v>Q3</v>
      </c>
      <c r="C364" t="str">
        <f>TEXT(Table1[[#This Row],[Order_Date]],"mmmm")</f>
        <v>July</v>
      </c>
      <c r="D364">
        <f>YEAR(Table1[[#This Row],[Order_Date]])</f>
        <v>2025</v>
      </c>
      <c r="E364" s="7">
        <v>45856</v>
      </c>
      <c r="F364" s="2" t="str">
        <f>VLOOKUP(Table1[[#This Row],[Customer_ID]],Customer_Dim!$A$2:$H$501,2,FALSE)</f>
        <v>Denise Tate</v>
      </c>
      <c r="G364" s="2" t="str">
        <f>_xlfn.XLOOKUP(Table1[[#This Row],[Customer_ID]],Customer_Dim!$A$2:$A$501,Customer_Dim!$E$2:$E$501)</f>
        <v>Andersonside</v>
      </c>
      <c r="H364" t="s">
        <v>1115</v>
      </c>
      <c r="I364" t="str">
        <f>VLOOKUP(Table1[[#This Row],[Product_ID]],Product_Dim!$A$2:$G$101,2,FALSE)</f>
        <v>Shin Guards – Adult-Sports</v>
      </c>
      <c r="J364" t="s">
        <v>1669</v>
      </c>
      <c r="K364" t="str">
        <f>VLOOKUP(Table1[[#This Row],[Store_ID]],Store_Dim!$A$3:$D$22,2,FALSE)</f>
        <v>Black-Horn-South</v>
      </c>
      <c r="L364" t="s">
        <v>1730</v>
      </c>
      <c r="M364" t="s">
        <v>3960</v>
      </c>
      <c r="N364" s="3">
        <v>934</v>
      </c>
      <c r="O364" s="4">
        <v>0.3</v>
      </c>
      <c r="P364" t="s">
        <v>1777</v>
      </c>
      <c r="Q364" s="4">
        <v>1307.5999999999999</v>
      </c>
    </row>
    <row r="365" spans="1:17" x14ac:dyDescent="0.3">
      <c r="A365" t="s">
        <v>2137</v>
      </c>
      <c r="B365" t="str">
        <f t="shared" si="5"/>
        <v>Q1</v>
      </c>
      <c r="C365" t="str">
        <f>TEXT(Table1[[#This Row],[Order_Date]],"mmmm")</f>
        <v>February</v>
      </c>
      <c r="D365">
        <f>YEAR(Table1[[#This Row],[Order_Date]])</f>
        <v>2025</v>
      </c>
      <c r="E365" s="7">
        <v>45712</v>
      </c>
      <c r="F365" s="2" t="str">
        <f>VLOOKUP(Table1[[#This Row],[Customer_ID]],Customer_Dim!$A$2:$H$501,2,FALSE)</f>
        <v>Mr. Christopher Sims</v>
      </c>
      <c r="G365" s="2" t="str">
        <f>_xlfn.XLOOKUP(Table1[[#This Row],[Customer_ID]],Customer_Dim!$A$2:$A$501,Customer_Dim!$E$2:$E$501)</f>
        <v>Donaldsontown</v>
      </c>
      <c r="H365" t="s">
        <v>1039</v>
      </c>
      <c r="I365" t="str">
        <f>VLOOKUP(Table1[[#This Row],[Product_ID]],Product_Dim!$A$2:$G$101,2,FALSE)</f>
        <v>Men's Winter Jacket-Clothing</v>
      </c>
      <c r="J365" t="s">
        <v>1615</v>
      </c>
      <c r="K365" t="str">
        <f>VLOOKUP(Table1[[#This Row],[Store_ID]],Store_Dim!$A$3:$D$22,2,FALSE)</f>
        <v>Black-Horn-South</v>
      </c>
      <c r="L365" t="s">
        <v>1730</v>
      </c>
      <c r="M365" t="s">
        <v>3957</v>
      </c>
      <c r="N365" s="3">
        <v>669.53</v>
      </c>
      <c r="O365" s="4">
        <v>0.2</v>
      </c>
      <c r="P365" t="s">
        <v>1772</v>
      </c>
      <c r="Q365" s="4">
        <v>535.62400000000002</v>
      </c>
    </row>
    <row r="366" spans="1:17" x14ac:dyDescent="0.3">
      <c r="A366" t="s">
        <v>2138</v>
      </c>
      <c r="B366" t="str">
        <f t="shared" si="5"/>
        <v>Q1</v>
      </c>
      <c r="C366" t="str">
        <f>TEXT(Table1[[#This Row],[Order_Date]],"mmmm")</f>
        <v>March</v>
      </c>
      <c r="D366">
        <f>YEAR(Table1[[#This Row],[Order_Date]])</f>
        <v>2025</v>
      </c>
      <c r="E366" s="7">
        <v>45723</v>
      </c>
      <c r="F366" s="2" t="str">
        <f>VLOOKUP(Table1[[#This Row],[Customer_ID]],Customer_Dim!$A$2:$H$501,2,FALSE)</f>
        <v>Kathryn Garcia</v>
      </c>
      <c r="G366" s="2" t="str">
        <f>_xlfn.XLOOKUP(Table1[[#This Row],[Customer_ID]],Customer_Dim!$A$2:$A$501,Customer_Dim!$E$2:$E$501)</f>
        <v>Morrismouth</v>
      </c>
      <c r="H366" t="s">
        <v>696</v>
      </c>
      <c r="I366" t="str">
        <f>VLOOKUP(Table1[[#This Row],[Product_ID]],Product_Dim!$A$2:$G$101,2,FALSE)</f>
        <v>Bedroom Table Lamp-Home</v>
      </c>
      <c r="J366" t="s">
        <v>1593</v>
      </c>
      <c r="K366" t="str">
        <f>VLOOKUP(Table1[[#This Row],[Store_ID]],Store_Dim!$A$3:$D$22,2,FALSE)</f>
        <v>Guerrero-Schmitt-East</v>
      </c>
      <c r="L366" t="s">
        <v>1761</v>
      </c>
      <c r="M366" t="s">
        <v>3957</v>
      </c>
      <c r="N366" s="3">
        <v>213.69</v>
      </c>
      <c r="O366" s="4">
        <v>0.28000000000000003</v>
      </c>
      <c r="P366" t="s">
        <v>1777</v>
      </c>
      <c r="Q366" s="4">
        <v>153.85679999999999</v>
      </c>
    </row>
    <row r="367" spans="1:17" x14ac:dyDescent="0.3">
      <c r="A367" t="s">
        <v>2139</v>
      </c>
      <c r="B367" t="str">
        <f t="shared" si="5"/>
        <v>Q1</v>
      </c>
      <c r="C367" t="str">
        <f>TEXT(Table1[[#This Row],[Order_Date]],"mmmm")</f>
        <v>February</v>
      </c>
      <c r="D367">
        <f>YEAR(Table1[[#This Row],[Order_Date]])</f>
        <v>2025</v>
      </c>
      <c r="E367" s="7">
        <v>45706</v>
      </c>
      <c r="F367" s="2" t="str">
        <f>VLOOKUP(Table1[[#This Row],[Customer_ID]],Customer_Dim!$A$2:$H$501,2,FALSE)</f>
        <v>Katherine Young</v>
      </c>
      <c r="G367" s="2" t="str">
        <f>_xlfn.XLOOKUP(Table1[[#This Row],[Customer_ID]],Customer_Dim!$A$2:$A$501,Customer_Dim!$E$2:$E$501)</f>
        <v>North Valeriemouth</v>
      </c>
      <c r="H367" t="s">
        <v>278</v>
      </c>
      <c r="I367" t="str">
        <f>VLOOKUP(Table1[[#This Row],[Product_ID]],Product_Dim!$A$2:$G$101,2,FALSE)</f>
        <v>Multi-Purpose Storage Box-Home</v>
      </c>
      <c r="J367" t="s">
        <v>1565</v>
      </c>
      <c r="K367" t="str">
        <f>VLOOKUP(Table1[[#This Row],[Store_ID]],Store_Dim!$A$3:$D$22,2,FALSE)</f>
        <v>Mann-Austin-East</v>
      </c>
      <c r="L367" t="s">
        <v>1763</v>
      </c>
      <c r="M367" t="s">
        <v>3960</v>
      </c>
      <c r="N367" s="3">
        <v>99.1</v>
      </c>
      <c r="O367" s="4">
        <v>0.2</v>
      </c>
      <c r="P367" t="s">
        <v>1774</v>
      </c>
      <c r="Q367" s="4">
        <v>158.56</v>
      </c>
    </row>
    <row r="368" spans="1:17" x14ac:dyDescent="0.3">
      <c r="A368" t="s">
        <v>2140</v>
      </c>
      <c r="B368" t="str">
        <f t="shared" si="5"/>
        <v>Q2</v>
      </c>
      <c r="C368" t="str">
        <f>TEXT(Table1[[#This Row],[Order_Date]],"mmmm")</f>
        <v>June</v>
      </c>
      <c r="D368">
        <f>YEAR(Table1[[#This Row],[Order_Date]])</f>
        <v>2024</v>
      </c>
      <c r="E368" s="7">
        <v>45469</v>
      </c>
      <c r="F368" s="2" t="str">
        <f>VLOOKUP(Table1[[#This Row],[Customer_ID]],Customer_Dim!$A$2:$H$501,2,FALSE)</f>
        <v>James Holloway Jr.</v>
      </c>
      <c r="G368" s="2" t="str">
        <f>_xlfn.XLOOKUP(Table1[[#This Row],[Customer_ID]],Customer_Dim!$A$2:$A$501,Customer_Dim!$E$2:$E$501)</f>
        <v>Millston</v>
      </c>
      <c r="H368" t="s">
        <v>1144</v>
      </c>
      <c r="I368" t="str">
        <f>VLOOKUP(Table1[[#This Row],[Product_ID]],Product_Dim!$A$2:$G$101,2,FALSE)</f>
        <v>Men's Casual Sneakers-Clothing</v>
      </c>
      <c r="J368" t="s">
        <v>1597</v>
      </c>
      <c r="K368" t="str">
        <f>VLOOKUP(Table1[[#This Row],[Store_ID]],Store_Dim!$A$3:$D$22,2,FALSE)</f>
        <v>Frederick-Wright-West</v>
      </c>
      <c r="L368" t="s">
        <v>1757</v>
      </c>
      <c r="M368" t="s">
        <v>3957</v>
      </c>
      <c r="N368" s="3">
        <v>628.98</v>
      </c>
      <c r="O368" s="4">
        <v>0.03</v>
      </c>
      <c r="P368" t="s">
        <v>1777</v>
      </c>
      <c r="Q368" s="4">
        <v>610.11059999999998</v>
      </c>
    </row>
    <row r="369" spans="1:17" x14ac:dyDescent="0.3">
      <c r="A369" t="s">
        <v>2141</v>
      </c>
      <c r="B369" t="str">
        <f t="shared" si="5"/>
        <v>Q1</v>
      </c>
      <c r="C369" t="str">
        <f>TEXT(Table1[[#This Row],[Order_Date]],"mmmm")</f>
        <v>February</v>
      </c>
      <c r="D369">
        <f>YEAR(Table1[[#This Row],[Order_Date]])</f>
        <v>2025</v>
      </c>
      <c r="E369" s="7">
        <v>45711</v>
      </c>
      <c r="F369" s="2" t="str">
        <f>VLOOKUP(Table1[[#This Row],[Customer_ID]],Customer_Dim!$A$2:$H$501,2,FALSE)</f>
        <v>Richard Delgado</v>
      </c>
      <c r="G369" s="2" t="str">
        <f>_xlfn.XLOOKUP(Table1[[#This Row],[Customer_ID]],Customer_Dim!$A$2:$A$501,Customer_Dim!$E$2:$E$501)</f>
        <v>West Theodorechester</v>
      </c>
      <c r="H369" t="s">
        <v>304</v>
      </c>
      <c r="I369" t="str">
        <f>VLOOKUP(Table1[[#This Row],[Product_ID]],Product_Dim!$A$2:$G$101,2,FALSE)</f>
        <v>Wooden Bookshelf-Home</v>
      </c>
      <c r="J369" t="s">
        <v>1691</v>
      </c>
      <c r="K369" t="str">
        <f>VLOOKUP(Table1[[#This Row],[Store_ID]],Store_Dim!$A$3:$D$22,2,FALSE)</f>
        <v>Alexander Group-South</v>
      </c>
      <c r="L369" t="s">
        <v>1735</v>
      </c>
      <c r="M369" t="s">
        <v>3958</v>
      </c>
      <c r="N369" s="3">
        <v>944.64</v>
      </c>
      <c r="O369" s="4">
        <v>0.26</v>
      </c>
      <c r="P369" t="s">
        <v>1772</v>
      </c>
      <c r="Q369" s="4">
        <v>2097.1008000000002</v>
      </c>
    </row>
    <row r="370" spans="1:17" x14ac:dyDescent="0.3">
      <c r="A370" t="s">
        <v>2142</v>
      </c>
      <c r="B370" t="str">
        <f t="shared" si="5"/>
        <v>Q2</v>
      </c>
      <c r="C370" t="str">
        <f>TEXT(Table1[[#This Row],[Order_Date]],"mmmm")</f>
        <v>June</v>
      </c>
      <c r="D370">
        <f>YEAR(Table1[[#This Row],[Order_Date]])</f>
        <v>2025</v>
      </c>
      <c r="E370" s="7">
        <v>45823</v>
      </c>
      <c r="F370" s="2" t="str">
        <f>VLOOKUP(Table1[[#This Row],[Customer_ID]],Customer_Dim!$A$2:$H$501,2,FALSE)</f>
        <v>Debra Mccullough</v>
      </c>
      <c r="G370" s="2" t="str">
        <f>_xlfn.XLOOKUP(Table1[[#This Row],[Customer_ID]],Customer_Dim!$A$2:$A$501,Customer_Dim!$E$2:$E$501)</f>
        <v>Mcdanielfurt</v>
      </c>
      <c r="H370" t="s">
        <v>1436</v>
      </c>
      <c r="I370" t="str">
        <f>VLOOKUP(Table1[[#This Row],[Product_ID]],Product_Dim!$A$2:$G$101,2,FALSE)</f>
        <v>USB-C Laptop Charger-Electronics</v>
      </c>
      <c r="J370" t="s">
        <v>1709</v>
      </c>
      <c r="K370" t="str">
        <f>VLOOKUP(Table1[[#This Row],[Store_ID]],Store_Dim!$A$3:$D$22,2,FALSE)</f>
        <v>Thomas, Bridges and Harris-North</v>
      </c>
      <c r="L370" t="s">
        <v>1751</v>
      </c>
      <c r="M370" t="s">
        <v>3960</v>
      </c>
      <c r="N370" s="3">
        <v>121.7</v>
      </c>
      <c r="O370" s="4">
        <v>0.06</v>
      </c>
      <c r="P370" t="s">
        <v>1777</v>
      </c>
      <c r="Q370" s="4">
        <v>228.79599999999999</v>
      </c>
    </row>
    <row r="371" spans="1:17" x14ac:dyDescent="0.3">
      <c r="A371" t="s">
        <v>2143</v>
      </c>
      <c r="B371" t="str">
        <f t="shared" si="5"/>
        <v>Q4</v>
      </c>
      <c r="C371" t="str">
        <f>TEXT(Table1[[#This Row],[Order_Date]],"mmmm")</f>
        <v>October</v>
      </c>
      <c r="D371">
        <f>YEAR(Table1[[#This Row],[Order_Date]])</f>
        <v>2023</v>
      </c>
      <c r="E371" s="7">
        <v>45217</v>
      </c>
      <c r="F371" s="2" t="str">
        <f>VLOOKUP(Table1[[#This Row],[Customer_ID]],Customer_Dim!$A$2:$H$501,2,FALSE)</f>
        <v>Eric Holmes</v>
      </c>
      <c r="G371" s="2" t="str">
        <f>_xlfn.XLOOKUP(Table1[[#This Row],[Customer_ID]],Customer_Dim!$A$2:$A$501,Customer_Dim!$E$2:$E$501)</f>
        <v>Smithville</v>
      </c>
      <c r="H371" t="s">
        <v>1370</v>
      </c>
      <c r="I371" t="str">
        <f>VLOOKUP(Table1[[#This Row],[Product_ID]],Product_Dim!$A$2:$G$101,2,FALSE)</f>
        <v>Adjustable Dumbbells 20kg-Sports</v>
      </c>
      <c r="J371" t="s">
        <v>1653</v>
      </c>
      <c r="K371" t="str">
        <f>VLOOKUP(Table1[[#This Row],[Store_ID]],Store_Dim!$A$3:$D$22,2,FALSE)</f>
        <v>Johnson-Wright-North</v>
      </c>
      <c r="L371" t="s">
        <v>1733</v>
      </c>
      <c r="M371" t="s">
        <v>3959</v>
      </c>
      <c r="N371" s="3">
        <v>269.49</v>
      </c>
      <c r="O371" s="4">
        <v>7.0000000000000007E-2</v>
      </c>
      <c r="P371" t="s">
        <v>1774</v>
      </c>
      <c r="Q371" s="4">
        <v>1002.5028</v>
      </c>
    </row>
    <row r="372" spans="1:17" x14ac:dyDescent="0.3">
      <c r="A372" t="s">
        <v>2144</v>
      </c>
      <c r="B372" t="str">
        <f t="shared" si="5"/>
        <v>Q1</v>
      </c>
      <c r="C372" t="str">
        <f>TEXT(Table1[[#This Row],[Order_Date]],"mmmm")</f>
        <v>March</v>
      </c>
      <c r="D372">
        <f>YEAR(Table1[[#This Row],[Order_Date]])</f>
        <v>2025</v>
      </c>
      <c r="E372" s="7">
        <v>45733</v>
      </c>
      <c r="F372" s="2" t="str">
        <f>VLOOKUP(Table1[[#This Row],[Customer_ID]],Customer_Dim!$A$2:$H$501,2,FALSE)</f>
        <v>Sheila Wilson</v>
      </c>
      <c r="G372" s="2" t="str">
        <f>_xlfn.XLOOKUP(Table1[[#This Row],[Customer_ID]],Customer_Dim!$A$2:$A$501,Customer_Dim!$E$2:$E$501)</f>
        <v>South Dustin</v>
      </c>
      <c r="H372" t="s">
        <v>348</v>
      </c>
      <c r="I372" t="str">
        <f>VLOOKUP(Table1[[#This Row],[Product_ID]],Product_Dim!$A$2:$G$101,2,FALSE)</f>
        <v>Carbon Fiber Tennis Racket-Sports</v>
      </c>
      <c r="J372" t="s">
        <v>1567</v>
      </c>
      <c r="K372" t="str">
        <f>VLOOKUP(Table1[[#This Row],[Store_ID]],Store_Dim!$A$3:$D$22,2,FALSE)</f>
        <v>Guerrero-Schmitt-East</v>
      </c>
      <c r="L372" t="s">
        <v>1761</v>
      </c>
      <c r="M372" t="s">
        <v>3957</v>
      </c>
      <c r="N372" s="3">
        <v>678.2</v>
      </c>
      <c r="O372" s="4">
        <v>0.14000000000000001</v>
      </c>
      <c r="P372" t="s">
        <v>1772</v>
      </c>
      <c r="Q372" s="4">
        <v>583.25200000000007</v>
      </c>
    </row>
    <row r="373" spans="1:17" x14ac:dyDescent="0.3">
      <c r="A373" t="s">
        <v>2145</v>
      </c>
      <c r="B373" t="str">
        <f t="shared" si="5"/>
        <v>Q3</v>
      </c>
      <c r="C373" t="str">
        <f>TEXT(Table1[[#This Row],[Order_Date]],"mmmm")</f>
        <v>August</v>
      </c>
      <c r="D373">
        <f>YEAR(Table1[[#This Row],[Order_Date]])</f>
        <v>2024</v>
      </c>
      <c r="E373" s="7">
        <v>45520</v>
      </c>
      <c r="F373" s="2" t="str">
        <f>VLOOKUP(Table1[[#This Row],[Customer_ID]],Customer_Dim!$A$2:$H$501,2,FALSE)</f>
        <v>Timothy Juarez</v>
      </c>
      <c r="G373" s="2" t="str">
        <f>_xlfn.XLOOKUP(Table1[[#This Row],[Customer_ID]],Customer_Dim!$A$2:$A$501,Customer_Dim!$E$2:$E$501)</f>
        <v>Grahamstad</v>
      </c>
      <c r="H373" t="s">
        <v>737</v>
      </c>
      <c r="I373" t="str">
        <f>VLOOKUP(Table1[[#This Row],[Product_ID]],Product_Dim!$A$2:$G$101,2,FALSE)</f>
        <v>Gaming Mouse Pad XL-Electronics</v>
      </c>
      <c r="J373" t="s">
        <v>1703</v>
      </c>
      <c r="K373" t="str">
        <f>VLOOKUP(Table1[[#This Row],[Store_ID]],Store_Dim!$A$3:$D$22,2,FALSE)</f>
        <v>Gardner, Humphrey and Contreras-East</v>
      </c>
      <c r="L373" t="s">
        <v>1753</v>
      </c>
      <c r="M373" t="s">
        <v>3957</v>
      </c>
      <c r="N373" s="3">
        <v>752.45</v>
      </c>
      <c r="O373" s="4">
        <v>0.21</v>
      </c>
      <c r="P373" t="s">
        <v>1777</v>
      </c>
      <c r="Q373" s="4">
        <v>594.43550000000005</v>
      </c>
    </row>
    <row r="374" spans="1:17" x14ac:dyDescent="0.3">
      <c r="A374" t="s">
        <v>2146</v>
      </c>
      <c r="B374" t="str">
        <f t="shared" si="5"/>
        <v>Q1</v>
      </c>
      <c r="C374" t="str">
        <f>TEXT(Table1[[#This Row],[Order_Date]],"mmmm")</f>
        <v>March</v>
      </c>
      <c r="D374">
        <f>YEAR(Table1[[#This Row],[Order_Date]])</f>
        <v>2024</v>
      </c>
      <c r="E374" s="7">
        <v>45373</v>
      </c>
      <c r="F374" s="2" t="str">
        <f>VLOOKUP(Table1[[#This Row],[Customer_ID]],Customer_Dim!$A$2:$H$501,2,FALSE)</f>
        <v>Christopher Carter</v>
      </c>
      <c r="G374" s="2" t="str">
        <f>_xlfn.XLOOKUP(Table1[[#This Row],[Customer_ID]],Customer_Dim!$A$2:$A$501,Customer_Dim!$E$2:$E$501)</f>
        <v>Brendastad</v>
      </c>
      <c r="H374" t="s">
        <v>146</v>
      </c>
      <c r="I374" t="str">
        <f>VLOOKUP(Table1[[#This Row],[Product_ID]],Product_Dim!$A$2:$G$101,2,FALSE)</f>
        <v>Vitamin E Body Lotion-Beauty</v>
      </c>
      <c r="J374" t="s">
        <v>1711</v>
      </c>
      <c r="K374" t="str">
        <f>VLOOKUP(Table1[[#This Row],[Store_ID]],Store_Dim!$A$3:$D$22,2,FALSE)</f>
        <v>Gardner, Humphrey and Contreras-East</v>
      </c>
      <c r="L374" t="s">
        <v>1753</v>
      </c>
      <c r="M374" t="s">
        <v>3960</v>
      </c>
      <c r="N374" s="3">
        <v>209.66</v>
      </c>
      <c r="O374" s="4">
        <v>0.21</v>
      </c>
      <c r="P374" t="s">
        <v>1772</v>
      </c>
      <c r="Q374" s="4">
        <v>331.26280000000003</v>
      </c>
    </row>
    <row r="375" spans="1:17" x14ac:dyDescent="0.3">
      <c r="A375" t="s">
        <v>2147</v>
      </c>
      <c r="B375" t="str">
        <f t="shared" si="5"/>
        <v>Q1</v>
      </c>
      <c r="C375" t="str">
        <f>TEXT(Table1[[#This Row],[Order_Date]],"mmmm")</f>
        <v>January</v>
      </c>
      <c r="D375">
        <f>YEAR(Table1[[#This Row],[Order_Date]])</f>
        <v>2025</v>
      </c>
      <c r="E375" s="7">
        <v>45688</v>
      </c>
      <c r="F375" s="2" t="str">
        <f>VLOOKUP(Table1[[#This Row],[Customer_ID]],Customer_Dim!$A$2:$H$501,2,FALSE)</f>
        <v>Cynthia Morris</v>
      </c>
      <c r="G375" s="2" t="str">
        <f>_xlfn.XLOOKUP(Table1[[#This Row],[Customer_ID]],Customer_Dim!$A$2:$A$501,Customer_Dim!$E$2:$E$501)</f>
        <v>Hessmouth</v>
      </c>
      <c r="H375" t="s">
        <v>533</v>
      </c>
      <c r="I375" t="str">
        <f>VLOOKUP(Table1[[#This Row],[Product_ID]],Product_Dim!$A$2:$G$101,2,FALSE)</f>
        <v>Cricket Bat-Sports</v>
      </c>
      <c r="J375" t="s">
        <v>1717</v>
      </c>
      <c r="K375" t="str">
        <f>VLOOKUP(Table1[[#This Row],[Store_ID]],Store_Dim!$A$3:$D$22,2,FALSE)</f>
        <v>Mann-Austin-East</v>
      </c>
      <c r="L375" t="s">
        <v>1763</v>
      </c>
      <c r="M375" t="s">
        <v>3960</v>
      </c>
      <c r="N375" s="3">
        <v>739.95</v>
      </c>
      <c r="O375" s="4">
        <v>0.1</v>
      </c>
      <c r="P375" t="s">
        <v>1777</v>
      </c>
      <c r="Q375" s="4">
        <v>1331.91</v>
      </c>
    </row>
    <row r="376" spans="1:17" x14ac:dyDescent="0.3">
      <c r="A376" t="s">
        <v>2148</v>
      </c>
      <c r="B376" t="str">
        <f t="shared" si="5"/>
        <v>Q4</v>
      </c>
      <c r="C376" t="str">
        <f>TEXT(Table1[[#This Row],[Order_Date]],"mmmm")</f>
        <v>December</v>
      </c>
      <c r="D376">
        <f>YEAR(Table1[[#This Row],[Order_Date]])</f>
        <v>2023</v>
      </c>
      <c r="E376" s="7">
        <v>45276</v>
      </c>
      <c r="F376" s="2" t="str">
        <f>VLOOKUP(Table1[[#This Row],[Customer_ID]],Customer_Dim!$A$2:$H$501,2,FALSE)</f>
        <v>James Foster</v>
      </c>
      <c r="G376" s="2" t="str">
        <f>_xlfn.XLOOKUP(Table1[[#This Row],[Customer_ID]],Customer_Dim!$A$2:$A$501,Customer_Dim!$E$2:$E$501)</f>
        <v>East Audrey</v>
      </c>
      <c r="H376" t="s">
        <v>1430</v>
      </c>
      <c r="I376" t="str">
        <f>VLOOKUP(Table1[[#This Row],[Product_ID]],Product_Dim!$A$2:$G$101,2,FALSE)</f>
        <v>High-Grip Football-Sports</v>
      </c>
      <c r="J376" t="s">
        <v>1613</v>
      </c>
      <c r="K376" t="str">
        <f>VLOOKUP(Table1[[#This Row],[Store_ID]],Store_Dim!$A$3:$D$22,2,FALSE)</f>
        <v>Shelton PLC-North</v>
      </c>
      <c r="L376" t="s">
        <v>1755</v>
      </c>
      <c r="M376" t="s">
        <v>3957</v>
      </c>
      <c r="N376" s="3">
        <v>496.19</v>
      </c>
      <c r="O376" s="4">
        <v>0.08</v>
      </c>
      <c r="P376" t="s">
        <v>1777</v>
      </c>
      <c r="Q376" s="4">
        <v>456.4948</v>
      </c>
    </row>
    <row r="377" spans="1:17" x14ac:dyDescent="0.3">
      <c r="A377" t="s">
        <v>2149</v>
      </c>
      <c r="B377" t="str">
        <f t="shared" si="5"/>
        <v>Q2</v>
      </c>
      <c r="C377" t="str">
        <f>TEXT(Table1[[#This Row],[Order_Date]],"mmmm")</f>
        <v>April</v>
      </c>
      <c r="D377">
        <f>YEAR(Table1[[#This Row],[Order_Date]])</f>
        <v>2025</v>
      </c>
      <c r="E377" s="7">
        <v>45756</v>
      </c>
      <c r="F377" s="2" t="str">
        <f>VLOOKUP(Table1[[#This Row],[Customer_ID]],Customer_Dim!$A$2:$H$501,2,FALSE)</f>
        <v>Denise Williams</v>
      </c>
      <c r="G377" s="2" t="str">
        <f>_xlfn.XLOOKUP(Table1[[#This Row],[Customer_ID]],Customer_Dim!$A$2:$A$501,Customer_Dim!$E$2:$E$501)</f>
        <v>Christianstad</v>
      </c>
      <c r="H377" t="s">
        <v>171</v>
      </c>
      <c r="I377" t="str">
        <f>VLOOKUP(Table1[[#This Row],[Product_ID]],Product_Dim!$A$2:$G$101,2,FALSE)</f>
        <v>Adjustable Dumbbell Set-Sports</v>
      </c>
      <c r="J377" t="s">
        <v>1541</v>
      </c>
      <c r="K377" t="str">
        <f>VLOOKUP(Table1[[#This Row],[Store_ID]],Store_Dim!$A$3:$D$22,2,FALSE)</f>
        <v>Thomas, Bridges and Harris-North</v>
      </c>
      <c r="L377" t="s">
        <v>1751</v>
      </c>
      <c r="M377" t="s">
        <v>3957</v>
      </c>
      <c r="N377" s="3">
        <v>306.36</v>
      </c>
      <c r="O377" s="4">
        <v>0.01</v>
      </c>
      <c r="P377" t="s">
        <v>1774</v>
      </c>
      <c r="Q377" s="4">
        <v>303.29640000000001</v>
      </c>
    </row>
    <row r="378" spans="1:17" x14ac:dyDescent="0.3">
      <c r="A378" t="s">
        <v>2150</v>
      </c>
      <c r="B378" t="str">
        <f t="shared" si="5"/>
        <v>Q1</v>
      </c>
      <c r="C378" t="str">
        <f>TEXT(Table1[[#This Row],[Order_Date]],"mmmm")</f>
        <v>January</v>
      </c>
      <c r="D378">
        <f>YEAR(Table1[[#This Row],[Order_Date]])</f>
        <v>2024</v>
      </c>
      <c r="E378" s="7">
        <v>45309</v>
      </c>
      <c r="F378" s="2" t="str">
        <f>VLOOKUP(Table1[[#This Row],[Customer_ID]],Customer_Dim!$A$2:$H$501,2,FALSE)</f>
        <v>Jacob Hopkins</v>
      </c>
      <c r="G378" s="2" t="str">
        <f>_xlfn.XLOOKUP(Table1[[#This Row],[Customer_ID]],Customer_Dim!$A$2:$A$501,Customer_Dim!$E$2:$E$501)</f>
        <v>lake tylerfort</v>
      </c>
      <c r="H378" t="s">
        <v>412</v>
      </c>
      <c r="I378" t="str">
        <f>VLOOKUP(Table1[[#This Row],[Product_ID]],Product_Dim!$A$2:$G$101,2,FALSE)</f>
        <v>Shin Guards – Adult-Sports</v>
      </c>
      <c r="J378" t="s">
        <v>1669</v>
      </c>
      <c r="K378" t="str">
        <f>VLOOKUP(Table1[[#This Row],[Store_ID]],Store_Dim!$A$3:$D$22,2,FALSE)</f>
        <v>Alexander Group-South</v>
      </c>
      <c r="L378" t="s">
        <v>1735</v>
      </c>
      <c r="M378" t="s">
        <v>3959</v>
      </c>
      <c r="N378" s="3">
        <v>693.16</v>
      </c>
      <c r="O378" s="4">
        <v>0.05</v>
      </c>
      <c r="P378" t="s">
        <v>1774</v>
      </c>
      <c r="Q378" s="4">
        <v>2634.0079999999998</v>
      </c>
    </row>
    <row r="379" spans="1:17" x14ac:dyDescent="0.3">
      <c r="A379" t="s">
        <v>2151</v>
      </c>
      <c r="B379" t="str">
        <f t="shared" si="5"/>
        <v>Q1</v>
      </c>
      <c r="C379" t="str">
        <f>TEXT(Table1[[#This Row],[Order_Date]],"mmmm")</f>
        <v>March</v>
      </c>
      <c r="D379">
        <f>YEAR(Table1[[#This Row],[Order_Date]])</f>
        <v>2025</v>
      </c>
      <c r="E379" s="7">
        <v>45744</v>
      </c>
      <c r="F379" s="2" t="str">
        <f>VLOOKUP(Table1[[#This Row],[Customer_ID]],Customer_Dim!$A$2:$H$501,2,FALSE)</f>
        <v>Tyler Weber</v>
      </c>
      <c r="G379" s="2" t="str">
        <f>_xlfn.XLOOKUP(Table1[[#This Row],[Customer_ID]],Customer_Dim!$A$2:$A$501,Customer_Dim!$E$2:$E$501)</f>
        <v>East Yvette</v>
      </c>
      <c r="H379" t="s">
        <v>1389</v>
      </c>
      <c r="I379" t="str">
        <f>VLOOKUP(Table1[[#This Row],[Product_ID]],Product_Dim!$A$2:$G$101,2,FALSE)</f>
        <v>Hydrating Face Cleanser-Beauty</v>
      </c>
      <c r="J379" t="s">
        <v>1689</v>
      </c>
      <c r="K379" t="str">
        <f>VLOOKUP(Table1[[#This Row],[Store_ID]],Store_Dim!$A$3:$D$22,2,FALSE)</f>
        <v>Hill, Wagner and Ballard-East</v>
      </c>
      <c r="L379" t="s">
        <v>1748</v>
      </c>
      <c r="M379" t="s">
        <v>3957</v>
      </c>
      <c r="N379" s="3">
        <v>995.52</v>
      </c>
      <c r="O379" s="4">
        <v>0.22</v>
      </c>
      <c r="P379" t="s">
        <v>1774</v>
      </c>
      <c r="Q379" s="4">
        <v>776.50559999999996</v>
      </c>
    </row>
    <row r="380" spans="1:17" x14ac:dyDescent="0.3">
      <c r="A380" t="s">
        <v>2152</v>
      </c>
      <c r="B380" t="str">
        <f t="shared" si="5"/>
        <v>Q3</v>
      </c>
      <c r="C380" t="str">
        <f>TEXT(Table1[[#This Row],[Order_Date]],"mmmm")</f>
        <v>August</v>
      </c>
      <c r="D380">
        <f>YEAR(Table1[[#This Row],[Order_Date]])</f>
        <v>2024</v>
      </c>
      <c r="E380" s="7">
        <v>45535</v>
      </c>
      <c r="F380" s="2" t="str">
        <f>VLOOKUP(Table1[[#This Row],[Customer_ID]],Customer_Dim!$A$2:$H$501,2,FALSE)</f>
        <v>Keith Miller</v>
      </c>
      <c r="G380" s="2" t="str">
        <f>_xlfn.XLOOKUP(Table1[[#This Row],[Customer_ID]],Customer_Dim!$A$2:$A$501,Customer_Dim!$E$2:$E$501)</f>
        <v>West Jameston</v>
      </c>
      <c r="H380" t="s">
        <v>426</v>
      </c>
      <c r="I380" t="str">
        <f>VLOOKUP(Table1[[#This Row],[Product_ID]],Product_Dim!$A$2:$G$101,2,FALSE)</f>
        <v>LED Table Lamp-Home</v>
      </c>
      <c r="J380" t="s">
        <v>1537</v>
      </c>
      <c r="K380" t="str">
        <f>VLOOKUP(Table1[[#This Row],[Store_ID]],Store_Dim!$A$3:$D$22,2,FALSE)</f>
        <v>Guerrero-Schmitt-East</v>
      </c>
      <c r="L380" t="s">
        <v>1761</v>
      </c>
      <c r="M380" t="s">
        <v>3959</v>
      </c>
      <c r="N380" s="3">
        <v>241.32</v>
      </c>
      <c r="O380" s="4">
        <v>0.28999999999999998</v>
      </c>
      <c r="P380" t="s">
        <v>1777</v>
      </c>
      <c r="Q380" s="4">
        <v>685.34879999999998</v>
      </c>
    </row>
    <row r="381" spans="1:17" x14ac:dyDescent="0.3">
      <c r="A381" t="s">
        <v>2153</v>
      </c>
      <c r="B381" t="str">
        <f t="shared" si="5"/>
        <v>Q4</v>
      </c>
      <c r="C381" t="str">
        <f>TEXT(Table1[[#This Row],[Order_Date]],"mmmm")</f>
        <v>November</v>
      </c>
      <c r="D381">
        <f>YEAR(Table1[[#This Row],[Order_Date]])</f>
        <v>2023</v>
      </c>
      <c r="E381" s="7">
        <v>45240</v>
      </c>
      <c r="F381" s="2" t="str">
        <f>VLOOKUP(Table1[[#This Row],[Customer_ID]],Customer_Dim!$A$2:$H$501,2,FALSE)</f>
        <v>Maria Hill</v>
      </c>
      <c r="G381" s="2" t="str">
        <f>_xlfn.XLOOKUP(Table1[[#This Row],[Customer_ID]],Customer_Dim!$A$2:$A$501,Customer_Dim!$E$2:$E$501)</f>
        <v>Zamoraborough</v>
      </c>
      <c r="H381" t="s">
        <v>761</v>
      </c>
      <c r="I381" t="str">
        <f>VLOOKUP(Table1[[#This Row],[Product_ID]],Product_Dim!$A$2:$G$101,2,FALSE)</f>
        <v>Essential Oil Diffuser-Home</v>
      </c>
      <c r="J381" t="s">
        <v>1679</v>
      </c>
      <c r="K381" t="str">
        <f>VLOOKUP(Table1[[#This Row],[Store_ID]],Store_Dim!$A$3:$D$22,2,FALSE)</f>
        <v>Martinez, Adkins and Johnson-North</v>
      </c>
      <c r="L381" t="s">
        <v>1728</v>
      </c>
      <c r="M381" t="s">
        <v>3958</v>
      </c>
      <c r="N381" s="3">
        <v>636.03</v>
      </c>
      <c r="O381" s="4">
        <v>0.06</v>
      </c>
      <c r="P381" t="s">
        <v>1777</v>
      </c>
      <c r="Q381" s="4">
        <v>1793.6045999999999</v>
      </c>
    </row>
    <row r="382" spans="1:17" x14ac:dyDescent="0.3">
      <c r="A382" t="s">
        <v>2154</v>
      </c>
      <c r="B382" t="str">
        <f t="shared" si="5"/>
        <v>Q4</v>
      </c>
      <c r="C382" t="str">
        <f>TEXT(Table1[[#This Row],[Order_Date]],"mmmm")</f>
        <v>December</v>
      </c>
      <c r="D382">
        <f>YEAR(Table1[[#This Row],[Order_Date]])</f>
        <v>2023</v>
      </c>
      <c r="E382" s="7">
        <v>45275</v>
      </c>
      <c r="F382" s="2" t="str">
        <f>VLOOKUP(Table1[[#This Row],[Customer_ID]],Customer_Dim!$A$2:$H$501,2,FALSE)</f>
        <v>Samantha Walker</v>
      </c>
      <c r="G382" s="2" t="str">
        <f>_xlfn.XLOOKUP(Table1[[#This Row],[Customer_ID]],Customer_Dim!$A$2:$A$501,Customer_Dim!$E$2:$E$501)</f>
        <v>Timothyburgh</v>
      </c>
      <c r="H382" t="s">
        <v>339</v>
      </c>
      <c r="I382" t="str">
        <f>VLOOKUP(Table1[[#This Row],[Product_ID]],Product_Dim!$A$2:$G$101,2,FALSE)</f>
        <v>Women's Yoga Pants-Clothing</v>
      </c>
      <c r="J382" t="s">
        <v>1531</v>
      </c>
      <c r="K382" t="str">
        <f>VLOOKUP(Table1[[#This Row],[Store_ID]],Store_Dim!$A$3:$D$22,2,FALSE)</f>
        <v>Mann-Austin-East</v>
      </c>
      <c r="L382" t="s">
        <v>1763</v>
      </c>
      <c r="M382" t="s">
        <v>3959</v>
      </c>
      <c r="N382" s="3">
        <v>603.30999999999995</v>
      </c>
      <c r="O382" s="4">
        <v>0.15</v>
      </c>
      <c r="P382" t="s">
        <v>1772</v>
      </c>
      <c r="Q382" s="4">
        <v>2051.2539999999999</v>
      </c>
    </row>
    <row r="383" spans="1:17" x14ac:dyDescent="0.3">
      <c r="A383" t="s">
        <v>2155</v>
      </c>
      <c r="B383" t="str">
        <f t="shared" si="5"/>
        <v>Q2</v>
      </c>
      <c r="C383" t="str">
        <f>TEXT(Table1[[#This Row],[Order_Date]],"mmmm")</f>
        <v>May</v>
      </c>
      <c r="D383">
        <f>YEAR(Table1[[#This Row],[Order_Date]])</f>
        <v>2024</v>
      </c>
      <c r="E383" s="7">
        <v>45427</v>
      </c>
      <c r="F383" s="2" t="str">
        <f>VLOOKUP(Table1[[#This Row],[Customer_ID]],Customer_Dim!$A$2:$H$501,2,FALSE)</f>
        <v>Rhonda Morales</v>
      </c>
      <c r="G383" s="2" t="str">
        <f>_xlfn.XLOOKUP(Table1[[#This Row],[Customer_ID]],Customer_Dim!$A$2:$A$501,Customer_Dim!$E$2:$E$501)</f>
        <v>Lake Barryfurt</v>
      </c>
      <c r="H383" t="s">
        <v>272</v>
      </c>
      <c r="I383" t="str">
        <f>VLOOKUP(Table1[[#This Row],[Product_ID]],Product_Dim!$A$2:$G$101,2,FALSE)</f>
        <v>Face Foundation Kit-Beauty</v>
      </c>
      <c r="J383" t="s">
        <v>1701</v>
      </c>
      <c r="K383" t="str">
        <f>VLOOKUP(Table1[[#This Row],[Store_ID]],Store_Dim!$A$3:$D$22,2,FALSE)</f>
        <v>Hill, Wagner and Ballard-East</v>
      </c>
      <c r="L383" t="s">
        <v>1748</v>
      </c>
      <c r="M383" t="s">
        <v>3958</v>
      </c>
      <c r="N383" s="3">
        <v>437.96</v>
      </c>
      <c r="O383" s="4">
        <v>0.27</v>
      </c>
      <c r="P383" t="s">
        <v>1777</v>
      </c>
      <c r="Q383" s="4">
        <v>959.13239999999985</v>
      </c>
    </row>
    <row r="384" spans="1:17" x14ac:dyDescent="0.3">
      <c r="A384" t="s">
        <v>2156</v>
      </c>
      <c r="B384" t="str">
        <f t="shared" si="5"/>
        <v>Q1</v>
      </c>
      <c r="C384" t="str">
        <f>TEXT(Table1[[#This Row],[Order_Date]],"mmmm")</f>
        <v>January</v>
      </c>
      <c r="D384">
        <f>YEAR(Table1[[#This Row],[Order_Date]])</f>
        <v>2024</v>
      </c>
      <c r="E384" s="7">
        <v>45322</v>
      </c>
      <c r="F384" s="2" t="str">
        <f>VLOOKUP(Table1[[#This Row],[Customer_ID]],Customer_Dim!$A$2:$H$501,2,FALSE)</f>
        <v>John Perez</v>
      </c>
      <c r="G384" s="2" t="str">
        <f>_xlfn.XLOOKUP(Table1[[#This Row],[Customer_ID]],Customer_Dim!$A$2:$A$501,Customer_Dim!$E$2:$E$501)</f>
        <v>Kathrynview</v>
      </c>
      <c r="H384" t="s">
        <v>672</v>
      </c>
      <c r="I384" t="str">
        <f>VLOOKUP(Table1[[#This Row],[Product_ID]],Product_Dim!$A$2:$G$101,2,FALSE)</f>
        <v>Gaming Mechanical Keyboard-Electronics</v>
      </c>
      <c r="J384" t="s">
        <v>1591</v>
      </c>
      <c r="K384" t="str">
        <f>VLOOKUP(Table1[[#This Row],[Store_ID]],Store_Dim!$A$3:$D$22,2,FALSE)</f>
        <v>Alexander Group-South</v>
      </c>
      <c r="L384" t="s">
        <v>1735</v>
      </c>
      <c r="M384" t="s">
        <v>3960</v>
      </c>
      <c r="N384" s="3">
        <v>56.91</v>
      </c>
      <c r="O384" s="4">
        <v>0.08</v>
      </c>
      <c r="P384" t="s">
        <v>1777</v>
      </c>
      <c r="Q384" s="4">
        <v>104.7144</v>
      </c>
    </row>
    <row r="385" spans="1:17" x14ac:dyDescent="0.3">
      <c r="A385" t="s">
        <v>2157</v>
      </c>
      <c r="B385" t="str">
        <f t="shared" si="5"/>
        <v>Q4</v>
      </c>
      <c r="C385" t="str">
        <f>TEXT(Table1[[#This Row],[Order_Date]],"mmmm")</f>
        <v>December</v>
      </c>
      <c r="D385">
        <f>YEAR(Table1[[#This Row],[Order_Date]])</f>
        <v>2023</v>
      </c>
      <c r="E385" s="7">
        <v>45266</v>
      </c>
      <c r="F385" s="2" t="str">
        <f>VLOOKUP(Table1[[#This Row],[Customer_ID]],Customer_Dim!$A$2:$H$501,2,FALSE)</f>
        <v>Mr. Christopher Sims</v>
      </c>
      <c r="G385" s="2" t="str">
        <f>_xlfn.XLOOKUP(Table1[[#This Row],[Customer_ID]],Customer_Dim!$A$2:$A$501,Customer_Dim!$E$2:$E$501)</f>
        <v>Donaldsontown</v>
      </c>
      <c r="H385" t="s">
        <v>1039</v>
      </c>
      <c r="I385" t="str">
        <f>VLOOKUP(Table1[[#This Row],[Product_ID]],Product_Dim!$A$2:$G$101,2,FALSE)</f>
        <v>Wireless Mouse-Electronics</v>
      </c>
      <c r="J385" t="s">
        <v>1675</v>
      </c>
      <c r="K385" t="str">
        <f>VLOOKUP(Table1[[#This Row],[Store_ID]],Store_Dim!$A$3:$D$22,2,FALSE)</f>
        <v>Benson-Elliott-East</v>
      </c>
      <c r="L385" t="s">
        <v>1740</v>
      </c>
      <c r="M385" t="s">
        <v>3957</v>
      </c>
      <c r="N385" s="3">
        <v>141.79</v>
      </c>
      <c r="O385" s="4">
        <v>0.1</v>
      </c>
      <c r="P385" t="s">
        <v>1772</v>
      </c>
      <c r="Q385" s="4">
        <v>127.611</v>
      </c>
    </row>
    <row r="386" spans="1:17" x14ac:dyDescent="0.3">
      <c r="A386" t="s">
        <v>2158</v>
      </c>
      <c r="B386" t="str">
        <f t="shared" ref="B386:B449" si="6">"Q" &amp;ROUNDUP(MONTH(E386)/3,0)</f>
        <v>Q1</v>
      </c>
      <c r="C386" t="str">
        <f>TEXT(Table1[[#This Row],[Order_Date]],"mmmm")</f>
        <v>January</v>
      </c>
      <c r="D386">
        <f>YEAR(Table1[[#This Row],[Order_Date]])</f>
        <v>2024</v>
      </c>
      <c r="E386" s="7">
        <v>45302</v>
      </c>
      <c r="F386" s="2" t="str">
        <f>VLOOKUP(Table1[[#This Row],[Customer_ID]],Customer_Dim!$A$2:$H$501,2,FALSE)</f>
        <v>Sarah Smith</v>
      </c>
      <c r="G386" s="2" t="str">
        <f>_xlfn.XLOOKUP(Table1[[#This Row],[Customer_ID]],Customer_Dim!$A$2:$A$501,Customer_Dim!$E$2:$E$501)</f>
        <v>East Rodney</v>
      </c>
      <c r="H386" t="s">
        <v>1470</v>
      </c>
      <c r="I386" t="str">
        <f>VLOOKUP(Table1[[#This Row],[Product_ID]],Product_Dim!$A$2:$G$101,2,FALSE)</f>
        <v>Adjustable Dumbbell Set-Sports</v>
      </c>
      <c r="J386" t="s">
        <v>1541</v>
      </c>
      <c r="K386" t="str">
        <f>VLOOKUP(Table1[[#This Row],[Store_ID]],Store_Dim!$A$3:$D$22,2,FALSE)</f>
        <v>Shelton PLC-North</v>
      </c>
      <c r="L386" t="s">
        <v>1755</v>
      </c>
      <c r="M386" t="s">
        <v>3959</v>
      </c>
      <c r="N386" s="3">
        <v>355.14</v>
      </c>
      <c r="O386" s="4">
        <v>0.16</v>
      </c>
      <c r="P386" t="s">
        <v>1777</v>
      </c>
      <c r="Q386" s="4">
        <v>1193.2704000000001</v>
      </c>
    </row>
    <row r="387" spans="1:17" x14ac:dyDescent="0.3">
      <c r="A387" t="s">
        <v>2159</v>
      </c>
      <c r="B387" t="str">
        <f t="shared" si="6"/>
        <v>Q3</v>
      </c>
      <c r="C387" t="str">
        <f>TEXT(Table1[[#This Row],[Order_Date]],"mmmm")</f>
        <v>September</v>
      </c>
      <c r="D387">
        <f>YEAR(Table1[[#This Row],[Order_Date]])</f>
        <v>2025</v>
      </c>
      <c r="E387" s="7">
        <v>45907</v>
      </c>
      <c r="F387" s="2" t="str">
        <f>VLOOKUP(Table1[[#This Row],[Customer_ID]],Customer_Dim!$A$2:$H$501,2,FALSE)</f>
        <v>Rodney Huffman</v>
      </c>
      <c r="G387" s="2" t="str">
        <f>_xlfn.XLOOKUP(Table1[[#This Row],[Customer_ID]],Customer_Dim!$A$2:$A$501,Customer_Dim!$E$2:$E$501)</f>
        <v>Garzafort</v>
      </c>
      <c r="H387" t="s">
        <v>681</v>
      </c>
      <c r="I387" t="str">
        <f>VLOOKUP(Table1[[#This Row],[Product_ID]],Product_Dim!$A$2:$G$101,2,FALSE)</f>
        <v>Sports Water Hydration Pack-Sports</v>
      </c>
      <c r="J387" t="s">
        <v>1599</v>
      </c>
      <c r="K387" t="str">
        <f>VLOOKUP(Table1[[#This Row],[Store_ID]],Store_Dim!$A$3:$D$22,2,FALSE)</f>
        <v>Benson-Elliott-East</v>
      </c>
      <c r="L387" t="s">
        <v>1740</v>
      </c>
      <c r="M387" t="s">
        <v>3959</v>
      </c>
      <c r="N387" s="3">
        <v>960.38</v>
      </c>
      <c r="O387" s="4">
        <v>0.15</v>
      </c>
      <c r="P387" t="s">
        <v>1777</v>
      </c>
      <c r="Q387" s="4">
        <v>3265.2919999999999</v>
      </c>
    </row>
    <row r="388" spans="1:17" x14ac:dyDescent="0.3">
      <c r="A388" t="s">
        <v>2160</v>
      </c>
      <c r="B388" t="str">
        <f t="shared" si="6"/>
        <v>Q2</v>
      </c>
      <c r="C388" t="str">
        <f>TEXT(Table1[[#This Row],[Order_Date]],"mmmm")</f>
        <v>May</v>
      </c>
      <c r="D388">
        <f>YEAR(Table1[[#This Row],[Order_Date]])</f>
        <v>2024</v>
      </c>
      <c r="E388" s="7">
        <v>45433</v>
      </c>
      <c r="F388" s="2" t="str">
        <f>VLOOKUP(Table1[[#This Row],[Customer_ID]],Customer_Dim!$A$2:$H$501,2,FALSE)</f>
        <v>Dr. Tamara White Md</v>
      </c>
      <c r="G388" s="2" t="str">
        <f>_xlfn.XLOOKUP(Table1[[#This Row],[Customer_ID]],Customer_Dim!$A$2:$A$501,Customer_Dim!$E$2:$E$501)</f>
        <v>New Benjamin</v>
      </c>
      <c r="H388" t="s">
        <v>1290</v>
      </c>
      <c r="I388" t="str">
        <f>VLOOKUP(Table1[[#This Row],[Product_ID]],Product_Dim!$A$2:$G$101,2,FALSE)</f>
        <v>Men's Sports Shorts-Clothing</v>
      </c>
      <c r="J388" t="s">
        <v>1661</v>
      </c>
      <c r="K388" t="str">
        <f>VLOOKUP(Table1[[#This Row],[Store_ID]],Store_Dim!$A$3:$D$22,2,FALSE)</f>
        <v>Frederick-Wright-West</v>
      </c>
      <c r="L388" t="s">
        <v>1757</v>
      </c>
      <c r="M388" t="s">
        <v>3958</v>
      </c>
      <c r="N388" s="3">
        <v>847.21</v>
      </c>
      <c r="O388" s="4">
        <v>0.06</v>
      </c>
      <c r="P388" t="s">
        <v>1774</v>
      </c>
      <c r="Q388" s="4">
        <v>2389.1322</v>
      </c>
    </row>
    <row r="389" spans="1:17" x14ac:dyDescent="0.3">
      <c r="A389" t="s">
        <v>2161</v>
      </c>
      <c r="B389" t="str">
        <f t="shared" si="6"/>
        <v>Q3</v>
      </c>
      <c r="C389" t="str">
        <f>TEXT(Table1[[#This Row],[Order_Date]],"mmmm")</f>
        <v>August</v>
      </c>
      <c r="D389">
        <f>YEAR(Table1[[#This Row],[Order_Date]])</f>
        <v>2025</v>
      </c>
      <c r="E389" s="7">
        <v>45892</v>
      </c>
      <c r="F389" s="2" t="str">
        <f>VLOOKUP(Table1[[#This Row],[Customer_ID]],Customer_Dim!$A$2:$H$501,2,FALSE)</f>
        <v>Cody Diaz</v>
      </c>
      <c r="G389" s="2" t="str">
        <f>_xlfn.XLOOKUP(Table1[[#This Row],[Customer_ID]],Customer_Dim!$A$2:$A$501,Customer_Dim!$E$2:$E$501)</f>
        <v>South Aaronside</v>
      </c>
      <c r="H389" t="s">
        <v>241</v>
      </c>
      <c r="I389" t="str">
        <f>VLOOKUP(Table1[[#This Row],[Product_ID]],Product_Dim!$A$2:$G$101,2,FALSE)</f>
        <v>Wall-Mounted Spice Rack-Home</v>
      </c>
      <c r="J389" t="s">
        <v>1683</v>
      </c>
      <c r="K389" t="str">
        <f>VLOOKUP(Table1[[#This Row],[Store_ID]],Store_Dim!$A$3:$D$22,2,FALSE)</f>
        <v>Hill, Wagner and Ballard-East</v>
      </c>
      <c r="L389" t="s">
        <v>1748</v>
      </c>
      <c r="M389" t="s">
        <v>3959</v>
      </c>
      <c r="N389" s="3">
        <v>773.81</v>
      </c>
      <c r="O389" s="4">
        <v>0.08</v>
      </c>
      <c r="P389" t="s">
        <v>1777</v>
      </c>
      <c r="Q389" s="4">
        <v>2847.6208000000001</v>
      </c>
    </row>
    <row r="390" spans="1:17" x14ac:dyDescent="0.3">
      <c r="A390" t="s">
        <v>2162</v>
      </c>
      <c r="B390" t="str">
        <f t="shared" si="6"/>
        <v>Q2</v>
      </c>
      <c r="C390" t="str">
        <f>TEXT(Table1[[#This Row],[Order_Date]],"mmmm")</f>
        <v>May</v>
      </c>
      <c r="D390">
        <f>YEAR(Table1[[#This Row],[Order_Date]])</f>
        <v>2025</v>
      </c>
      <c r="E390" s="7">
        <v>45780</v>
      </c>
      <c r="F390" s="2" t="str">
        <f>VLOOKUP(Table1[[#This Row],[Customer_ID]],Customer_Dim!$A$2:$H$501,2,FALSE)</f>
        <v xml:space="preserve">  Sheena Bonilla  </v>
      </c>
      <c r="G390" s="2" t="str">
        <f>_xlfn.XLOOKUP(Table1[[#This Row],[Customer_ID]],Customer_Dim!$A$2:$A$501,Customer_Dim!$E$2:$E$501)</f>
        <v>Donaldton</v>
      </c>
      <c r="H390" t="s">
        <v>8</v>
      </c>
      <c r="I390" t="str">
        <f>VLOOKUP(Table1[[#This Row],[Product_ID]],Product_Dim!$A$2:$G$101,2,FALSE)</f>
        <v>Organic Sunscreen Lotion-Beauty</v>
      </c>
      <c r="J390" t="s">
        <v>1649</v>
      </c>
      <c r="K390" t="str">
        <f>VLOOKUP(Table1[[#This Row],[Store_ID]],Store_Dim!$A$3:$D$22,2,FALSE)</f>
        <v>Frederick-Wright-West</v>
      </c>
      <c r="L390" t="s">
        <v>1757</v>
      </c>
      <c r="M390" t="s">
        <v>3957</v>
      </c>
      <c r="N390" s="3">
        <v>664.71</v>
      </c>
      <c r="O390" s="4">
        <v>0.1</v>
      </c>
      <c r="P390" t="s">
        <v>1774</v>
      </c>
      <c r="Q390" s="4">
        <v>598.23900000000003</v>
      </c>
    </row>
    <row r="391" spans="1:17" x14ac:dyDescent="0.3">
      <c r="A391" t="s">
        <v>2163</v>
      </c>
      <c r="B391" t="str">
        <f t="shared" si="6"/>
        <v>Q4</v>
      </c>
      <c r="C391" t="str">
        <f>TEXT(Table1[[#This Row],[Order_Date]],"mmmm")</f>
        <v>November</v>
      </c>
      <c r="D391">
        <f>YEAR(Table1[[#This Row],[Order_Date]])</f>
        <v>2023</v>
      </c>
      <c r="E391" s="7">
        <v>45233</v>
      </c>
      <c r="F391" s="2" t="str">
        <f>VLOOKUP(Table1[[#This Row],[Customer_ID]],Customer_Dim!$A$2:$H$501,2,FALSE)</f>
        <v>Justin Mason Dds</v>
      </c>
      <c r="G391" s="2" t="str">
        <f>_xlfn.XLOOKUP(Table1[[#This Row],[Customer_ID]],Customer_Dim!$A$2:$A$501,Customer_Dim!$E$2:$E$501)</f>
        <v>Peggystad</v>
      </c>
      <c r="H391" t="s">
        <v>1078</v>
      </c>
      <c r="I391" t="str">
        <f>VLOOKUP(Table1[[#This Row],[Product_ID]],Product_Dim!$A$2:$G$101,2,FALSE)</f>
        <v>Men's Casual Sneakers-Clothing</v>
      </c>
      <c r="J391" t="s">
        <v>1597</v>
      </c>
      <c r="K391" t="str">
        <f>VLOOKUP(Table1[[#This Row],[Store_ID]],Store_Dim!$A$3:$D$22,2,FALSE)</f>
        <v>Martinez-Mullins-South</v>
      </c>
      <c r="L391" t="s">
        <v>1742</v>
      </c>
      <c r="M391" t="s">
        <v>3959</v>
      </c>
      <c r="N391" s="3">
        <v>482.06</v>
      </c>
      <c r="O391" s="4">
        <v>7.0000000000000007E-2</v>
      </c>
      <c r="P391" t="s">
        <v>1774</v>
      </c>
      <c r="Q391" s="4">
        <v>1793.2632000000001</v>
      </c>
    </row>
    <row r="392" spans="1:17" x14ac:dyDescent="0.3">
      <c r="A392" t="s">
        <v>2164</v>
      </c>
      <c r="B392" t="str">
        <f t="shared" si="6"/>
        <v>Q1</v>
      </c>
      <c r="C392" t="str">
        <f>TEXT(Table1[[#This Row],[Order_Date]],"mmmm")</f>
        <v>March</v>
      </c>
      <c r="D392">
        <f>YEAR(Table1[[#This Row],[Order_Date]])</f>
        <v>2025</v>
      </c>
      <c r="E392" s="7">
        <v>45742</v>
      </c>
      <c r="F392" s="2" t="str">
        <f>VLOOKUP(Table1[[#This Row],[Customer_ID]],Customer_Dim!$A$2:$H$501,2,FALSE)</f>
        <v>Jamie Yoder</v>
      </c>
      <c r="G392" s="2" t="str">
        <f>_xlfn.XLOOKUP(Table1[[#This Row],[Customer_ID]],Customer_Dim!$A$2:$A$501,Customer_Dim!$E$2:$E$501)</f>
        <v>New Gabrielleville</v>
      </c>
      <c r="H392" t="s">
        <v>316</v>
      </c>
      <c r="I392" t="str">
        <f>VLOOKUP(Table1[[#This Row],[Product_ID]],Product_Dim!$A$2:$G$101,2,FALSE)</f>
        <v>Foam Roller-Sports</v>
      </c>
      <c r="J392" t="s">
        <v>1637</v>
      </c>
      <c r="K392" t="str">
        <f>VLOOKUP(Table1[[#This Row],[Store_ID]],Store_Dim!$A$3:$D$22,2,FALSE)</f>
        <v>Johnson-Wright-North</v>
      </c>
      <c r="L392" t="s">
        <v>1733</v>
      </c>
      <c r="M392" t="s">
        <v>3959</v>
      </c>
      <c r="N392" s="3">
        <v>995.55</v>
      </c>
      <c r="O392" s="4">
        <v>0.19</v>
      </c>
      <c r="P392" t="s">
        <v>1774</v>
      </c>
      <c r="Q392" s="4">
        <v>3225.5819999999999</v>
      </c>
    </row>
    <row r="393" spans="1:17" x14ac:dyDescent="0.3">
      <c r="A393" t="s">
        <v>2165</v>
      </c>
      <c r="B393" t="str">
        <f t="shared" si="6"/>
        <v>Q3</v>
      </c>
      <c r="C393" t="str">
        <f>TEXT(Table1[[#This Row],[Order_Date]],"mmmm")</f>
        <v>July</v>
      </c>
      <c r="D393">
        <f>YEAR(Table1[[#This Row],[Order_Date]])</f>
        <v>2024</v>
      </c>
      <c r="E393" s="7">
        <v>45478</v>
      </c>
      <c r="F393" s="2" t="str">
        <f>VLOOKUP(Table1[[#This Row],[Customer_ID]],Customer_Dim!$A$2:$H$501,2,FALSE)</f>
        <v>Cristian Wright</v>
      </c>
      <c r="G393" s="2" t="str">
        <f>_xlfn.XLOOKUP(Table1[[#This Row],[Customer_ID]],Customer_Dim!$A$2:$A$501,Customer_Dim!$E$2:$E$501)</f>
        <v>Port Denise</v>
      </c>
      <c r="H393" t="s">
        <v>473</v>
      </c>
      <c r="I393" t="str">
        <f>VLOOKUP(Table1[[#This Row],[Product_ID]],Product_Dim!$A$2:$G$101,2,FALSE)</f>
        <v>USB-C Laptop Charger-Electronics</v>
      </c>
      <c r="J393" t="s">
        <v>1709</v>
      </c>
      <c r="K393" t="str">
        <f>VLOOKUP(Table1[[#This Row],[Store_ID]],Store_Dim!$A$3:$D$22,2,FALSE)</f>
        <v>Gardner, Humphrey and Contreras-East</v>
      </c>
      <c r="L393" t="s">
        <v>1753</v>
      </c>
      <c r="M393" t="s">
        <v>3960</v>
      </c>
      <c r="N393" s="3">
        <v>153.84</v>
      </c>
      <c r="O393" s="4">
        <v>0.27</v>
      </c>
      <c r="P393" t="s">
        <v>1774</v>
      </c>
      <c r="Q393" s="4">
        <v>224.60640000000001</v>
      </c>
    </row>
    <row r="394" spans="1:17" x14ac:dyDescent="0.3">
      <c r="A394" t="s">
        <v>2166</v>
      </c>
      <c r="B394" t="str">
        <f t="shared" si="6"/>
        <v>Q2</v>
      </c>
      <c r="C394" t="str">
        <f>TEXT(Table1[[#This Row],[Order_Date]],"mmmm")</f>
        <v>May</v>
      </c>
      <c r="D394">
        <f>YEAR(Table1[[#This Row],[Order_Date]])</f>
        <v>2025</v>
      </c>
      <c r="E394" s="7">
        <v>45789</v>
      </c>
      <c r="F394" s="2" t="str">
        <f>VLOOKUP(Table1[[#This Row],[Customer_ID]],Customer_Dim!$A$2:$H$501,2,FALSE)</f>
        <v>Joseph Faulkner</v>
      </c>
      <c r="G394" s="2" t="str">
        <f>_xlfn.XLOOKUP(Table1[[#This Row],[Customer_ID]],Customer_Dim!$A$2:$A$501,Customer_Dim!$E$2:$E$501)</f>
        <v>New Leahfurt</v>
      </c>
      <c r="H394" t="s">
        <v>509</v>
      </c>
      <c r="I394" t="str">
        <f>VLOOKUP(Table1[[#This Row],[Product_ID]],Product_Dim!$A$2:$G$101,2,FALSE)</f>
        <v>Essential Oil Diffuser-Home</v>
      </c>
      <c r="J394" t="s">
        <v>1679</v>
      </c>
      <c r="K394" t="str">
        <f>VLOOKUP(Table1[[#This Row],[Store_ID]],Store_Dim!$A$3:$D$22,2,FALSE)</f>
        <v>Benson-Elliott-East</v>
      </c>
      <c r="L394" t="s">
        <v>1740</v>
      </c>
      <c r="M394" t="s">
        <v>3958</v>
      </c>
      <c r="N394" s="3">
        <v>362.11</v>
      </c>
      <c r="O394" s="4">
        <v>0.23</v>
      </c>
      <c r="P394" t="s">
        <v>1777</v>
      </c>
      <c r="Q394" s="4">
        <v>836.47409999999991</v>
      </c>
    </row>
    <row r="395" spans="1:17" x14ac:dyDescent="0.3">
      <c r="A395" t="s">
        <v>2167</v>
      </c>
      <c r="B395" t="str">
        <f t="shared" si="6"/>
        <v>Q3</v>
      </c>
      <c r="C395" t="str">
        <f>TEXT(Table1[[#This Row],[Order_Date]],"mmmm")</f>
        <v>September</v>
      </c>
      <c r="D395">
        <f>YEAR(Table1[[#This Row],[Order_Date]])</f>
        <v>2024</v>
      </c>
      <c r="E395" s="7">
        <v>45561</v>
      </c>
      <c r="F395" s="2" t="str">
        <f>VLOOKUP(Table1[[#This Row],[Customer_ID]],Customer_Dim!$A$2:$H$501,2,FALSE)</f>
        <v>Philip Mendoza</v>
      </c>
      <c r="G395" s="2" t="str">
        <f>_xlfn.XLOOKUP(Table1[[#This Row],[Customer_ID]],Customer_Dim!$A$2:$A$501,Customer_Dim!$E$2:$E$501)</f>
        <v>Tylermouth</v>
      </c>
      <c r="H395" t="s">
        <v>1439</v>
      </c>
      <c r="I395" t="str">
        <f>VLOOKUP(Table1[[#This Row],[Product_ID]],Product_Dim!$A$2:$G$101,2,FALSE)</f>
        <v>USB External Hard Drive-Electronics</v>
      </c>
      <c r="J395" t="s">
        <v>1609</v>
      </c>
      <c r="K395" t="str">
        <f>VLOOKUP(Table1[[#This Row],[Store_ID]],Store_Dim!$A$3:$D$22,2,FALSE)</f>
        <v>Bean, Jones and Park-West</v>
      </c>
      <c r="L395" t="s">
        <v>1744</v>
      </c>
      <c r="M395" t="s">
        <v>3958</v>
      </c>
      <c r="N395" s="3">
        <v>112.26</v>
      </c>
      <c r="O395" s="4">
        <v>0.11</v>
      </c>
      <c r="P395" t="s">
        <v>1772</v>
      </c>
      <c r="Q395" s="4">
        <v>299.73419999999999</v>
      </c>
    </row>
    <row r="396" spans="1:17" x14ac:dyDescent="0.3">
      <c r="A396" t="s">
        <v>2168</v>
      </c>
      <c r="B396" t="str">
        <f t="shared" si="6"/>
        <v>Q1</v>
      </c>
      <c r="C396" t="str">
        <f>TEXT(Table1[[#This Row],[Order_Date]],"mmmm")</f>
        <v>March</v>
      </c>
      <c r="D396">
        <f>YEAR(Table1[[#This Row],[Order_Date]])</f>
        <v>2024</v>
      </c>
      <c r="E396" s="7">
        <v>45378</v>
      </c>
      <c r="F396" s="2" t="str">
        <f>VLOOKUP(Table1[[#This Row],[Customer_ID]],Customer_Dim!$A$2:$H$501,2,FALSE)</f>
        <v>Sarah Brady</v>
      </c>
      <c r="G396" s="2" t="str">
        <f>_xlfn.XLOOKUP(Table1[[#This Row],[Customer_ID]],Customer_Dim!$A$2:$A$501,Customer_Dim!$E$2:$E$501)</f>
        <v>Johnsonland</v>
      </c>
      <c r="H396" t="s">
        <v>657</v>
      </c>
      <c r="I396" t="str">
        <f>VLOOKUP(Table1[[#This Row],[Product_ID]],Product_Dim!$A$2:$G$101,2,FALSE)</f>
        <v>Vitamin E Body Lotion-Beauty</v>
      </c>
      <c r="J396" t="s">
        <v>1711</v>
      </c>
      <c r="K396" t="str">
        <f>VLOOKUP(Table1[[#This Row],[Store_ID]],Store_Dim!$A$3:$D$22,2,FALSE)</f>
        <v>Mann-Austin-East</v>
      </c>
      <c r="L396" t="s">
        <v>1763</v>
      </c>
      <c r="M396" t="s">
        <v>3960</v>
      </c>
      <c r="N396" s="3">
        <v>962.81</v>
      </c>
      <c r="O396" s="4">
        <v>0.06</v>
      </c>
      <c r="P396" t="s">
        <v>1777</v>
      </c>
      <c r="Q396" s="4">
        <v>1810.0827999999999</v>
      </c>
    </row>
    <row r="397" spans="1:17" x14ac:dyDescent="0.3">
      <c r="A397" t="s">
        <v>2169</v>
      </c>
      <c r="B397" t="str">
        <f t="shared" si="6"/>
        <v>Q1</v>
      </c>
      <c r="C397" t="str">
        <f>TEXT(Table1[[#This Row],[Order_Date]],"mmmm")</f>
        <v>January</v>
      </c>
      <c r="D397">
        <f>YEAR(Table1[[#This Row],[Order_Date]])</f>
        <v>2024</v>
      </c>
      <c r="E397" s="7">
        <v>45308</v>
      </c>
      <c r="F397" s="2" t="str">
        <f>VLOOKUP(Table1[[#This Row],[Customer_ID]],Customer_Dim!$A$2:$H$501,2,FALSE)</f>
        <v>Stuart Johnson</v>
      </c>
      <c r="G397" s="2" t="str">
        <f>_xlfn.XLOOKUP(Table1[[#This Row],[Customer_ID]],Customer_Dim!$A$2:$A$501,Customer_Dim!$E$2:$E$501)</f>
        <v>West Markport</v>
      </c>
      <c r="H397" t="s">
        <v>687</v>
      </c>
      <c r="I397" t="str">
        <f>VLOOKUP(Table1[[#This Row],[Product_ID]],Product_Dim!$A$2:$G$101,2,FALSE)</f>
        <v>Multi-Purpose Storage Box-Home</v>
      </c>
      <c r="J397" t="s">
        <v>1565</v>
      </c>
      <c r="K397" t="str">
        <f>VLOOKUP(Table1[[#This Row],[Store_ID]],Store_Dim!$A$3:$D$22,2,FALSE)</f>
        <v>Rivera-Warner-East</v>
      </c>
      <c r="L397" t="s">
        <v>1725</v>
      </c>
      <c r="M397" t="s">
        <v>3959</v>
      </c>
      <c r="N397" s="3">
        <v>276.23</v>
      </c>
      <c r="O397" s="4">
        <v>0.12</v>
      </c>
      <c r="P397" t="s">
        <v>1772</v>
      </c>
      <c r="Q397" s="4">
        <v>972.32960000000003</v>
      </c>
    </row>
    <row r="398" spans="1:17" x14ac:dyDescent="0.3">
      <c r="A398" t="s">
        <v>2170</v>
      </c>
      <c r="B398" t="str">
        <f t="shared" si="6"/>
        <v>Q2</v>
      </c>
      <c r="C398" t="str">
        <f>TEXT(Table1[[#This Row],[Order_Date]],"mmmm")</f>
        <v>April</v>
      </c>
      <c r="D398">
        <f>YEAR(Table1[[#This Row],[Order_Date]])</f>
        <v>2024</v>
      </c>
      <c r="E398" s="7">
        <v>45407</v>
      </c>
      <c r="F398" s="2" t="str">
        <f>VLOOKUP(Table1[[#This Row],[Customer_ID]],Customer_Dim!$A$2:$H$501,2,FALSE)</f>
        <v>Laura Alvarez</v>
      </c>
      <c r="G398" s="2" t="str">
        <f>_xlfn.XLOOKUP(Table1[[#This Row],[Customer_ID]],Customer_Dim!$A$2:$A$501,Customer_Dim!$E$2:$E$501)</f>
        <v>Lawsonhaven</v>
      </c>
      <c r="H398" t="s">
        <v>71</v>
      </c>
      <c r="I398" t="str">
        <f>VLOOKUP(Table1[[#This Row],[Product_ID]],Product_Dim!$A$2:$G$101,2,FALSE)</f>
        <v>Women's Denim Jeans-Clothing</v>
      </c>
      <c r="J398" t="s">
        <v>1559</v>
      </c>
      <c r="K398" t="str">
        <f>VLOOKUP(Table1[[#This Row],[Store_ID]],Store_Dim!$A$3:$D$22,2,FALSE)</f>
        <v>Mcdonald Inc-South</v>
      </c>
      <c r="L398" t="s">
        <v>1754</v>
      </c>
      <c r="M398" t="s">
        <v>3958</v>
      </c>
      <c r="N398" s="3">
        <v>991.37</v>
      </c>
      <c r="O398" s="4">
        <v>0.1</v>
      </c>
      <c r="P398" t="s">
        <v>1774</v>
      </c>
      <c r="Q398" s="4">
        <v>2676.6990000000001</v>
      </c>
    </row>
    <row r="399" spans="1:17" x14ac:dyDescent="0.3">
      <c r="A399" t="s">
        <v>2171</v>
      </c>
      <c r="B399" t="str">
        <f t="shared" si="6"/>
        <v>Q3</v>
      </c>
      <c r="C399" t="str">
        <f>TEXT(Table1[[#This Row],[Order_Date]],"mmmm")</f>
        <v>September</v>
      </c>
      <c r="D399">
        <f>YEAR(Table1[[#This Row],[Order_Date]])</f>
        <v>2025</v>
      </c>
      <c r="E399" s="7">
        <v>45929</v>
      </c>
      <c r="F399" s="2" t="str">
        <f>VLOOKUP(Table1[[#This Row],[Customer_ID]],Customer_Dim!$A$2:$H$501,2,FALSE)</f>
        <v>Daniel Contreras</v>
      </c>
      <c r="G399" s="2" t="str">
        <f>_xlfn.XLOOKUP(Table1[[#This Row],[Customer_ID]],Customer_Dim!$A$2:$A$501,Customer_Dim!$E$2:$E$501)</f>
        <v>Robertview</v>
      </c>
      <c r="H399" t="s">
        <v>554</v>
      </c>
      <c r="I399" t="str">
        <f>VLOOKUP(Table1[[#This Row],[Product_ID]],Product_Dim!$A$2:$G$101,2,FALSE)</f>
        <v>Multi-Purpose Storage Box-Home</v>
      </c>
      <c r="J399" t="s">
        <v>1565</v>
      </c>
      <c r="K399" t="str">
        <f>VLOOKUP(Table1[[#This Row],[Store_ID]],Store_Dim!$A$3:$D$22,2,FALSE)</f>
        <v>Gardner, Humphrey and Contreras-East</v>
      </c>
      <c r="L399" t="s">
        <v>1753</v>
      </c>
      <c r="M399" t="s">
        <v>3958</v>
      </c>
      <c r="N399" s="3">
        <v>977.47</v>
      </c>
      <c r="O399" s="4">
        <v>0.05</v>
      </c>
      <c r="P399" t="s">
        <v>1772</v>
      </c>
      <c r="Q399" s="4">
        <v>2785.7894999999999</v>
      </c>
    </row>
    <row r="400" spans="1:17" x14ac:dyDescent="0.3">
      <c r="A400" t="s">
        <v>2172</v>
      </c>
      <c r="B400" t="str">
        <f t="shared" si="6"/>
        <v>Q3</v>
      </c>
      <c r="C400" t="str">
        <f>TEXT(Table1[[#This Row],[Order_Date]],"mmmm")</f>
        <v>July</v>
      </c>
      <c r="D400">
        <f>YEAR(Table1[[#This Row],[Order_Date]])</f>
        <v>2025</v>
      </c>
      <c r="E400" s="7">
        <v>45844</v>
      </c>
      <c r="F400" s="2" t="str">
        <f>VLOOKUP(Table1[[#This Row],[Customer_ID]],Customer_Dim!$A$2:$H$501,2,FALSE)</f>
        <v>Ronald Jones</v>
      </c>
      <c r="G400" s="2" t="str">
        <f>_xlfn.XLOOKUP(Table1[[#This Row],[Customer_ID]],Customer_Dim!$A$2:$A$501,Customer_Dim!$E$2:$E$501)</f>
        <v>Brownshire</v>
      </c>
      <c r="H400" t="s">
        <v>666</v>
      </c>
      <c r="I400" t="str">
        <f>VLOOKUP(Table1[[#This Row],[Product_ID]],Product_Dim!$A$2:$G$101,2,FALSE)</f>
        <v>Vitamin E Body Lotion-Beauty</v>
      </c>
      <c r="J400" t="s">
        <v>1711</v>
      </c>
      <c r="K400" t="str">
        <f>VLOOKUP(Table1[[#This Row],[Store_ID]],Store_Dim!$A$3:$D$22,2,FALSE)</f>
        <v>Thomas, Bridges and Harris-North</v>
      </c>
      <c r="L400" t="s">
        <v>1751</v>
      </c>
      <c r="M400" t="s">
        <v>3960</v>
      </c>
      <c r="N400" s="3">
        <v>308.7</v>
      </c>
      <c r="O400" s="4">
        <v>0.2</v>
      </c>
      <c r="P400" t="s">
        <v>1774</v>
      </c>
      <c r="Q400" s="4">
        <v>493.92</v>
      </c>
    </row>
    <row r="401" spans="1:17" x14ac:dyDescent="0.3">
      <c r="A401" t="s">
        <v>2173</v>
      </c>
      <c r="B401" t="str">
        <f t="shared" si="6"/>
        <v>Q4</v>
      </c>
      <c r="C401" t="str">
        <f>TEXT(Table1[[#This Row],[Order_Date]],"mmmm")</f>
        <v>October</v>
      </c>
      <c r="D401">
        <f>YEAR(Table1[[#This Row],[Order_Date]])</f>
        <v>2024</v>
      </c>
      <c r="E401" s="7">
        <v>45579</v>
      </c>
      <c r="F401" s="2" t="str">
        <f>VLOOKUP(Table1[[#This Row],[Customer_ID]],Customer_Dim!$A$2:$H$501,2,FALSE)</f>
        <v>Christopher Carter</v>
      </c>
      <c r="G401" s="2" t="str">
        <f>_xlfn.XLOOKUP(Table1[[#This Row],[Customer_ID]],Customer_Dim!$A$2:$A$501,Customer_Dim!$E$2:$E$501)</f>
        <v>Brendastad</v>
      </c>
      <c r="H401" t="s">
        <v>146</v>
      </c>
      <c r="I401" t="str">
        <f>VLOOKUP(Table1[[#This Row],[Product_ID]],Product_Dim!$A$2:$G$101,2,FALSE)</f>
        <v>Herbal Face Moisturizer-Beauty</v>
      </c>
      <c r="J401" t="s">
        <v>1535</v>
      </c>
      <c r="K401" t="str">
        <f>VLOOKUP(Table1[[#This Row],[Store_ID]],Store_Dim!$A$3:$D$22,2,FALSE)</f>
        <v>Frederick-Wright-West</v>
      </c>
      <c r="L401" t="s">
        <v>1757</v>
      </c>
      <c r="M401" t="s">
        <v>3960</v>
      </c>
      <c r="N401" s="3">
        <v>733.87</v>
      </c>
      <c r="O401" s="4">
        <v>0.1</v>
      </c>
      <c r="P401" t="s">
        <v>1774</v>
      </c>
      <c r="Q401" s="4">
        <v>1320.9659999999999</v>
      </c>
    </row>
    <row r="402" spans="1:17" x14ac:dyDescent="0.3">
      <c r="A402" t="s">
        <v>2174</v>
      </c>
      <c r="B402" t="str">
        <f t="shared" si="6"/>
        <v>Q4</v>
      </c>
      <c r="C402" t="str">
        <f>TEXT(Table1[[#This Row],[Order_Date]],"mmmm")</f>
        <v>October</v>
      </c>
      <c r="D402">
        <f>YEAR(Table1[[#This Row],[Order_Date]])</f>
        <v>2023</v>
      </c>
      <c r="E402" s="7">
        <v>45227</v>
      </c>
      <c r="F402" s="2" t="str">
        <f>VLOOKUP(Table1[[#This Row],[Customer_ID]],Customer_Dim!$A$2:$H$501,2,FALSE)</f>
        <v>Amy Fowler</v>
      </c>
      <c r="G402" s="2" t="str">
        <f>_xlfn.XLOOKUP(Table1[[#This Row],[Customer_ID]],Customer_Dim!$A$2:$A$501,Customer_Dim!$E$2:$E$501)</f>
        <v>West Bobbyshire</v>
      </c>
      <c r="H402" t="s">
        <v>336</v>
      </c>
      <c r="I402" t="str">
        <f>VLOOKUP(Table1[[#This Row],[Product_ID]],Product_Dim!$A$2:$G$101,2,FALSE)</f>
        <v>Knee Support Brace-Sports</v>
      </c>
      <c r="J402" t="s">
        <v>1561</v>
      </c>
      <c r="K402" t="str">
        <f>VLOOKUP(Table1[[#This Row],[Store_ID]],Store_Dim!$A$3:$D$22,2,FALSE)</f>
        <v>Frederick-Wright-West</v>
      </c>
      <c r="L402" t="s">
        <v>1757</v>
      </c>
      <c r="M402" t="s">
        <v>3960</v>
      </c>
      <c r="N402" s="3">
        <v>22.47</v>
      </c>
      <c r="O402" s="4">
        <v>0.22</v>
      </c>
      <c r="P402" t="s">
        <v>1774</v>
      </c>
      <c r="Q402" s="4">
        <v>35.053199999999997</v>
      </c>
    </row>
    <row r="403" spans="1:17" x14ac:dyDescent="0.3">
      <c r="A403" t="s">
        <v>2175</v>
      </c>
      <c r="B403" t="str">
        <f t="shared" si="6"/>
        <v>Q1</v>
      </c>
      <c r="C403" t="str">
        <f>TEXT(Table1[[#This Row],[Order_Date]],"mmmm")</f>
        <v>March</v>
      </c>
      <c r="D403">
        <f>YEAR(Table1[[#This Row],[Order_Date]])</f>
        <v>2024</v>
      </c>
      <c r="E403" s="7">
        <v>45380</v>
      </c>
      <c r="F403" s="2" t="str">
        <f>VLOOKUP(Table1[[#This Row],[Customer_ID]],Customer_Dim!$A$2:$H$501,2,FALSE)</f>
        <v>Sherry Cabrera</v>
      </c>
      <c r="G403" s="2" t="str">
        <f>_xlfn.XLOOKUP(Table1[[#This Row],[Customer_ID]],Customer_Dim!$A$2:$A$501,Customer_Dim!$E$2:$E$501)</f>
        <v>Shannonview</v>
      </c>
      <c r="H403" t="s">
        <v>1080</v>
      </c>
      <c r="I403" t="str">
        <f>VLOOKUP(Table1[[#This Row],[Product_ID]],Product_Dim!$A$2:$G$101,2,FALSE)</f>
        <v>Foam Roller-Sports</v>
      </c>
      <c r="J403" t="s">
        <v>1637</v>
      </c>
      <c r="K403" t="str">
        <f>VLOOKUP(Table1[[#This Row],[Store_ID]],Store_Dim!$A$3:$D$22,2,FALSE)</f>
        <v>Gardner, Humphrey and Contreras-East</v>
      </c>
      <c r="L403" t="s">
        <v>1753</v>
      </c>
      <c r="M403" t="s">
        <v>3959</v>
      </c>
      <c r="N403" s="3">
        <v>651.36</v>
      </c>
      <c r="O403" s="4">
        <v>0.13</v>
      </c>
      <c r="P403" t="s">
        <v>1772</v>
      </c>
      <c r="Q403" s="4">
        <v>2266.7328000000002</v>
      </c>
    </row>
    <row r="404" spans="1:17" x14ac:dyDescent="0.3">
      <c r="A404" t="s">
        <v>2176</v>
      </c>
      <c r="B404" t="str">
        <f t="shared" si="6"/>
        <v>Q2</v>
      </c>
      <c r="C404" t="str">
        <f>TEXT(Table1[[#This Row],[Order_Date]],"mmmm")</f>
        <v>June</v>
      </c>
      <c r="D404">
        <f>YEAR(Table1[[#This Row],[Order_Date]])</f>
        <v>2025</v>
      </c>
      <c r="E404" s="7">
        <v>45817</v>
      </c>
      <c r="F404" s="2" t="str">
        <f>VLOOKUP(Table1[[#This Row],[Customer_ID]],Customer_Dim!$A$2:$H$501,2,FALSE)</f>
        <v>Jared Moran</v>
      </c>
      <c r="G404" s="2" t="str">
        <f>_xlfn.XLOOKUP(Table1[[#This Row],[Customer_ID]],Customer_Dim!$A$2:$A$501,Customer_Dim!$E$2:$E$501)</f>
        <v>South David</v>
      </c>
      <c r="H404" t="s">
        <v>928</v>
      </c>
      <c r="I404" t="str">
        <f>VLOOKUP(Table1[[#This Row],[Product_ID]],Product_Dim!$A$2:$G$101,2,FALSE)</f>
        <v>Decorative Wall Mirror-Home</v>
      </c>
      <c r="J404" t="s">
        <v>1551</v>
      </c>
      <c r="K404" t="str">
        <f>VLOOKUP(Table1[[#This Row],[Store_ID]],Store_Dim!$A$3:$D$22,2,FALSE)</f>
        <v>Hill, Wagner and Ballard-East</v>
      </c>
      <c r="L404" t="s">
        <v>1748</v>
      </c>
      <c r="M404" t="s">
        <v>3957</v>
      </c>
      <c r="N404" s="3">
        <v>753.39</v>
      </c>
      <c r="O404" s="4">
        <v>0.04</v>
      </c>
      <c r="P404" t="s">
        <v>1777</v>
      </c>
      <c r="Q404" s="4">
        <v>723.25439999999992</v>
      </c>
    </row>
    <row r="405" spans="1:17" x14ac:dyDescent="0.3">
      <c r="A405" t="s">
        <v>2177</v>
      </c>
      <c r="B405" t="str">
        <f t="shared" si="6"/>
        <v>Q4</v>
      </c>
      <c r="C405" t="str">
        <f>TEXT(Table1[[#This Row],[Order_Date]],"mmmm")</f>
        <v>October</v>
      </c>
      <c r="D405">
        <f>YEAR(Table1[[#This Row],[Order_Date]])</f>
        <v>2024</v>
      </c>
      <c r="E405" s="7">
        <v>45576</v>
      </c>
      <c r="F405" s="2" t="str">
        <f>VLOOKUP(Table1[[#This Row],[Customer_ID]],Customer_Dim!$A$2:$H$501,2,FALSE)</f>
        <v>Mary Boyd</v>
      </c>
      <c r="G405" s="2" t="str">
        <f>_xlfn.XLOOKUP(Table1[[#This Row],[Customer_ID]],Customer_Dim!$A$2:$A$501,Customer_Dim!$E$2:$E$501)</f>
        <v>New Logan</v>
      </c>
      <c r="H405" t="s">
        <v>651</v>
      </c>
      <c r="I405" t="str">
        <f>VLOOKUP(Table1[[#This Row],[Product_ID]],Product_Dim!$A$2:$G$101,2,FALSE)</f>
        <v>Hair Repair Oil Treatment-Beauty</v>
      </c>
      <c r="J405" t="s">
        <v>1665</v>
      </c>
      <c r="K405" t="str">
        <f>VLOOKUP(Table1[[#This Row],[Store_ID]],Store_Dim!$A$3:$D$22,2,FALSE)</f>
        <v>Thomas, Bridges and Harris-North</v>
      </c>
      <c r="L405" t="s">
        <v>1751</v>
      </c>
      <c r="M405" t="s">
        <v>3959</v>
      </c>
      <c r="N405" s="3">
        <v>849.17</v>
      </c>
      <c r="O405" s="4">
        <v>0.12</v>
      </c>
      <c r="P405" t="s">
        <v>1777</v>
      </c>
      <c r="Q405" s="4">
        <v>2989.0783999999999</v>
      </c>
    </row>
    <row r="406" spans="1:17" x14ac:dyDescent="0.3">
      <c r="A406" t="s">
        <v>2178</v>
      </c>
      <c r="B406" t="str">
        <f t="shared" si="6"/>
        <v>Q3</v>
      </c>
      <c r="C406" t="str">
        <f>TEXT(Table1[[#This Row],[Order_Date]],"mmmm")</f>
        <v>July</v>
      </c>
      <c r="D406">
        <f>YEAR(Table1[[#This Row],[Order_Date]])</f>
        <v>2024</v>
      </c>
      <c r="E406" s="7">
        <v>45495</v>
      </c>
      <c r="F406" s="2" t="str">
        <f>VLOOKUP(Table1[[#This Row],[Customer_ID]],Customer_Dim!$A$2:$H$501,2,FALSE)</f>
        <v>Tanya Lopez</v>
      </c>
      <c r="G406" s="2" t="str">
        <f>_xlfn.XLOOKUP(Table1[[#This Row],[Customer_ID]],Customer_Dim!$A$2:$A$501,Customer_Dim!$E$2:$E$501)</f>
        <v>West Jeffreyburgh</v>
      </c>
      <c r="H406" t="s">
        <v>1171</v>
      </c>
      <c r="I406" t="str">
        <f>VLOOKUP(Table1[[#This Row],[Product_ID]],Product_Dim!$A$2:$G$101,2,FALSE)</f>
        <v>Outdoor Sports Water Bottle-Sports</v>
      </c>
      <c r="J406" t="s">
        <v>1563</v>
      </c>
      <c r="K406" t="str">
        <f>VLOOKUP(Table1[[#This Row],[Store_ID]],Store_Dim!$A$3:$D$22,2,FALSE)</f>
        <v>Rivera-Warner-East</v>
      </c>
      <c r="L406" t="s">
        <v>1725</v>
      </c>
      <c r="M406" t="s">
        <v>3959</v>
      </c>
      <c r="N406" s="3">
        <v>585.45000000000005</v>
      </c>
      <c r="O406" s="4">
        <v>0.25</v>
      </c>
      <c r="P406" t="s">
        <v>1777</v>
      </c>
      <c r="Q406" s="4">
        <v>1756.35</v>
      </c>
    </row>
    <row r="407" spans="1:17" x14ac:dyDescent="0.3">
      <c r="A407" t="s">
        <v>2179</v>
      </c>
      <c r="B407" t="str">
        <f t="shared" si="6"/>
        <v>Q4</v>
      </c>
      <c r="C407" t="str">
        <f>TEXT(Table1[[#This Row],[Order_Date]],"mmmm")</f>
        <v>December</v>
      </c>
      <c r="D407">
        <f>YEAR(Table1[[#This Row],[Order_Date]])</f>
        <v>2024</v>
      </c>
      <c r="E407" s="7">
        <v>45628</v>
      </c>
      <c r="F407" s="2" t="str">
        <f>VLOOKUP(Table1[[#This Row],[Customer_ID]],Customer_Dim!$A$2:$H$501,2,FALSE)</f>
        <v>Elizabeth Foster</v>
      </c>
      <c r="G407" s="2" t="str">
        <f>_xlfn.XLOOKUP(Table1[[#This Row],[Customer_ID]],Customer_Dim!$A$2:$A$501,Customer_Dim!$E$2:$E$501)</f>
        <v>Anthonymouth</v>
      </c>
      <c r="H407" t="s">
        <v>1450</v>
      </c>
      <c r="I407" t="str">
        <f>VLOOKUP(Table1[[#This Row],[Product_ID]],Product_Dim!$A$2:$G$101,2,FALSE)</f>
        <v>Women's Ankle Boots-Clothing</v>
      </c>
      <c r="J407" t="s">
        <v>1673</v>
      </c>
      <c r="K407" t="str">
        <f>VLOOKUP(Table1[[#This Row],[Store_ID]],Store_Dim!$A$3:$D$22,2,FALSE)</f>
        <v>Frederick-Wright-West</v>
      </c>
      <c r="L407" t="s">
        <v>1757</v>
      </c>
      <c r="M407" t="s">
        <v>3957</v>
      </c>
      <c r="N407" s="3">
        <v>745.15</v>
      </c>
      <c r="O407" s="4">
        <v>0.25</v>
      </c>
      <c r="P407" t="s">
        <v>1777</v>
      </c>
      <c r="Q407" s="4">
        <v>558.86249999999995</v>
      </c>
    </row>
    <row r="408" spans="1:17" x14ac:dyDescent="0.3">
      <c r="A408" t="s">
        <v>2180</v>
      </c>
      <c r="B408" t="str">
        <f t="shared" si="6"/>
        <v>Q4</v>
      </c>
      <c r="C408" t="str">
        <f>TEXT(Table1[[#This Row],[Order_Date]],"mmmm")</f>
        <v>November</v>
      </c>
      <c r="D408">
        <f>YEAR(Table1[[#This Row],[Order_Date]])</f>
        <v>2023</v>
      </c>
      <c r="E408" s="7">
        <v>45244</v>
      </c>
      <c r="F408" s="2" t="str">
        <f>VLOOKUP(Table1[[#This Row],[Customer_ID]],Customer_Dim!$A$2:$H$501,2,FALSE)</f>
        <v>Matthew Hunter Jr.</v>
      </c>
      <c r="G408" s="2" t="str">
        <f>_xlfn.XLOOKUP(Table1[[#This Row],[Customer_ID]],Customer_Dim!$A$2:$A$501,Customer_Dim!$E$2:$E$501)</f>
        <v>Gregoryview</v>
      </c>
      <c r="H408" t="s">
        <v>188</v>
      </c>
      <c r="I408" t="str">
        <f>VLOOKUP(Table1[[#This Row],[Product_ID]],Product_Dim!$A$2:$G$101,2,FALSE)</f>
        <v>Stainless Steel Cookware Set-Home</v>
      </c>
      <c r="J408" t="s">
        <v>1721</v>
      </c>
      <c r="K408" t="str">
        <f>VLOOKUP(Table1[[#This Row],[Store_ID]],Store_Dim!$A$3:$D$22,2,FALSE)</f>
        <v>Black-Horn-South</v>
      </c>
      <c r="L408" t="s">
        <v>1730</v>
      </c>
      <c r="M408" t="s">
        <v>3957</v>
      </c>
      <c r="N408" s="3">
        <v>848.69</v>
      </c>
      <c r="O408" s="4">
        <v>0.04</v>
      </c>
      <c r="P408" t="s">
        <v>1777</v>
      </c>
      <c r="Q408" s="4">
        <v>814.74239999999998</v>
      </c>
    </row>
    <row r="409" spans="1:17" x14ac:dyDescent="0.3">
      <c r="A409" t="s">
        <v>2181</v>
      </c>
      <c r="B409" t="str">
        <f t="shared" si="6"/>
        <v>Q1</v>
      </c>
      <c r="C409" t="str">
        <f>TEXT(Table1[[#This Row],[Order_Date]],"mmmm")</f>
        <v>February</v>
      </c>
      <c r="D409">
        <f>YEAR(Table1[[#This Row],[Order_Date]])</f>
        <v>2024</v>
      </c>
      <c r="E409" s="7">
        <v>45336</v>
      </c>
      <c r="F409" s="2" t="str">
        <f>VLOOKUP(Table1[[#This Row],[Customer_ID]],Customer_Dim!$A$2:$H$501,2,FALSE)</f>
        <v>Megan Ryan</v>
      </c>
      <c r="G409" s="2" t="str">
        <f>_xlfn.XLOOKUP(Table1[[#This Row],[Customer_ID]],Customer_Dim!$A$2:$A$501,Customer_Dim!$E$2:$E$501)</f>
        <v>Andrewsfurt</v>
      </c>
      <c r="H409" t="s">
        <v>1269</v>
      </c>
      <c r="I409" t="str">
        <f>VLOOKUP(Table1[[#This Row],[Product_ID]],Product_Dim!$A$2:$G$101,2,FALSE)</f>
        <v>Kitchen Storage Rack-Home</v>
      </c>
      <c r="J409" t="s">
        <v>1663</v>
      </c>
      <c r="K409" t="str">
        <f>VLOOKUP(Table1[[#This Row],[Store_ID]],Store_Dim!$A$3:$D$22,2,FALSE)</f>
        <v>Mcdonald Inc-South</v>
      </c>
      <c r="L409" t="s">
        <v>1754</v>
      </c>
      <c r="M409" t="s">
        <v>3960</v>
      </c>
      <c r="N409" s="3">
        <v>247.67</v>
      </c>
      <c r="O409" s="4">
        <v>0.1</v>
      </c>
      <c r="P409" t="s">
        <v>1774</v>
      </c>
      <c r="Q409" s="4">
        <v>445.80599999999998</v>
      </c>
    </row>
    <row r="410" spans="1:17" x14ac:dyDescent="0.3">
      <c r="A410" t="s">
        <v>2182</v>
      </c>
      <c r="B410" t="str">
        <f t="shared" si="6"/>
        <v>Q2</v>
      </c>
      <c r="C410" t="str">
        <f>TEXT(Table1[[#This Row],[Order_Date]],"mmmm")</f>
        <v>June</v>
      </c>
      <c r="D410">
        <f>YEAR(Table1[[#This Row],[Order_Date]])</f>
        <v>2024</v>
      </c>
      <c r="E410" s="7">
        <v>45465</v>
      </c>
      <c r="F410" s="2" t="str">
        <f>VLOOKUP(Table1[[#This Row],[Customer_ID]],Customer_Dim!$A$2:$H$501,2,FALSE)</f>
        <v>Tonya Reynolds</v>
      </c>
      <c r="G410" s="2" t="str">
        <f>_xlfn.XLOOKUP(Table1[[#This Row],[Customer_ID]],Customer_Dim!$A$2:$A$501,Customer_Dim!$E$2:$E$501)</f>
        <v>Darleneton</v>
      </c>
      <c r="H410" t="s">
        <v>152</v>
      </c>
      <c r="I410" t="str">
        <f>VLOOKUP(Table1[[#This Row],[Product_ID]],Product_Dim!$A$2:$G$101,2,FALSE)</f>
        <v>Bluetooth Car Audio System-Electronics</v>
      </c>
      <c r="J410" t="s">
        <v>1671</v>
      </c>
      <c r="K410" t="str">
        <f>VLOOKUP(Table1[[#This Row],[Store_ID]],Store_Dim!$A$3:$D$22,2,FALSE)</f>
        <v>Johnson-Wright-North</v>
      </c>
      <c r="L410" t="s">
        <v>1733</v>
      </c>
      <c r="M410" t="s">
        <v>3958</v>
      </c>
      <c r="N410" s="3">
        <v>220.51</v>
      </c>
      <c r="O410" s="4">
        <v>0.02</v>
      </c>
      <c r="P410" t="s">
        <v>1774</v>
      </c>
      <c r="Q410" s="4">
        <v>648.29939999999999</v>
      </c>
    </row>
    <row r="411" spans="1:17" x14ac:dyDescent="0.3">
      <c r="A411" t="s">
        <v>2183</v>
      </c>
      <c r="B411" t="str">
        <f t="shared" si="6"/>
        <v>Q2</v>
      </c>
      <c r="C411" t="str">
        <f>TEXT(Table1[[#This Row],[Order_Date]],"mmmm")</f>
        <v>June</v>
      </c>
      <c r="D411">
        <f>YEAR(Table1[[#This Row],[Order_Date]])</f>
        <v>2025</v>
      </c>
      <c r="E411" s="7">
        <v>45837</v>
      </c>
      <c r="F411" s="2" t="str">
        <f>VLOOKUP(Table1[[#This Row],[Customer_ID]],Customer_Dim!$A$2:$H$501,2,FALSE)</f>
        <v>Reginald Willis</v>
      </c>
      <c r="G411" s="2" t="str">
        <f>_xlfn.XLOOKUP(Table1[[#This Row],[Customer_ID]],Customer_Dim!$A$2:$A$501,Customer_Dim!$E$2:$E$501)</f>
        <v>Kellybury</v>
      </c>
      <c r="H411" t="s">
        <v>1018</v>
      </c>
      <c r="I411" t="str">
        <f>VLOOKUP(Table1[[#This Row],[Product_ID]],Product_Dim!$A$2:$G$101,2,FALSE)</f>
        <v>4K Home Projector-Electronics</v>
      </c>
      <c r="J411" t="s">
        <v>1553</v>
      </c>
      <c r="K411" t="str">
        <f>VLOOKUP(Table1[[#This Row],[Store_ID]],Store_Dim!$A$3:$D$22,2,FALSE)</f>
        <v>Frederick-Wright-West</v>
      </c>
      <c r="L411" t="s">
        <v>1757</v>
      </c>
      <c r="M411" t="s">
        <v>3959</v>
      </c>
      <c r="N411" s="3">
        <v>370.63</v>
      </c>
      <c r="O411" s="4">
        <v>0.08</v>
      </c>
      <c r="P411" t="s">
        <v>1772</v>
      </c>
      <c r="Q411" s="4">
        <v>1363.9184</v>
      </c>
    </row>
    <row r="412" spans="1:17" x14ac:dyDescent="0.3">
      <c r="A412" t="s">
        <v>2184</v>
      </c>
      <c r="B412" t="str">
        <f t="shared" si="6"/>
        <v>Q1</v>
      </c>
      <c r="C412" t="str">
        <f>TEXT(Table1[[#This Row],[Order_Date]],"mmmm")</f>
        <v>February</v>
      </c>
      <c r="D412">
        <f>YEAR(Table1[[#This Row],[Order_Date]])</f>
        <v>2025</v>
      </c>
      <c r="E412" s="7">
        <v>45706</v>
      </c>
      <c r="F412" s="2" t="str">
        <f>VLOOKUP(Table1[[#This Row],[Customer_ID]],Customer_Dim!$A$2:$H$501,2,FALSE)</f>
        <v>Heidi Tyler</v>
      </c>
      <c r="G412" s="2" t="str">
        <f>_xlfn.XLOOKUP(Table1[[#This Row],[Customer_ID]],Customer_Dim!$A$2:$A$501,Customer_Dim!$E$2:$E$501)</f>
        <v>Dawnstad</v>
      </c>
      <c r="H412" t="s">
        <v>1207</v>
      </c>
      <c r="I412" t="str">
        <f>VLOOKUP(Table1[[#This Row],[Product_ID]],Product_Dim!$A$2:$G$101,2,FALSE)</f>
        <v>Fabric Sofa Throw Blanket-Home</v>
      </c>
      <c r="J412" t="s">
        <v>1581</v>
      </c>
      <c r="K412" t="str">
        <f>VLOOKUP(Table1[[#This Row],[Store_ID]],Store_Dim!$A$3:$D$22,2,FALSE)</f>
        <v>Mann-Austin-East</v>
      </c>
      <c r="L412" t="s">
        <v>1763</v>
      </c>
      <c r="M412" t="s">
        <v>3959</v>
      </c>
      <c r="N412" s="3">
        <v>349.84</v>
      </c>
      <c r="O412" s="4">
        <v>0.11</v>
      </c>
      <c r="P412" t="s">
        <v>1772</v>
      </c>
      <c r="Q412" s="4">
        <v>1245.4304</v>
      </c>
    </row>
    <row r="413" spans="1:17" x14ac:dyDescent="0.3">
      <c r="A413" t="s">
        <v>2185</v>
      </c>
      <c r="B413" t="str">
        <f t="shared" si="6"/>
        <v>Q2</v>
      </c>
      <c r="C413" t="str">
        <f>TEXT(Table1[[#This Row],[Order_Date]],"mmmm")</f>
        <v>June</v>
      </c>
      <c r="D413">
        <f>YEAR(Table1[[#This Row],[Order_Date]])</f>
        <v>2025</v>
      </c>
      <c r="E413" s="7">
        <v>45823</v>
      </c>
      <c r="F413" s="2" t="str">
        <f>VLOOKUP(Table1[[#This Row],[Customer_ID]],Customer_Dim!$A$2:$H$501,2,FALSE)</f>
        <v>Joseph Snow</v>
      </c>
      <c r="G413" s="2" t="str">
        <f>_xlfn.XLOOKUP(Table1[[#This Row],[Customer_ID]],Customer_Dim!$A$2:$A$501,Customer_Dim!$E$2:$E$501)</f>
        <v>South Michaelfort</v>
      </c>
      <c r="H413" t="s">
        <v>167</v>
      </c>
      <c r="I413" t="str">
        <f>VLOOKUP(Table1[[#This Row],[Product_ID]],Product_Dim!$A$2:$G$101,2,FALSE)</f>
        <v>Portable Power Bank-Electronics</v>
      </c>
      <c r="J413" t="s">
        <v>1601</v>
      </c>
      <c r="K413" t="str">
        <f>VLOOKUP(Table1[[#This Row],[Store_ID]],Store_Dim!$A$3:$D$22,2,FALSE)</f>
        <v>Thomas, Bridges and Harris-North</v>
      </c>
      <c r="L413" t="s">
        <v>1751</v>
      </c>
      <c r="M413" t="s">
        <v>3957</v>
      </c>
      <c r="N413" s="3">
        <v>770.87</v>
      </c>
      <c r="O413" s="4">
        <v>0.1</v>
      </c>
      <c r="P413" t="s">
        <v>1777</v>
      </c>
      <c r="Q413" s="4">
        <v>693.78300000000002</v>
      </c>
    </row>
    <row r="414" spans="1:17" x14ac:dyDescent="0.3">
      <c r="A414" t="s">
        <v>2186</v>
      </c>
      <c r="B414" t="str">
        <f t="shared" si="6"/>
        <v>Q3</v>
      </c>
      <c r="C414" t="str">
        <f>TEXT(Table1[[#This Row],[Order_Date]],"mmmm")</f>
        <v>August</v>
      </c>
      <c r="D414">
        <f>YEAR(Table1[[#This Row],[Order_Date]])</f>
        <v>2024</v>
      </c>
      <c r="E414" s="7">
        <v>45518</v>
      </c>
      <c r="F414" s="2" t="str">
        <f>VLOOKUP(Table1[[#This Row],[Customer_ID]],Customer_Dim!$A$2:$H$501,2,FALSE)</f>
        <v>Dylan Gutierrez</v>
      </c>
      <c r="G414" s="2" t="str">
        <f>_xlfn.XLOOKUP(Table1[[#This Row],[Customer_ID]],Customer_Dim!$A$2:$A$501,Customer_Dim!$E$2:$E$501)</f>
        <v>New Jamesview</v>
      </c>
      <c r="H414" t="s">
        <v>1458</v>
      </c>
      <c r="I414" t="str">
        <f>VLOOKUP(Table1[[#This Row],[Product_ID]],Product_Dim!$A$2:$G$101,2,FALSE)</f>
        <v>Stainless Steel Cookware Set-Home</v>
      </c>
      <c r="J414" t="s">
        <v>1721</v>
      </c>
      <c r="K414" t="str">
        <f>VLOOKUP(Table1[[#This Row],[Store_ID]],Store_Dim!$A$3:$D$22,2,FALSE)</f>
        <v>Holloway Ltd-North</v>
      </c>
      <c r="L414" t="s">
        <v>1759</v>
      </c>
      <c r="M414" t="s">
        <v>3958</v>
      </c>
      <c r="N414" s="3">
        <v>507.33</v>
      </c>
      <c r="O414" s="4">
        <v>0.06</v>
      </c>
      <c r="P414" t="s">
        <v>1774</v>
      </c>
      <c r="Q414" s="4">
        <v>1430.6705999999999</v>
      </c>
    </row>
    <row r="415" spans="1:17" x14ac:dyDescent="0.3">
      <c r="A415" t="s">
        <v>2187</v>
      </c>
      <c r="B415" t="str">
        <f t="shared" si="6"/>
        <v>Q3</v>
      </c>
      <c r="C415" t="str">
        <f>TEXT(Table1[[#This Row],[Order_Date]],"mmmm")</f>
        <v>July</v>
      </c>
      <c r="D415">
        <f>YEAR(Table1[[#This Row],[Order_Date]])</f>
        <v>2025</v>
      </c>
      <c r="E415" s="7">
        <v>45863</v>
      </c>
      <c r="F415" s="2" t="str">
        <f>VLOOKUP(Table1[[#This Row],[Customer_ID]],Customer_Dim!$A$2:$H$501,2,FALSE)</f>
        <v>Brent Rivas</v>
      </c>
      <c r="G415" s="2" t="str">
        <f>_xlfn.XLOOKUP(Table1[[#This Row],[Customer_ID]],Customer_Dim!$A$2:$A$501,Customer_Dim!$E$2:$E$501)</f>
        <v>North Kellyberg</v>
      </c>
      <c r="H415" t="s">
        <v>604</v>
      </c>
      <c r="I415" t="str">
        <f>VLOOKUP(Table1[[#This Row],[Product_ID]],Product_Dim!$A$2:$G$101,2,FALSE)</f>
        <v>Women's Hair Dryer Brush-Beauty</v>
      </c>
      <c r="J415" t="s">
        <v>1655</v>
      </c>
      <c r="K415" t="str">
        <f>VLOOKUP(Table1[[#This Row],[Store_ID]],Store_Dim!$A$3:$D$22,2,FALSE)</f>
        <v>Moore, Padilla and Butler-South</v>
      </c>
      <c r="L415" t="s">
        <v>1746</v>
      </c>
      <c r="M415" t="s">
        <v>3957</v>
      </c>
      <c r="N415" s="3">
        <v>87.78</v>
      </c>
      <c r="O415" s="4">
        <v>0.06</v>
      </c>
      <c r="P415" t="s">
        <v>1772</v>
      </c>
      <c r="Q415" s="4">
        <v>82.513199999999998</v>
      </c>
    </row>
    <row r="416" spans="1:17" x14ac:dyDescent="0.3">
      <c r="A416" t="s">
        <v>2188</v>
      </c>
      <c r="B416" t="str">
        <f t="shared" si="6"/>
        <v>Q1</v>
      </c>
      <c r="C416" t="str">
        <f>TEXT(Table1[[#This Row],[Order_Date]],"mmmm")</f>
        <v>January</v>
      </c>
      <c r="D416">
        <f>YEAR(Table1[[#This Row],[Order_Date]])</f>
        <v>2025</v>
      </c>
      <c r="E416" s="7">
        <v>45666</v>
      </c>
      <c r="F416" s="2" t="str">
        <f>VLOOKUP(Table1[[#This Row],[Customer_ID]],Customer_Dim!$A$2:$H$501,2,FALSE)</f>
        <v>Amber Jackson</v>
      </c>
      <c r="G416" s="2" t="str">
        <f>_xlfn.XLOOKUP(Table1[[#This Row],[Customer_ID]],Customer_Dim!$A$2:$A$501,Customer_Dim!$E$2:$E$501)</f>
        <v>Deborahborough</v>
      </c>
      <c r="H416" t="s">
        <v>36</v>
      </c>
      <c r="I416" t="str">
        <f>VLOOKUP(Table1[[#This Row],[Product_ID]],Product_Dim!$A$2:$G$101,2,FALSE)</f>
        <v>USB-C Laptop Charger-Electronics</v>
      </c>
      <c r="J416" t="s">
        <v>1709</v>
      </c>
      <c r="K416" t="str">
        <f>VLOOKUP(Table1[[#This Row],[Store_ID]],Store_Dim!$A$3:$D$22,2,FALSE)</f>
        <v>Alexander Group-South</v>
      </c>
      <c r="L416" t="s">
        <v>1735</v>
      </c>
      <c r="M416" t="s">
        <v>3960</v>
      </c>
      <c r="N416" s="3">
        <v>772.24</v>
      </c>
      <c r="O416" s="4">
        <v>0.22</v>
      </c>
      <c r="P416" t="s">
        <v>1772</v>
      </c>
      <c r="Q416" s="4">
        <v>1204.6944000000001</v>
      </c>
    </row>
    <row r="417" spans="1:17" x14ac:dyDescent="0.3">
      <c r="A417" t="s">
        <v>2189</v>
      </c>
      <c r="B417" t="str">
        <f t="shared" si="6"/>
        <v>Q2</v>
      </c>
      <c r="C417" t="str">
        <f>TEXT(Table1[[#This Row],[Order_Date]],"mmmm")</f>
        <v>June</v>
      </c>
      <c r="D417">
        <f>YEAR(Table1[[#This Row],[Order_Date]])</f>
        <v>2025</v>
      </c>
      <c r="E417" s="7">
        <v>45813</v>
      </c>
      <c r="F417" s="2" t="str">
        <f>VLOOKUP(Table1[[#This Row],[Customer_ID]],Customer_Dim!$A$2:$H$501,2,FALSE)</f>
        <v>Gina Knight</v>
      </c>
      <c r="G417" s="2" t="str">
        <f>_xlfn.XLOOKUP(Table1[[#This Row],[Customer_ID]],Customer_Dim!$A$2:$A$501,Customer_Dim!$E$2:$E$501)</f>
        <v>Lake Roberthaven</v>
      </c>
      <c r="H417" t="s">
        <v>178</v>
      </c>
      <c r="I417" t="str">
        <f>VLOOKUP(Table1[[#This Row],[Product_ID]],Product_Dim!$A$2:$G$101,2,FALSE)</f>
        <v>Kitchen Storage Rack-Home</v>
      </c>
      <c r="J417" t="s">
        <v>1663</v>
      </c>
      <c r="K417" t="str">
        <f>VLOOKUP(Table1[[#This Row],[Store_ID]],Store_Dim!$A$3:$D$22,2,FALSE)</f>
        <v>Mcdonald Inc-South</v>
      </c>
      <c r="L417" t="s">
        <v>1754</v>
      </c>
      <c r="M417" t="s">
        <v>3957</v>
      </c>
      <c r="N417" s="3">
        <v>108.27</v>
      </c>
      <c r="O417" s="4">
        <v>0.1</v>
      </c>
      <c r="P417" t="s">
        <v>1777</v>
      </c>
      <c r="Q417" s="4">
        <v>97.442999999999998</v>
      </c>
    </row>
    <row r="418" spans="1:17" x14ac:dyDescent="0.3">
      <c r="A418" t="s">
        <v>2190</v>
      </c>
      <c r="B418" t="str">
        <f t="shared" si="6"/>
        <v>Q4</v>
      </c>
      <c r="C418" t="str">
        <f>TEXT(Table1[[#This Row],[Order_Date]],"mmmm")</f>
        <v>December</v>
      </c>
      <c r="D418">
        <f>YEAR(Table1[[#This Row],[Order_Date]])</f>
        <v>2024</v>
      </c>
      <c r="E418" s="7">
        <v>45633</v>
      </c>
      <c r="F418" s="2" t="str">
        <f>VLOOKUP(Table1[[#This Row],[Customer_ID]],Customer_Dim!$A$2:$H$501,2,FALSE)</f>
        <v>Justin Mason Dds</v>
      </c>
      <c r="G418" s="2" t="str">
        <f>_xlfn.XLOOKUP(Table1[[#This Row],[Customer_ID]],Customer_Dim!$A$2:$A$501,Customer_Dim!$E$2:$E$501)</f>
        <v>Peggystad</v>
      </c>
      <c r="H418" t="s">
        <v>1078</v>
      </c>
      <c r="I418" t="str">
        <f>VLOOKUP(Table1[[#This Row],[Product_ID]],Product_Dim!$A$2:$G$101,2,FALSE)</f>
        <v>Sports Water Hydration Pack-Sports</v>
      </c>
      <c r="J418" t="s">
        <v>1599</v>
      </c>
      <c r="K418" t="str">
        <f>VLOOKUP(Table1[[#This Row],[Store_ID]],Store_Dim!$A$3:$D$22,2,FALSE)</f>
        <v>Holloway Ltd-North</v>
      </c>
      <c r="L418" t="s">
        <v>1759</v>
      </c>
      <c r="M418" t="s">
        <v>3960</v>
      </c>
      <c r="N418" s="3">
        <v>839.24</v>
      </c>
      <c r="O418" s="4">
        <v>0.21</v>
      </c>
      <c r="P418" t="s">
        <v>1774</v>
      </c>
      <c r="Q418" s="4">
        <v>1325.9992</v>
      </c>
    </row>
    <row r="419" spans="1:17" x14ac:dyDescent="0.3">
      <c r="A419" t="s">
        <v>2191</v>
      </c>
      <c r="B419" t="str">
        <f t="shared" si="6"/>
        <v>Q1</v>
      </c>
      <c r="C419" t="str">
        <f>TEXT(Table1[[#This Row],[Order_Date]],"mmmm")</f>
        <v>February</v>
      </c>
      <c r="D419">
        <f>YEAR(Table1[[#This Row],[Order_Date]])</f>
        <v>2024</v>
      </c>
      <c r="E419" s="7">
        <v>45331</v>
      </c>
      <c r="F419" s="2" t="str">
        <f>VLOOKUP(Table1[[#This Row],[Customer_ID]],Customer_Dim!$A$2:$H$501,2,FALSE)</f>
        <v>Kristine Higgins</v>
      </c>
      <c r="G419" s="2" t="str">
        <f>_xlfn.XLOOKUP(Table1[[#This Row],[Customer_ID]],Customer_Dim!$A$2:$A$501,Customer_Dim!$E$2:$E$501)</f>
        <v>Jennifertown</v>
      </c>
      <c r="H419" t="s">
        <v>1183</v>
      </c>
      <c r="I419" t="str">
        <f>VLOOKUP(Table1[[#This Row],[Product_ID]],Product_Dim!$A$2:$G$101,2,FALSE)</f>
        <v>Womens Cotton Scarf-Clothing</v>
      </c>
      <c r="J419" t="s">
        <v>1639</v>
      </c>
      <c r="K419" t="str">
        <f>VLOOKUP(Table1[[#This Row],[Store_ID]],Store_Dim!$A$3:$D$22,2,FALSE)</f>
        <v>Hill, Wagner and Ballard-East</v>
      </c>
      <c r="L419" t="s">
        <v>1748</v>
      </c>
      <c r="M419" t="s">
        <v>3960</v>
      </c>
      <c r="N419" s="3">
        <v>466.27</v>
      </c>
      <c r="O419" s="4">
        <v>0.11</v>
      </c>
      <c r="P419" t="s">
        <v>1774</v>
      </c>
      <c r="Q419" s="4">
        <v>829.9606</v>
      </c>
    </row>
    <row r="420" spans="1:17" x14ac:dyDescent="0.3">
      <c r="A420" t="s">
        <v>2192</v>
      </c>
      <c r="B420" t="str">
        <f t="shared" si="6"/>
        <v>Q4</v>
      </c>
      <c r="C420" t="str">
        <f>TEXT(Table1[[#This Row],[Order_Date]],"mmmm")</f>
        <v>October</v>
      </c>
      <c r="D420">
        <f>YEAR(Table1[[#This Row],[Order_Date]])</f>
        <v>2025</v>
      </c>
      <c r="E420" s="7">
        <v>45942</v>
      </c>
      <c r="F420" s="2" t="str">
        <f>VLOOKUP(Table1[[#This Row],[Customer_ID]],Customer_Dim!$A$2:$H$501,2,FALSE)</f>
        <v>Jennifer Johnson</v>
      </c>
      <c r="G420" s="2" t="str">
        <f>_xlfn.XLOOKUP(Table1[[#This Row],[Customer_ID]],Customer_Dim!$A$2:$A$501,Customer_Dim!$E$2:$E$501)</f>
        <v>Cheyenneborough</v>
      </c>
      <c r="H420" t="s">
        <v>1226</v>
      </c>
      <c r="I420" t="str">
        <f>VLOOKUP(Table1[[#This Row],[Product_ID]],Product_Dim!$A$2:$G$101,2,FALSE)</f>
        <v>Laptop Cooling Pad-Electronics</v>
      </c>
      <c r="J420" t="s">
        <v>1647</v>
      </c>
      <c r="K420" t="str">
        <f>VLOOKUP(Table1[[#This Row],[Store_ID]],Store_Dim!$A$3:$D$22,2,FALSE)</f>
        <v>Mcdonald Inc-South</v>
      </c>
      <c r="L420" t="s">
        <v>1754</v>
      </c>
      <c r="M420" t="s">
        <v>3958</v>
      </c>
      <c r="N420" s="3">
        <v>969.83</v>
      </c>
      <c r="O420" s="4">
        <v>0.02</v>
      </c>
      <c r="P420" t="s">
        <v>1772</v>
      </c>
      <c r="Q420" s="4">
        <v>2851.3002000000001</v>
      </c>
    </row>
    <row r="421" spans="1:17" x14ac:dyDescent="0.3">
      <c r="A421" t="s">
        <v>2193</v>
      </c>
      <c r="B421" t="str">
        <f t="shared" si="6"/>
        <v>Q2</v>
      </c>
      <c r="C421" t="str">
        <f>TEXT(Table1[[#This Row],[Order_Date]],"mmmm")</f>
        <v>June</v>
      </c>
      <c r="D421">
        <f>YEAR(Table1[[#This Row],[Order_Date]])</f>
        <v>2025</v>
      </c>
      <c r="E421" s="7">
        <v>45824</v>
      </c>
      <c r="F421" s="2" t="str">
        <f>VLOOKUP(Table1[[#This Row],[Customer_ID]],Customer_Dim!$A$2:$H$501,2,FALSE)</f>
        <v>Karen King</v>
      </c>
      <c r="G421" s="2" t="str">
        <f>_xlfn.XLOOKUP(Table1[[#This Row],[Customer_ID]],Customer_Dim!$A$2:$A$501,Customer_Dim!$E$2:$E$501)</f>
        <v>Kimburgh</v>
      </c>
      <c r="H421" t="s">
        <v>1281</v>
      </c>
      <c r="I421" t="str">
        <f>VLOOKUP(Table1[[#This Row],[Product_ID]],Product_Dim!$A$2:$G$101,2,FALSE)</f>
        <v>Women's High Heels-Clothing</v>
      </c>
      <c r="J421" t="s">
        <v>1705</v>
      </c>
      <c r="K421" t="str">
        <f>VLOOKUP(Table1[[#This Row],[Store_ID]],Store_Dim!$A$3:$D$22,2,FALSE)</f>
        <v>Mann-Austin-East</v>
      </c>
      <c r="L421" t="s">
        <v>1763</v>
      </c>
      <c r="M421" t="s">
        <v>3960</v>
      </c>
      <c r="N421" s="3">
        <v>782.11</v>
      </c>
      <c r="O421" s="4">
        <v>0.17</v>
      </c>
      <c r="P421" t="s">
        <v>1774</v>
      </c>
      <c r="Q421" s="4">
        <v>1298.3026</v>
      </c>
    </row>
    <row r="422" spans="1:17" x14ac:dyDescent="0.3">
      <c r="A422" t="s">
        <v>2194</v>
      </c>
      <c r="B422" t="str">
        <f t="shared" si="6"/>
        <v>Q3</v>
      </c>
      <c r="C422" t="str">
        <f>TEXT(Table1[[#This Row],[Order_Date]],"mmmm")</f>
        <v>September</v>
      </c>
      <c r="D422">
        <f>YEAR(Table1[[#This Row],[Order_Date]])</f>
        <v>2025</v>
      </c>
      <c r="E422" s="7">
        <v>45921</v>
      </c>
      <c r="F422" s="2" t="str">
        <f>VLOOKUP(Table1[[#This Row],[Customer_ID]],Customer_Dim!$A$2:$H$501,2,FALSE)</f>
        <v>Ashley Roberts</v>
      </c>
      <c r="G422" s="2" t="str">
        <f>_xlfn.XLOOKUP(Table1[[#This Row],[Customer_ID]],Customer_Dim!$A$2:$A$501,Customer_Dim!$E$2:$E$501)</f>
        <v>Josephmouth</v>
      </c>
      <c r="H422" t="s">
        <v>1379</v>
      </c>
      <c r="I422" t="str">
        <f>VLOOKUP(Table1[[#This Row],[Product_ID]],Product_Dim!$A$2:$G$101,2,FALSE)</f>
        <v>Noise-Canceling Headphones-Electronics</v>
      </c>
      <c r="J422" t="s">
        <v>1603</v>
      </c>
      <c r="K422" t="str">
        <f>VLOOKUP(Table1[[#This Row],[Store_ID]],Store_Dim!$A$3:$D$22,2,FALSE)</f>
        <v>Aguirre-Keller-South</v>
      </c>
      <c r="L422" t="s">
        <v>1750</v>
      </c>
      <c r="M422" t="s">
        <v>3960</v>
      </c>
      <c r="N422" s="3">
        <v>74.63</v>
      </c>
      <c r="O422" s="4">
        <v>0.01</v>
      </c>
      <c r="P422" t="s">
        <v>1774</v>
      </c>
      <c r="Q422" s="4">
        <v>147.76740000000001</v>
      </c>
    </row>
    <row r="423" spans="1:17" x14ac:dyDescent="0.3">
      <c r="A423" t="s">
        <v>2195</v>
      </c>
      <c r="B423" t="str">
        <f t="shared" si="6"/>
        <v>Q3</v>
      </c>
      <c r="C423" t="str">
        <f>TEXT(Table1[[#This Row],[Order_Date]],"mmmm")</f>
        <v>September</v>
      </c>
      <c r="D423">
        <f>YEAR(Table1[[#This Row],[Order_Date]])</f>
        <v>2025</v>
      </c>
      <c r="E423" s="7">
        <v>45909</v>
      </c>
      <c r="F423" s="2" t="str">
        <f>VLOOKUP(Table1[[#This Row],[Customer_ID]],Customer_Dim!$A$2:$H$501,2,FALSE)</f>
        <v>James Gibbs</v>
      </c>
      <c r="G423" s="2" t="str">
        <f>_xlfn.XLOOKUP(Table1[[#This Row],[Customer_ID]],Customer_Dim!$A$2:$A$501,Customer_Dim!$E$2:$E$501)</f>
        <v>Mooneyshire</v>
      </c>
      <c r="H423" t="s">
        <v>159</v>
      </c>
      <c r="I423" t="str">
        <f>VLOOKUP(Table1[[#This Row],[Product_ID]],Product_Dim!$A$2:$G$101,2,FALSE)</f>
        <v>Women's Beanie Hat-Clothing</v>
      </c>
      <c r="J423" t="s">
        <v>1693</v>
      </c>
      <c r="K423" t="str">
        <f>VLOOKUP(Table1[[#This Row],[Store_ID]],Store_Dim!$A$3:$D$22,2,FALSE)</f>
        <v>Benson-Elliott-East</v>
      </c>
      <c r="L423" t="s">
        <v>1740</v>
      </c>
      <c r="M423" t="s">
        <v>3958</v>
      </c>
      <c r="N423" s="3">
        <v>522.78</v>
      </c>
      <c r="O423" s="4">
        <v>0.25</v>
      </c>
      <c r="P423" t="s">
        <v>1774</v>
      </c>
      <c r="Q423" s="4">
        <v>1176.2550000000001</v>
      </c>
    </row>
    <row r="424" spans="1:17" x14ac:dyDescent="0.3">
      <c r="A424" t="s">
        <v>2196</v>
      </c>
      <c r="B424" t="str">
        <f t="shared" si="6"/>
        <v>Q3</v>
      </c>
      <c r="C424" t="str">
        <f>TEXT(Table1[[#This Row],[Order_Date]],"mmmm")</f>
        <v>July</v>
      </c>
      <c r="D424">
        <f>YEAR(Table1[[#This Row],[Order_Date]])</f>
        <v>2025</v>
      </c>
      <c r="E424" s="7">
        <v>45853</v>
      </c>
      <c r="F424" s="2" t="str">
        <f>VLOOKUP(Table1[[#This Row],[Customer_ID]],Customer_Dim!$A$2:$H$501,2,FALSE)</f>
        <v>Jasmine Snyder</v>
      </c>
      <c r="G424" s="2" t="str">
        <f>_xlfn.XLOOKUP(Table1[[#This Row],[Customer_ID]],Customer_Dim!$A$2:$A$501,Customer_Dim!$E$2:$E$501)</f>
        <v>Hudsonfort</v>
      </c>
      <c r="H424" t="s">
        <v>1051</v>
      </c>
      <c r="I424" t="str">
        <f>VLOOKUP(Table1[[#This Row],[Product_ID]],Product_Dim!$A$2:$G$101,2,FALSE)</f>
        <v>USB-C Fast Charger-Electronics</v>
      </c>
      <c r="J424" t="s">
        <v>1549</v>
      </c>
      <c r="K424" t="str">
        <f>VLOOKUP(Table1[[#This Row],[Store_ID]],Store_Dim!$A$3:$D$22,2,FALSE)</f>
        <v>Shelton PLC-North</v>
      </c>
      <c r="L424" t="s">
        <v>1755</v>
      </c>
      <c r="M424" t="s">
        <v>3957</v>
      </c>
      <c r="N424" s="3">
        <v>206.45</v>
      </c>
      <c r="O424" s="4">
        <v>0.15</v>
      </c>
      <c r="P424" t="s">
        <v>1774</v>
      </c>
      <c r="Q424" s="4">
        <v>175.48249999999999</v>
      </c>
    </row>
    <row r="425" spans="1:17" x14ac:dyDescent="0.3">
      <c r="A425" t="s">
        <v>2197</v>
      </c>
      <c r="B425" t="str">
        <f t="shared" si="6"/>
        <v>Q4</v>
      </c>
      <c r="C425" t="str">
        <f>TEXT(Table1[[#This Row],[Order_Date]],"mmmm")</f>
        <v>October</v>
      </c>
      <c r="D425">
        <f>YEAR(Table1[[#This Row],[Order_Date]])</f>
        <v>2024</v>
      </c>
      <c r="E425" s="7">
        <v>45580</v>
      </c>
      <c r="F425" s="2" t="str">
        <f>VLOOKUP(Table1[[#This Row],[Customer_ID]],Customer_Dim!$A$2:$H$501,2,FALSE)</f>
        <v>Cameron Simpson</v>
      </c>
      <c r="G425" s="2" t="str">
        <f>_xlfn.XLOOKUP(Table1[[#This Row],[Customer_ID]],Customer_Dim!$A$2:$A$501,Customer_Dim!$E$2:$E$501)</f>
        <v>Michaelfort</v>
      </c>
      <c r="H425" t="s">
        <v>485</v>
      </c>
      <c r="I425" t="str">
        <f>VLOOKUP(Table1[[#This Row],[Product_ID]],Product_Dim!$A$2:$G$101,2,FALSE)</f>
        <v>Men's Sports Shorts-Clothing</v>
      </c>
      <c r="J425" t="s">
        <v>1661</v>
      </c>
      <c r="K425" t="str">
        <f>VLOOKUP(Table1[[#This Row],[Store_ID]],Store_Dim!$A$3:$D$22,2,FALSE)</f>
        <v>Gray Ltd-North</v>
      </c>
      <c r="L425" t="s">
        <v>1738</v>
      </c>
      <c r="M425" t="s">
        <v>3957</v>
      </c>
      <c r="N425" s="3">
        <v>815.53</v>
      </c>
      <c r="O425" s="4">
        <v>0.3</v>
      </c>
      <c r="P425" t="s">
        <v>1774</v>
      </c>
      <c r="Q425" s="4">
        <v>570.87099999999998</v>
      </c>
    </row>
    <row r="426" spans="1:17" x14ac:dyDescent="0.3">
      <c r="A426" t="s">
        <v>2198</v>
      </c>
      <c r="B426" t="str">
        <f t="shared" si="6"/>
        <v>Q4</v>
      </c>
      <c r="C426" t="str">
        <f>TEXT(Table1[[#This Row],[Order_Date]],"mmmm")</f>
        <v>October</v>
      </c>
      <c r="D426">
        <f>YEAR(Table1[[#This Row],[Order_Date]])</f>
        <v>2023</v>
      </c>
      <c r="E426" s="7">
        <v>45220</v>
      </c>
      <c r="F426" s="2" t="str">
        <f>VLOOKUP(Table1[[#This Row],[Customer_ID]],Customer_Dim!$A$2:$H$501,2,FALSE)</f>
        <v>Christopher Carter</v>
      </c>
      <c r="G426" s="2" t="str">
        <f>_xlfn.XLOOKUP(Table1[[#This Row],[Customer_ID]],Customer_Dim!$A$2:$A$501,Customer_Dim!$E$2:$E$501)</f>
        <v>Brendastad</v>
      </c>
      <c r="H426" t="s">
        <v>146</v>
      </c>
      <c r="I426" t="str">
        <f>VLOOKUP(Table1[[#This Row],[Product_ID]],Product_Dim!$A$2:$G$101,2,FALSE)</f>
        <v>Decorative Lamp Shade-Home</v>
      </c>
      <c r="J426" t="s">
        <v>1681</v>
      </c>
      <c r="K426" t="str">
        <f>VLOOKUP(Table1[[#This Row],[Store_ID]],Store_Dim!$A$3:$D$22,2,FALSE)</f>
        <v>Gardner, Humphrey and Contreras-East</v>
      </c>
      <c r="L426" t="s">
        <v>1753</v>
      </c>
      <c r="M426" t="s">
        <v>3957</v>
      </c>
      <c r="N426" s="3">
        <v>823.61</v>
      </c>
      <c r="O426" s="4">
        <v>0.28000000000000003</v>
      </c>
      <c r="P426" t="s">
        <v>1777</v>
      </c>
      <c r="Q426" s="4">
        <v>592.99919999999997</v>
      </c>
    </row>
    <row r="427" spans="1:17" x14ac:dyDescent="0.3">
      <c r="A427" t="s">
        <v>2199</v>
      </c>
      <c r="B427" t="str">
        <f t="shared" si="6"/>
        <v>Q2</v>
      </c>
      <c r="C427" t="str">
        <f>TEXT(Table1[[#This Row],[Order_Date]],"mmmm")</f>
        <v>May</v>
      </c>
      <c r="D427">
        <f>YEAR(Table1[[#This Row],[Order_Date]])</f>
        <v>2025</v>
      </c>
      <c r="E427" s="7">
        <v>45807</v>
      </c>
      <c r="F427" s="2" t="str">
        <f>VLOOKUP(Table1[[#This Row],[Customer_ID]],Customer_Dim!$A$2:$H$501,2,FALSE)</f>
        <v>Earl Smith Dds</v>
      </c>
      <c r="G427" s="2" t="str">
        <f>_xlfn.XLOOKUP(Table1[[#This Row],[Customer_ID]],Customer_Dim!$A$2:$A$501,Customer_Dim!$E$2:$E$501)</f>
        <v>West Sarah</v>
      </c>
      <c r="H427" t="s">
        <v>1456</v>
      </c>
      <c r="I427" t="str">
        <f>VLOOKUP(Table1[[#This Row],[Product_ID]],Product_Dim!$A$2:$G$101,2,FALSE)</f>
        <v>LED Bedside Lamp-Home</v>
      </c>
      <c r="J427" t="s">
        <v>1697</v>
      </c>
      <c r="K427" t="str">
        <f>VLOOKUP(Table1[[#This Row],[Store_ID]],Store_Dim!$A$3:$D$22,2,FALSE)</f>
        <v>Moore, Padilla and Butler-South</v>
      </c>
      <c r="L427" t="s">
        <v>1746</v>
      </c>
      <c r="M427" t="s">
        <v>3960</v>
      </c>
      <c r="N427" s="3">
        <v>209.96</v>
      </c>
      <c r="O427" s="4">
        <v>0</v>
      </c>
      <c r="P427" t="s">
        <v>1772</v>
      </c>
      <c r="Q427" s="4">
        <v>419.92</v>
      </c>
    </row>
    <row r="428" spans="1:17" x14ac:dyDescent="0.3">
      <c r="A428" t="s">
        <v>2200</v>
      </c>
      <c r="B428" t="str">
        <f t="shared" si="6"/>
        <v>Q2</v>
      </c>
      <c r="C428" t="str">
        <f>TEXT(Table1[[#This Row],[Order_Date]],"mmmm")</f>
        <v>June</v>
      </c>
      <c r="D428">
        <f>YEAR(Table1[[#This Row],[Order_Date]])</f>
        <v>2024</v>
      </c>
      <c r="E428" s="7">
        <v>45462</v>
      </c>
      <c r="F428" s="2" t="str">
        <f>VLOOKUP(Table1[[#This Row],[Customer_ID]],Customer_Dim!$A$2:$H$501,2,FALSE)</f>
        <v>Michelle Rogers</v>
      </c>
      <c r="G428" s="2" t="str">
        <f>_xlfn.XLOOKUP(Table1[[#This Row],[Customer_ID]],Customer_Dim!$A$2:$A$501,Customer_Dim!$E$2:$E$501)</f>
        <v>East Jessicaborough</v>
      </c>
      <c r="H428" t="s">
        <v>573</v>
      </c>
      <c r="I428" t="str">
        <f>VLOOKUP(Table1[[#This Row],[Product_ID]],Product_Dim!$A$2:$G$101,2,FALSE)</f>
        <v>Brother Laser Printer-Electronics</v>
      </c>
      <c r="J428" t="s">
        <v>1523</v>
      </c>
      <c r="K428" t="str">
        <f>VLOOKUP(Table1[[#This Row],[Store_ID]],Store_Dim!$A$3:$D$22,2,FALSE)</f>
        <v>Frederick-Wright-West</v>
      </c>
      <c r="L428" t="s">
        <v>1757</v>
      </c>
      <c r="M428" t="s">
        <v>3959</v>
      </c>
      <c r="N428" s="3">
        <v>897.93</v>
      </c>
      <c r="O428" s="4">
        <v>0.05</v>
      </c>
      <c r="P428" t="s">
        <v>1777</v>
      </c>
      <c r="Q428" s="4">
        <v>3412.134</v>
      </c>
    </row>
    <row r="429" spans="1:17" x14ac:dyDescent="0.3">
      <c r="A429" t="s">
        <v>2201</v>
      </c>
      <c r="B429" t="str">
        <f t="shared" si="6"/>
        <v>Q4</v>
      </c>
      <c r="C429" t="str">
        <f>TEXT(Table1[[#This Row],[Order_Date]],"mmmm")</f>
        <v>December</v>
      </c>
      <c r="D429">
        <f>YEAR(Table1[[#This Row],[Order_Date]])</f>
        <v>2024</v>
      </c>
      <c r="E429" s="7">
        <v>45646</v>
      </c>
      <c r="F429" s="2" t="str">
        <f>VLOOKUP(Table1[[#This Row],[Customer_ID]],Customer_Dim!$A$2:$H$501,2,FALSE)</f>
        <v>Erin Ward</v>
      </c>
      <c r="G429" s="2" t="str">
        <f>_xlfn.XLOOKUP(Table1[[#This Row],[Customer_ID]],Customer_Dim!$A$2:$A$501,Customer_Dim!$E$2:$E$501)</f>
        <v>New Brianchester</v>
      </c>
      <c r="H429" t="s">
        <v>592</v>
      </c>
      <c r="I429" t="str">
        <f>VLOOKUP(Table1[[#This Row],[Product_ID]],Product_Dim!$A$2:$G$101,2,FALSE)</f>
        <v>Organic Sunscreen Lotion-Beauty</v>
      </c>
      <c r="J429" t="s">
        <v>1649</v>
      </c>
      <c r="K429" t="str">
        <f>VLOOKUP(Table1[[#This Row],[Store_ID]],Store_Dim!$A$3:$D$22,2,FALSE)</f>
        <v>Rivera-Warner-East</v>
      </c>
      <c r="L429" t="s">
        <v>1725</v>
      </c>
      <c r="M429" t="s">
        <v>3959</v>
      </c>
      <c r="N429" s="3">
        <v>925.95</v>
      </c>
      <c r="O429" s="4">
        <v>0.16</v>
      </c>
      <c r="P429" t="s">
        <v>1777</v>
      </c>
      <c r="Q429" s="4">
        <v>3111.192</v>
      </c>
    </row>
    <row r="430" spans="1:17" x14ac:dyDescent="0.3">
      <c r="A430" t="s">
        <v>2202</v>
      </c>
      <c r="B430" t="str">
        <f t="shared" si="6"/>
        <v>Q3</v>
      </c>
      <c r="C430" t="str">
        <f>TEXT(Table1[[#This Row],[Order_Date]],"mmmm")</f>
        <v>August</v>
      </c>
      <c r="D430">
        <f>YEAR(Table1[[#This Row],[Order_Date]])</f>
        <v>2024</v>
      </c>
      <c r="E430" s="7">
        <v>45520</v>
      </c>
      <c r="F430" s="2" t="str">
        <f>VLOOKUP(Table1[[#This Row],[Customer_ID]],Customer_Dim!$A$2:$H$501,2,FALSE)</f>
        <v>Christy Hoffman</v>
      </c>
      <c r="G430" s="2" t="str">
        <f>_xlfn.XLOOKUP(Table1[[#This Row],[Customer_ID]],Customer_Dim!$A$2:$A$501,Customer_Dim!$E$2:$E$501)</f>
        <v>Garyberg</v>
      </c>
      <c r="H430" t="s">
        <v>301</v>
      </c>
      <c r="I430" t="str">
        <f>VLOOKUP(Table1[[#This Row],[Product_ID]],Product_Dim!$A$2:$G$101,2,FALSE)</f>
        <v>HDMI Cable – 2m-Electronics</v>
      </c>
      <c r="J430" t="s">
        <v>1625</v>
      </c>
      <c r="K430" t="str">
        <f>VLOOKUP(Table1[[#This Row],[Store_ID]],Store_Dim!$A$3:$D$22,2,FALSE)</f>
        <v>Benson-Elliott-East</v>
      </c>
      <c r="L430" t="s">
        <v>1740</v>
      </c>
      <c r="M430" t="s">
        <v>3960</v>
      </c>
      <c r="N430" s="3">
        <v>573.09</v>
      </c>
      <c r="O430" s="4">
        <v>0.03</v>
      </c>
      <c r="P430" t="s">
        <v>1777</v>
      </c>
      <c r="Q430" s="4">
        <v>1111.7945999999999</v>
      </c>
    </row>
    <row r="431" spans="1:17" x14ac:dyDescent="0.3">
      <c r="A431" t="s">
        <v>2203</v>
      </c>
      <c r="B431" t="str">
        <f t="shared" si="6"/>
        <v>Q1</v>
      </c>
      <c r="C431" t="str">
        <f>TEXT(Table1[[#This Row],[Order_Date]],"mmmm")</f>
        <v>March</v>
      </c>
      <c r="D431">
        <f>YEAR(Table1[[#This Row],[Order_Date]])</f>
        <v>2025</v>
      </c>
      <c r="E431" s="7">
        <v>45731</v>
      </c>
      <c r="F431" s="2" t="str">
        <f>VLOOKUP(Table1[[#This Row],[Customer_ID]],Customer_Dim!$A$2:$H$501,2,FALSE)</f>
        <v>Mario Jacobs</v>
      </c>
      <c r="G431" s="2" t="str">
        <f>_xlfn.XLOOKUP(Table1[[#This Row],[Customer_ID]],Customer_Dim!$A$2:$A$501,Customer_Dim!$E$2:$E$501)</f>
        <v>Port James</v>
      </c>
      <c r="H431" t="s">
        <v>598</v>
      </c>
      <c r="I431" t="str">
        <f>VLOOKUP(Table1[[#This Row],[Product_ID]],Product_Dim!$A$2:$G$101,2,FALSE)</f>
        <v>LED Table Lamp-Home</v>
      </c>
      <c r="J431" t="s">
        <v>1537</v>
      </c>
      <c r="K431" t="str">
        <f>VLOOKUP(Table1[[#This Row],[Store_ID]],Store_Dim!$A$3:$D$22,2,FALSE)</f>
        <v>Alexander Group-South</v>
      </c>
      <c r="L431" t="s">
        <v>1735</v>
      </c>
      <c r="M431" t="s">
        <v>3959</v>
      </c>
      <c r="N431" s="3">
        <v>149.83000000000001</v>
      </c>
      <c r="O431" s="4">
        <v>0.02</v>
      </c>
      <c r="P431" t="s">
        <v>1772</v>
      </c>
      <c r="Q431" s="4">
        <v>587.33360000000005</v>
      </c>
    </row>
    <row r="432" spans="1:17" x14ac:dyDescent="0.3">
      <c r="A432" t="s">
        <v>2204</v>
      </c>
      <c r="B432" t="str">
        <f t="shared" si="6"/>
        <v>Q2</v>
      </c>
      <c r="C432" t="str">
        <f>TEXT(Table1[[#This Row],[Order_Date]],"mmmm")</f>
        <v>June</v>
      </c>
      <c r="D432">
        <f>YEAR(Table1[[#This Row],[Order_Date]])</f>
        <v>2024</v>
      </c>
      <c r="E432" s="7">
        <v>45445</v>
      </c>
      <c r="F432" s="2" t="str">
        <f>VLOOKUP(Table1[[#This Row],[Customer_ID]],Customer_Dim!$A$2:$H$501,2,FALSE)</f>
        <v>Eugene Nelson</v>
      </c>
      <c r="G432" s="2" t="str">
        <f>_xlfn.XLOOKUP(Table1[[#This Row],[Customer_ID]],Customer_Dim!$A$2:$A$501,Customer_Dim!$E$2:$E$501)</f>
        <v>Phillipsmouth</v>
      </c>
      <c r="H432" t="s">
        <v>14</v>
      </c>
      <c r="I432" t="str">
        <f>VLOOKUP(Table1[[#This Row],[Product_ID]],Product_Dim!$A$2:$G$101,2,FALSE)</f>
        <v>HDMI Cable – 2m-Electronics</v>
      </c>
      <c r="J432" t="s">
        <v>1625</v>
      </c>
      <c r="K432" t="str">
        <f>VLOOKUP(Table1[[#This Row],[Store_ID]],Store_Dim!$A$3:$D$22,2,FALSE)</f>
        <v>Mcdonald Inc-South</v>
      </c>
      <c r="L432" t="s">
        <v>1754</v>
      </c>
      <c r="M432" t="s">
        <v>3958</v>
      </c>
      <c r="N432" s="3">
        <v>287.70999999999998</v>
      </c>
      <c r="O432" s="4">
        <v>0.03</v>
      </c>
      <c r="P432" t="s">
        <v>1777</v>
      </c>
      <c r="Q432" s="4">
        <v>837.23609999999985</v>
      </c>
    </row>
    <row r="433" spans="1:17" x14ac:dyDescent="0.3">
      <c r="A433" t="s">
        <v>2205</v>
      </c>
      <c r="B433" t="str">
        <f t="shared" si="6"/>
        <v>Q3</v>
      </c>
      <c r="C433" t="str">
        <f>TEXT(Table1[[#This Row],[Order_Date]],"mmmm")</f>
        <v>July</v>
      </c>
      <c r="D433">
        <f>YEAR(Table1[[#This Row],[Order_Date]])</f>
        <v>2025</v>
      </c>
      <c r="E433" s="7">
        <v>45860</v>
      </c>
      <c r="F433" s="2" t="str">
        <f>VLOOKUP(Table1[[#This Row],[Customer_ID]],Customer_Dim!$A$2:$H$501,2,FALSE)</f>
        <v>David Patterson</v>
      </c>
      <c r="G433" s="2" t="str">
        <f>_xlfn.XLOOKUP(Table1[[#This Row],[Customer_ID]],Customer_Dim!$A$2:$A$501,Customer_Dim!$E$2:$E$501)</f>
        <v>New Amyport</v>
      </c>
      <c r="H433" t="s">
        <v>333</v>
      </c>
      <c r="I433" t="str">
        <f>VLOOKUP(Table1[[#This Row],[Product_ID]],Product_Dim!$A$2:$G$101,2,FALSE)</f>
        <v>Smart LED Light Strip-Electronics</v>
      </c>
      <c r="J433" t="s">
        <v>1657</v>
      </c>
      <c r="K433" t="str">
        <f>VLOOKUP(Table1[[#This Row],[Store_ID]],Store_Dim!$A$3:$D$22,2,FALSE)</f>
        <v>Benson-Elliott-East</v>
      </c>
      <c r="L433" t="s">
        <v>1740</v>
      </c>
      <c r="M433" t="s">
        <v>3960</v>
      </c>
      <c r="N433" s="3">
        <v>849.8</v>
      </c>
      <c r="O433" s="4">
        <v>0.06</v>
      </c>
      <c r="P433" t="s">
        <v>1777</v>
      </c>
      <c r="Q433" s="4">
        <v>1597.624</v>
      </c>
    </row>
    <row r="434" spans="1:17" x14ac:dyDescent="0.3">
      <c r="A434" t="s">
        <v>2206</v>
      </c>
      <c r="B434" t="str">
        <f t="shared" si="6"/>
        <v>Q1</v>
      </c>
      <c r="C434" t="str">
        <f>TEXT(Table1[[#This Row],[Order_Date]],"mmmm")</f>
        <v>March</v>
      </c>
      <c r="D434">
        <f>YEAR(Table1[[#This Row],[Order_Date]])</f>
        <v>2025</v>
      </c>
      <c r="E434" s="7">
        <v>45725</v>
      </c>
      <c r="F434" s="2" t="str">
        <f>VLOOKUP(Table1[[#This Row],[Customer_ID]],Customer_Dim!$A$2:$H$501,2,FALSE)</f>
        <v>John Scott</v>
      </c>
      <c r="G434" s="2" t="str">
        <f>_xlfn.XLOOKUP(Table1[[#This Row],[Customer_ID]],Customer_Dim!$A$2:$A$501,Customer_Dim!$E$2:$E$501)</f>
        <v>South Christopher</v>
      </c>
      <c r="H434" t="s">
        <v>75</v>
      </c>
      <c r="I434" t="str">
        <f>VLOOKUP(Table1[[#This Row],[Product_ID]],Product_Dim!$A$2:$G$101,2,FALSE)</f>
        <v>Yoga Exercise Mat-Sports</v>
      </c>
      <c r="J434" t="s">
        <v>1605</v>
      </c>
      <c r="K434" t="str">
        <f>VLOOKUP(Table1[[#This Row],[Store_ID]],Store_Dim!$A$3:$D$22,2,FALSE)</f>
        <v>Johnson-Wright-North</v>
      </c>
      <c r="L434" t="s">
        <v>1733</v>
      </c>
      <c r="M434" t="s">
        <v>3958</v>
      </c>
      <c r="N434" s="3">
        <v>482.58</v>
      </c>
      <c r="O434" s="4">
        <v>0.28000000000000003</v>
      </c>
      <c r="P434" t="s">
        <v>1774</v>
      </c>
      <c r="Q434" s="4">
        <v>1042.3728000000001</v>
      </c>
    </row>
    <row r="435" spans="1:17" x14ac:dyDescent="0.3">
      <c r="A435" t="s">
        <v>2207</v>
      </c>
      <c r="B435" t="str">
        <f t="shared" si="6"/>
        <v>Q1</v>
      </c>
      <c r="C435" t="str">
        <f>TEXT(Table1[[#This Row],[Order_Date]],"mmmm")</f>
        <v>February</v>
      </c>
      <c r="D435">
        <f>YEAR(Table1[[#This Row],[Order_Date]])</f>
        <v>2025</v>
      </c>
      <c r="E435" s="7">
        <v>45699</v>
      </c>
      <c r="F435" s="2" t="str">
        <f>VLOOKUP(Table1[[#This Row],[Customer_ID]],Customer_Dim!$A$2:$H$501,2,FALSE)</f>
        <v>Ryan Hernandez</v>
      </c>
      <c r="G435" s="2" t="str">
        <f>_xlfn.XLOOKUP(Table1[[#This Row],[Customer_ID]],Customer_Dim!$A$2:$A$501,Customer_Dim!$E$2:$E$501)</f>
        <v>East Donna</v>
      </c>
      <c r="H435" t="s">
        <v>394</v>
      </c>
      <c r="I435" t="str">
        <f>VLOOKUP(Table1[[#This Row],[Product_ID]],Product_Dim!$A$2:$G$101,2,FALSE)</f>
        <v>Men's Hair Styling Gel-Beauty</v>
      </c>
      <c r="J435" t="s">
        <v>1641</v>
      </c>
      <c r="K435" t="str">
        <f>VLOOKUP(Table1[[#This Row],[Store_ID]],Store_Dim!$A$3:$D$22,2,FALSE)</f>
        <v>Black-Horn-South</v>
      </c>
      <c r="L435" t="s">
        <v>1730</v>
      </c>
      <c r="M435" t="s">
        <v>3960</v>
      </c>
      <c r="N435" s="3">
        <v>64.7</v>
      </c>
      <c r="O435" s="4">
        <v>0</v>
      </c>
      <c r="P435" t="s">
        <v>1772</v>
      </c>
      <c r="Q435" s="4">
        <v>129.4</v>
      </c>
    </row>
    <row r="436" spans="1:17" x14ac:dyDescent="0.3">
      <c r="A436" t="s">
        <v>2208</v>
      </c>
      <c r="B436" t="str">
        <f t="shared" si="6"/>
        <v>Q4</v>
      </c>
      <c r="C436" t="str">
        <f>TEXT(Table1[[#This Row],[Order_Date]],"mmmm")</f>
        <v>December</v>
      </c>
      <c r="D436">
        <f>YEAR(Table1[[#This Row],[Order_Date]])</f>
        <v>2023</v>
      </c>
      <c r="E436" s="7">
        <v>45266</v>
      </c>
      <c r="F436" s="2" t="str">
        <f>VLOOKUP(Table1[[#This Row],[Customer_ID]],Customer_Dim!$A$2:$H$501,2,FALSE)</f>
        <v>Theresa Campbell</v>
      </c>
      <c r="G436" s="2" t="str">
        <f>_xlfn.XLOOKUP(Table1[[#This Row],[Customer_ID]],Customer_Dim!$A$2:$A$501,Customer_Dim!$E$2:$E$501)</f>
        <v>New Brian</v>
      </c>
      <c r="H436" t="s">
        <v>494</v>
      </c>
      <c r="I436" t="str">
        <f>VLOOKUP(Table1[[#This Row],[Product_ID]],Product_Dim!$A$2:$G$101,2,FALSE)</f>
        <v>Men's Leather Belt-Clothing</v>
      </c>
      <c r="J436" t="s">
        <v>1533</v>
      </c>
      <c r="K436" t="str">
        <f>VLOOKUP(Table1[[#This Row],[Store_ID]],Store_Dim!$A$3:$D$22,2,FALSE)</f>
        <v>Gray Ltd-North</v>
      </c>
      <c r="L436" t="s">
        <v>1738</v>
      </c>
      <c r="M436" t="s">
        <v>3958</v>
      </c>
      <c r="N436" s="3">
        <v>589.83000000000004</v>
      </c>
      <c r="O436" s="4">
        <v>0.26</v>
      </c>
      <c r="P436" t="s">
        <v>1772</v>
      </c>
      <c r="Q436" s="4">
        <v>1309.4226000000001</v>
      </c>
    </row>
    <row r="437" spans="1:17" x14ac:dyDescent="0.3">
      <c r="A437" t="s">
        <v>2209</v>
      </c>
      <c r="B437" t="str">
        <f t="shared" si="6"/>
        <v>Q3</v>
      </c>
      <c r="C437" t="str">
        <f>TEXT(Table1[[#This Row],[Order_Date]],"mmmm")</f>
        <v>August</v>
      </c>
      <c r="D437">
        <f>YEAR(Table1[[#This Row],[Order_Date]])</f>
        <v>2025</v>
      </c>
      <c r="E437" s="7">
        <v>45889</v>
      </c>
      <c r="F437" s="2" t="str">
        <f>VLOOKUP(Table1[[#This Row],[Customer_ID]],Customer_Dim!$A$2:$H$501,2,FALSE)</f>
        <v>Misty Ferguson</v>
      </c>
      <c r="G437" s="2" t="str">
        <f>_xlfn.XLOOKUP(Table1[[#This Row],[Customer_ID]],Customer_Dim!$A$2:$A$501,Customer_Dim!$E$2:$E$501)</f>
        <v>North Joseside</v>
      </c>
      <c r="H437" t="s">
        <v>906</v>
      </c>
      <c r="I437" t="str">
        <f>VLOOKUP(Table1[[#This Row],[Product_ID]],Product_Dim!$A$2:$G$101,2,FALSE)</f>
        <v>Men's Running Jacket-Clothing</v>
      </c>
      <c r="J437" t="s">
        <v>1529</v>
      </c>
      <c r="K437" t="str">
        <f>VLOOKUP(Table1[[#This Row],[Store_ID]],Store_Dim!$A$3:$D$22,2,FALSE)</f>
        <v>Moore, Padilla and Butler-South</v>
      </c>
      <c r="L437" t="s">
        <v>1746</v>
      </c>
      <c r="M437" t="s">
        <v>3959</v>
      </c>
      <c r="N437" s="3">
        <v>758.49</v>
      </c>
      <c r="O437" s="4">
        <v>0.16</v>
      </c>
      <c r="P437" t="s">
        <v>1777</v>
      </c>
      <c r="Q437" s="4">
        <v>2548.5264000000002</v>
      </c>
    </row>
    <row r="438" spans="1:17" x14ac:dyDescent="0.3">
      <c r="A438" t="s">
        <v>2210</v>
      </c>
      <c r="B438" t="str">
        <f t="shared" si="6"/>
        <v>Q3</v>
      </c>
      <c r="C438" t="str">
        <f>TEXT(Table1[[#This Row],[Order_Date]],"mmmm")</f>
        <v>September</v>
      </c>
      <c r="D438">
        <f>YEAR(Table1[[#This Row],[Order_Date]])</f>
        <v>2024</v>
      </c>
      <c r="E438" s="7">
        <v>45555</v>
      </c>
      <c r="F438" s="2" t="str">
        <f>VLOOKUP(Table1[[#This Row],[Customer_ID]],Customer_Dim!$A$2:$H$501,2,FALSE)</f>
        <v>Sharon Brown</v>
      </c>
      <c r="G438" s="2" t="str">
        <f>_xlfn.XLOOKUP(Table1[[#This Row],[Customer_ID]],Customer_Dim!$A$2:$A$501,Customer_Dim!$E$2:$E$501)</f>
        <v>East Andrea</v>
      </c>
      <c r="H438" t="s">
        <v>199</v>
      </c>
      <c r="I438" t="str">
        <f>VLOOKUP(Table1[[#This Row],[Product_ID]],Product_Dim!$A$2:$G$101,2,FALSE)</f>
        <v>Men's Casual Sneakers-Clothing</v>
      </c>
      <c r="J438" t="s">
        <v>1597</v>
      </c>
      <c r="K438" t="str">
        <f>VLOOKUP(Table1[[#This Row],[Store_ID]],Store_Dim!$A$3:$D$22,2,FALSE)</f>
        <v>Thomas, Bridges and Harris-North</v>
      </c>
      <c r="L438" t="s">
        <v>1751</v>
      </c>
      <c r="M438" t="s">
        <v>3959</v>
      </c>
      <c r="N438" s="3">
        <v>747.56</v>
      </c>
      <c r="O438" s="4">
        <v>0.09</v>
      </c>
      <c r="P438" t="s">
        <v>1777</v>
      </c>
      <c r="Q438" s="4">
        <v>2721.1183999999998</v>
      </c>
    </row>
    <row r="439" spans="1:17" x14ac:dyDescent="0.3">
      <c r="A439" t="s">
        <v>2211</v>
      </c>
      <c r="B439" t="str">
        <f t="shared" si="6"/>
        <v>Q2</v>
      </c>
      <c r="C439" t="str">
        <f>TEXT(Table1[[#This Row],[Order_Date]],"mmmm")</f>
        <v>June</v>
      </c>
      <c r="D439">
        <f>YEAR(Table1[[#This Row],[Order_Date]])</f>
        <v>2025</v>
      </c>
      <c r="E439" s="7">
        <v>45813</v>
      </c>
      <c r="F439" s="2" t="str">
        <f>VLOOKUP(Table1[[#This Row],[Customer_ID]],Customer_Dim!$A$2:$H$501,2,FALSE)</f>
        <v>Dr. Ashley Yates Md</v>
      </c>
      <c r="G439" s="2" t="str">
        <f>_xlfn.XLOOKUP(Table1[[#This Row],[Customer_ID]],Customer_Dim!$A$2:$A$501,Customer_Dim!$E$2:$E$501)</f>
        <v>New Maria</v>
      </c>
      <c r="H439" t="s">
        <v>803</v>
      </c>
      <c r="I439" t="str">
        <f>VLOOKUP(Table1[[#This Row],[Product_ID]],Product_Dim!$A$2:$G$101,2,FALSE)</f>
        <v>Noise-Canceling Headphones-Electronics</v>
      </c>
      <c r="J439" t="s">
        <v>1603</v>
      </c>
      <c r="K439" t="str">
        <f>VLOOKUP(Table1[[#This Row],[Store_ID]],Store_Dim!$A$3:$D$22,2,FALSE)</f>
        <v>Holloway Ltd-North</v>
      </c>
      <c r="L439" t="s">
        <v>1759</v>
      </c>
      <c r="M439" t="s">
        <v>3958</v>
      </c>
      <c r="N439" s="3">
        <v>551.22</v>
      </c>
      <c r="O439" s="4">
        <v>0.12</v>
      </c>
      <c r="P439" t="s">
        <v>1774</v>
      </c>
      <c r="Q439" s="4">
        <v>1455.2208000000001</v>
      </c>
    </row>
    <row r="440" spans="1:17" x14ac:dyDescent="0.3">
      <c r="A440" t="s">
        <v>2212</v>
      </c>
      <c r="B440" t="str">
        <f t="shared" si="6"/>
        <v>Q2</v>
      </c>
      <c r="C440" t="str">
        <f>TEXT(Table1[[#This Row],[Order_Date]],"mmmm")</f>
        <v>June</v>
      </c>
      <c r="D440">
        <f>YEAR(Table1[[#This Row],[Order_Date]])</f>
        <v>2025</v>
      </c>
      <c r="E440" s="7">
        <v>45811</v>
      </c>
      <c r="F440" s="2" t="str">
        <f>VLOOKUP(Table1[[#This Row],[Customer_ID]],Customer_Dim!$A$2:$H$501,2,FALSE)</f>
        <v>Brian Choi</v>
      </c>
      <c r="G440" s="2" t="str">
        <f>_xlfn.XLOOKUP(Table1[[#This Row],[Customer_ID]],Customer_Dim!$A$2:$A$501,Customer_Dim!$E$2:$E$501)</f>
        <v>Floydton</v>
      </c>
      <c r="H440" t="s">
        <v>527</v>
      </c>
      <c r="I440" t="str">
        <f>VLOOKUP(Table1[[#This Row],[Product_ID]],Product_Dim!$A$2:$G$101,2,FALSE)</f>
        <v>Men's Sports Shorts-Clothing</v>
      </c>
      <c r="J440" t="s">
        <v>1661</v>
      </c>
      <c r="K440" t="str">
        <f>VLOOKUP(Table1[[#This Row],[Store_ID]],Store_Dim!$A$3:$D$22,2,FALSE)</f>
        <v>Mcdonald Inc-South</v>
      </c>
      <c r="L440" t="s">
        <v>1754</v>
      </c>
      <c r="M440" t="s">
        <v>3960</v>
      </c>
      <c r="N440" s="3">
        <v>527.05999999999995</v>
      </c>
      <c r="O440" s="4">
        <v>0.17</v>
      </c>
      <c r="P440" t="s">
        <v>1774</v>
      </c>
      <c r="Q440" s="4">
        <v>874.91959999999983</v>
      </c>
    </row>
    <row r="441" spans="1:17" x14ac:dyDescent="0.3">
      <c r="A441" t="s">
        <v>2213</v>
      </c>
      <c r="B441" t="str">
        <f t="shared" si="6"/>
        <v>Q1</v>
      </c>
      <c r="C441" t="str">
        <f>TEXT(Table1[[#This Row],[Order_Date]],"mmmm")</f>
        <v>January</v>
      </c>
      <c r="D441">
        <f>YEAR(Table1[[#This Row],[Order_Date]])</f>
        <v>2025</v>
      </c>
      <c r="E441" s="7">
        <v>45670</v>
      </c>
      <c r="F441" s="2" t="str">
        <f>VLOOKUP(Table1[[#This Row],[Customer_ID]],Customer_Dim!$A$2:$H$501,2,FALSE)</f>
        <v>Brittney Morgan</v>
      </c>
      <c r="G441" s="2" t="str">
        <f>_xlfn.XLOOKUP(Table1[[#This Row],[Customer_ID]],Customer_Dim!$A$2:$A$501,Customer_Dim!$E$2:$E$501)</f>
        <v>Lake Kaylahaven</v>
      </c>
      <c r="H441" t="s">
        <v>345</v>
      </c>
      <c r="I441" t="str">
        <f>VLOOKUP(Table1[[#This Row],[Product_ID]],Product_Dim!$A$2:$G$101,2,FALSE)</f>
        <v>Laptop Cooling Pad-Electronics</v>
      </c>
      <c r="J441" t="s">
        <v>1647</v>
      </c>
      <c r="K441" t="str">
        <f>VLOOKUP(Table1[[#This Row],[Store_ID]],Store_Dim!$A$3:$D$22,2,FALSE)</f>
        <v>Gray Ltd-North</v>
      </c>
      <c r="L441" t="s">
        <v>1738</v>
      </c>
      <c r="M441" t="s">
        <v>3959</v>
      </c>
      <c r="N441" s="3">
        <v>875.41</v>
      </c>
      <c r="O441" s="4">
        <v>0.27</v>
      </c>
      <c r="P441" t="s">
        <v>1772</v>
      </c>
      <c r="Q441" s="4">
        <v>2556.1972000000001</v>
      </c>
    </row>
    <row r="442" spans="1:17" x14ac:dyDescent="0.3">
      <c r="A442" t="s">
        <v>2214</v>
      </c>
      <c r="B442" t="str">
        <f t="shared" si="6"/>
        <v>Q1</v>
      </c>
      <c r="C442" t="str">
        <f>TEXT(Table1[[#This Row],[Order_Date]],"mmmm")</f>
        <v>March</v>
      </c>
      <c r="D442">
        <f>YEAR(Table1[[#This Row],[Order_Date]])</f>
        <v>2025</v>
      </c>
      <c r="E442" s="7">
        <v>45736</v>
      </c>
      <c r="F442" s="2" t="str">
        <f>VLOOKUP(Table1[[#This Row],[Customer_ID]],Customer_Dim!$A$2:$H$501,2,FALSE)</f>
        <v>Daniel Boyd</v>
      </c>
      <c r="G442" s="2" t="str">
        <f>_xlfn.XLOOKUP(Table1[[#This Row],[Customer_ID]],Customer_Dim!$A$2:$A$501,Customer_Dim!$E$2:$E$501)</f>
        <v>West Pamelafurt</v>
      </c>
      <c r="H442" t="s">
        <v>40</v>
      </c>
      <c r="I442" t="str">
        <f>VLOOKUP(Table1[[#This Row],[Product_ID]],Product_Dim!$A$2:$G$101,2,FALSE)</f>
        <v>Women's Beanie Hat-Clothing</v>
      </c>
      <c r="J442" t="s">
        <v>1693</v>
      </c>
      <c r="K442" t="str">
        <f>VLOOKUP(Table1[[#This Row],[Store_ID]],Store_Dim!$A$3:$D$22,2,FALSE)</f>
        <v>Rivera-Warner-East</v>
      </c>
      <c r="L442" t="s">
        <v>1725</v>
      </c>
      <c r="M442" t="s">
        <v>3960</v>
      </c>
      <c r="N442" s="3">
        <v>226.43</v>
      </c>
      <c r="O442" s="4">
        <v>0.03</v>
      </c>
      <c r="P442" t="s">
        <v>1772</v>
      </c>
      <c r="Q442" s="4">
        <v>439.27420000000001</v>
      </c>
    </row>
    <row r="443" spans="1:17" x14ac:dyDescent="0.3">
      <c r="A443" t="s">
        <v>2215</v>
      </c>
      <c r="B443" t="str">
        <f t="shared" si="6"/>
        <v>Q3</v>
      </c>
      <c r="C443" t="str">
        <f>TEXT(Table1[[#This Row],[Order_Date]],"mmmm")</f>
        <v>July</v>
      </c>
      <c r="D443">
        <f>YEAR(Table1[[#This Row],[Order_Date]])</f>
        <v>2024</v>
      </c>
      <c r="E443" s="7">
        <v>45480</v>
      </c>
      <c r="F443" s="2" t="str">
        <f>VLOOKUP(Table1[[#This Row],[Customer_ID]],Customer_Dim!$A$2:$H$501,2,FALSE)</f>
        <v>Rachel Myers</v>
      </c>
      <c r="G443" s="2" t="str">
        <f>_xlfn.XLOOKUP(Table1[[#This Row],[Customer_ID]],Customer_Dim!$A$2:$A$501,Customer_Dim!$E$2:$E$501)</f>
        <v>Robertberg</v>
      </c>
      <c r="H443" t="s">
        <v>140</v>
      </c>
      <c r="I443" t="str">
        <f>VLOOKUP(Table1[[#This Row],[Product_ID]],Product_Dim!$A$2:$G$101,2,FALSE)</f>
        <v>Decorative Lamp Shade-Home</v>
      </c>
      <c r="J443" t="s">
        <v>1681</v>
      </c>
      <c r="K443" t="str">
        <f>VLOOKUP(Table1[[#This Row],[Store_ID]],Store_Dim!$A$3:$D$22,2,FALSE)</f>
        <v>Gray Ltd-North</v>
      </c>
      <c r="L443" t="s">
        <v>1738</v>
      </c>
      <c r="M443" t="s">
        <v>3960</v>
      </c>
      <c r="N443" s="3">
        <v>285.39</v>
      </c>
      <c r="O443" s="4">
        <v>0.1</v>
      </c>
      <c r="P443" t="s">
        <v>1772</v>
      </c>
      <c r="Q443" s="4">
        <v>513.702</v>
      </c>
    </row>
    <row r="444" spans="1:17" x14ac:dyDescent="0.3">
      <c r="A444" t="s">
        <v>2216</v>
      </c>
      <c r="B444" t="str">
        <f t="shared" si="6"/>
        <v>Q3</v>
      </c>
      <c r="C444" t="str">
        <f>TEXT(Table1[[#This Row],[Order_Date]],"mmmm")</f>
        <v>September</v>
      </c>
      <c r="D444">
        <f>YEAR(Table1[[#This Row],[Order_Date]])</f>
        <v>2025</v>
      </c>
      <c r="E444" s="7">
        <v>45929</v>
      </c>
      <c r="F444" s="2" t="str">
        <f>VLOOKUP(Table1[[#This Row],[Customer_ID]],Customer_Dim!$A$2:$H$501,2,FALSE)</f>
        <v>Mr. Christopher Sims</v>
      </c>
      <c r="G444" s="2" t="str">
        <f>_xlfn.XLOOKUP(Table1[[#This Row],[Customer_ID]],Customer_Dim!$A$2:$A$501,Customer_Dim!$E$2:$E$501)</f>
        <v>Donaldsontown</v>
      </c>
      <c r="H444" t="s">
        <v>1039</v>
      </c>
      <c r="I444" t="str">
        <f>VLOOKUP(Table1[[#This Row],[Product_ID]],Product_Dim!$A$2:$G$101,2,FALSE)</f>
        <v>HD Smart TV Stick-Electronics</v>
      </c>
      <c r="J444" t="s">
        <v>1545</v>
      </c>
      <c r="K444" t="str">
        <f>VLOOKUP(Table1[[#This Row],[Store_ID]],Store_Dim!$A$3:$D$22,2,FALSE)</f>
        <v>Shelton PLC-North</v>
      </c>
      <c r="L444" t="s">
        <v>1755</v>
      </c>
      <c r="M444" t="s">
        <v>3960</v>
      </c>
      <c r="N444" s="3">
        <v>298.01</v>
      </c>
      <c r="O444" s="4">
        <v>0.05</v>
      </c>
      <c r="P444" t="s">
        <v>1772</v>
      </c>
      <c r="Q444" s="4">
        <v>566.21899999999994</v>
      </c>
    </row>
    <row r="445" spans="1:17" x14ac:dyDescent="0.3">
      <c r="A445" t="s">
        <v>2217</v>
      </c>
      <c r="B445" t="str">
        <f t="shared" si="6"/>
        <v>Q4</v>
      </c>
      <c r="C445" t="str">
        <f>TEXT(Table1[[#This Row],[Order_Date]],"mmmm")</f>
        <v>November</v>
      </c>
      <c r="D445">
        <f>YEAR(Table1[[#This Row],[Order_Date]])</f>
        <v>2024</v>
      </c>
      <c r="E445" s="7">
        <v>45626</v>
      </c>
      <c r="F445" s="2" t="str">
        <f>VLOOKUP(Table1[[#This Row],[Customer_ID]],Customer_Dim!$A$2:$H$501,2,FALSE)</f>
        <v>Brian Choi</v>
      </c>
      <c r="G445" s="2" t="str">
        <f>_xlfn.XLOOKUP(Table1[[#This Row],[Customer_ID]],Customer_Dim!$A$2:$A$501,Customer_Dim!$E$2:$E$501)</f>
        <v>Floydton</v>
      </c>
      <c r="H445" t="s">
        <v>527</v>
      </c>
      <c r="I445" t="str">
        <f>VLOOKUP(Table1[[#This Row],[Product_ID]],Product_Dim!$A$2:$G$101,2,FALSE)</f>
        <v>Noise-Canceling Headphones-Electronics</v>
      </c>
      <c r="J445" t="s">
        <v>1603</v>
      </c>
      <c r="K445" t="str">
        <f>VLOOKUP(Table1[[#This Row],[Store_ID]],Store_Dim!$A$3:$D$22,2,FALSE)</f>
        <v>Alexander Group-South</v>
      </c>
      <c r="L445" t="s">
        <v>1735</v>
      </c>
      <c r="M445" t="s">
        <v>3959</v>
      </c>
      <c r="N445" s="3">
        <v>753.49</v>
      </c>
      <c r="O445" s="4">
        <v>0.26</v>
      </c>
      <c r="P445" t="s">
        <v>1777</v>
      </c>
      <c r="Q445" s="4">
        <v>2230.3303999999998</v>
      </c>
    </row>
    <row r="446" spans="1:17" x14ac:dyDescent="0.3">
      <c r="A446" t="s">
        <v>2218</v>
      </c>
      <c r="B446" t="str">
        <f t="shared" si="6"/>
        <v>Q2</v>
      </c>
      <c r="C446" t="str">
        <f>TEXT(Table1[[#This Row],[Order_Date]],"mmmm")</f>
        <v>June</v>
      </c>
      <c r="D446">
        <f>YEAR(Table1[[#This Row],[Order_Date]])</f>
        <v>2024</v>
      </c>
      <c r="E446" s="7">
        <v>45460</v>
      </c>
      <c r="F446" s="2" t="str">
        <f>VLOOKUP(Table1[[#This Row],[Customer_ID]],Customer_Dim!$A$2:$H$501,2,FALSE)</f>
        <v>Zachary Andrade</v>
      </c>
      <c r="G446" s="2" t="str">
        <f>_xlfn.XLOOKUP(Table1[[#This Row],[Customer_ID]],Customer_Dim!$A$2:$A$501,Customer_Dim!$E$2:$E$501)</f>
        <v>South Davidport</v>
      </c>
      <c r="H446" t="s">
        <v>1484</v>
      </c>
      <c r="I446" t="str">
        <f>VLOOKUP(Table1[[#This Row],[Product_ID]],Product_Dim!$A$2:$G$101,2,FALSE)</f>
        <v>Essential Oil Diffuser-Home</v>
      </c>
      <c r="J446" t="s">
        <v>1679</v>
      </c>
      <c r="K446" t="str">
        <f>VLOOKUP(Table1[[#This Row],[Store_ID]],Store_Dim!$A$3:$D$22,2,FALSE)</f>
        <v>Thomas, Bridges and Harris-North</v>
      </c>
      <c r="L446" t="s">
        <v>1751</v>
      </c>
      <c r="M446" t="s">
        <v>3960</v>
      </c>
      <c r="N446" s="3">
        <v>130.38999999999999</v>
      </c>
      <c r="O446" s="4">
        <v>0.17</v>
      </c>
      <c r="P446" t="s">
        <v>1774</v>
      </c>
      <c r="Q446" s="4">
        <v>216.44739999999999</v>
      </c>
    </row>
    <row r="447" spans="1:17" x14ac:dyDescent="0.3">
      <c r="A447" t="s">
        <v>2219</v>
      </c>
      <c r="B447" t="str">
        <f t="shared" si="6"/>
        <v>Q1</v>
      </c>
      <c r="C447" t="str">
        <f>TEXT(Table1[[#This Row],[Order_Date]],"mmmm")</f>
        <v>February</v>
      </c>
      <c r="D447">
        <f>YEAR(Table1[[#This Row],[Order_Date]])</f>
        <v>2025</v>
      </c>
      <c r="E447" s="7">
        <v>45709</v>
      </c>
      <c r="F447" s="2" t="str">
        <f>VLOOKUP(Table1[[#This Row],[Customer_ID]],Customer_Dim!$A$2:$H$501,2,FALSE)</f>
        <v>Daniel Nelson</v>
      </c>
      <c r="G447" s="2" t="str">
        <f>_xlfn.XLOOKUP(Table1[[#This Row],[Customer_ID]],Customer_Dim!$A$2:$A$501,Customer_Dim!$E$2:$E$501)</f>
        <v>North Jonathan</v>
      </c>
      <c r="H447" t="s">
        <v>1072</v>
      </c>
      <c r="I447" t="str">
        <f>VLOOKUP(Table1[[#This Row],[Product_ID]],Product_Dim!$A$2:$G$101,2,FALSE)</f>
        <v>Carbon Fiber Tennis Racket-Sports</v>
      </c>
      <c r="J447" t="s">
        <v>1567</v>
      </c>
      <c r="K447" t="str">
        <f>VLOOKUP(Table1[[#This Row],[Store_ID]],Store_Dim!$A$3:$D$22,2,FALSE)</f>
        <v>Moore, Padilla and Butler-South</v>
      </c>
      <c r="L447" t="s">
        <v>1746</v>
      </c>
      <c r="M447" t="s">
        <v>3959</v>
      </c>
      <c r="N447" s="3">
        <v>164.02</v>
      </c>
      <c r="O447" s="4">
        <v>0.01</v>
      </c>
      <c r="P447" t="s">
        <v>1774</v>
      </c>
      <c r="Q447" s="4">
        <v>649.51920000000007</v>
      </c>
    </row>
    <row r="448" spans="1:17" x14ac:dyDescent="0.3">
      <c r="A448" t="s">
        <v>2220</v>
      </c>
      <c r="B448" t="str">
        <f t="shared" si="6"/>
        <v>Q3</v>
      </c>
      <c r="C448" t="str">
        <f>TEXT(Table1[[#This Row],[Order_Date]],"mmmm")</f>
        <v>September</v>
      </c>
      <c r="D448">
        <f>YEAR(Table1[[#This Row],[Order_Date]])</f>
        <v>2024</v>
      </c>
      <c r="E448" s="7">
        <v>45551</v>
      </c>
      <c r="F448" s="2" t="str">
        <f>VLOOKUP(Table1[[#This Row],[Customer_ID]],Customer_Dim!$A$2:$H$501,2,FALSE)</f>
        <v>Daniel Rivas</v>
      </c>
      <c r="G448" s="2" t="str">
        <f>_xlfn.XLOOKUP(Table1[[#This Row],[Customer_ID]],Customer_Dim!$A$2:$A$501,Customer_Dim!$E$2:$E$501)</f>
        <v>Dominiquefort</v>
      </c>
      <c r="H448" t="s">
        <v>542</v>
      </c>
      <c r="I448" t="str">
        <f>VLOOKUP(Table1[[#This Row],[Product_ID]],Product_Dim!$A$2:$G$101,2,FALSE)</f>
        <v>Fabric Sofa Throw Blanket-Home</v>
      </c>
      <c r="J448" t="s">
        <v>1581</v>
      </c>
      <c r="K448" t="str">
        <f>VLOOKUP(Table1[[#This Row],[Store_ID]],Store_Dim!$A$3:$D$22,2,FALSE)</f>
        <v>Alexander Group-South</v>
      </c>
      <c r="L448" t="s">
        <v>1735</v>
      </c>
      <c r="M448" t="s">
        <v>3960</v>
      </c>
      <c r="N448" s="3">
        <v>527.51</v>
      </c>
      <c r="O448" s="4">
        <v>0.18</v>
      </c>
      <c r="P448" t="s">
        <v>1774</v>
      </c>
      <c r="Q448" s="4">
        <v>865.1164</v>
      </c>
    </row>
    <row r="449" spans="1:17" x14ac:dyDescent="0.3">
      <c r="A449" t="s">
        <v>2221</v>
      </c>
      <c r="B449" t="str">
        <f t="shared" si="6"/>
        <v>Q4</v>
      </c>
      <c r="C449" t="str">
        <f>TEXT(Table1[[#This Row],[Order_Date]],"mmmm")</f>
        <v>October</v>
      </c>
      <c r="D449">
        <f>YEAR(Table1[[#This Row],[Order_Date]])</f>
        <v>2025</v>
      </c>
      <c r="E449" s="7">
        <v>45939</v>
      </c>
      <c r="F449" s="2" t="str">
        <f>VLOOKUP(Table1[[#This Row],[Customer_ID]],Customer_Dim!$A$2:$H$501,2,FALSE)</f>
        <v>Dr. Ashley Yates Md</v>
      </c>
      <c r="G449" s="2" t="str">
        <f>_xlfn.XLOOKUP(Table1[[#This Row],[Customer_ID]],Customer_Dim!$A$2:$A$501,Customer_Dim!$E$2:$E$501)</f>
        <v>New Maria</v>
      </c>
      <c r="H449" t="s">
        <v>803</v>
      </c>
      <c r="I449" t="str">
        <f>VLOOKUP(Table1[[#This Row],[Product_ID]],Product_Dim!$A$2:$G$101,2,FALSE)</f>
        <v>Foam Roller-Sports</v>
      </c>
      <c r="J449" t="s">
        <v>1637</v>
      </c>
      <c r="K449" t="str">
        <f>VLOOKUP(Table1[[#This Row],[Store_ID]],Store_Dim!$A$3:$D$22,2,FALSE)</f>
        <v>Gardner, Humphrey and Contreras-East</v>
      </c>
      <c r="L449" t="s">
        <v>1753</v>
      </c>
      <c r="M449" t="s">
        <v>3958</v>
      </c>
      <c r="N449" s="3">
        <v>628.17999999999995</v>
      </c>
      <c r="O449" s="4">
        <v>0.26</v>
      </c>
      <c r="P449" t="s">
        <v>1772</v>
      </c>
      <c r="Q449" s="4">
        <v>1394.5596</v>
      </c>
    </row>
    <row r="450" spans="1:17" x14ac:dyDescent="0.3">
      <c r="A450" t="s">
        <v>2222</v>
      </c>
      <c r="B450" t="str">
        <f t="shared" ref="B450:B513" si="7">"Q" &amp;ROUNDUP(MONTH(E450)/3,0)</f>
        <v>Q3</v>
      </c>
      <c r="C450" t="str">
        <f>TEXT(Table1[[#This Row],[Order_Date]],"mmmm")</f>
        <v>September</v>
      </c>
      <c r="D450">
        <f>YEAR(Table1[[#This Row],[Order_Date]])</f>
        <v>2024</v>
      </c>
      <c r="E450" s="7">
        <v>45553</v>
      </c>
      <c r="F450" s="2" t="str">
        <f>VLOOKUP(Table1[[#This Row],[Customer_ID]],Customer_Dim!$A$2:$H$501,2,FALSE)</f>
        <v>Tyrone Olson</v>
      </c>
      <c r="G450" s="2" t="str">
        <f>_xlfn.XLOOKUP(Table1[[#This Row],[Customer_ID]],Customer_Dim!$A$2:$A$501,Customer_Dim!$E$2:$E$501)</f>
        <v>Emilytown</v>
      </c>
      <c r="H450" t="s">
        <v>850</v>
      </c>
      <c r="I450" t="str">
        <f>VLOOKUP(Table1[[#This Row],[Product_ID]],Product_Dim!$A$2:$G$101,2,FALSE)</f>
        <v>Premium Blanket Throw-Home</v>
      </c>
      <c r="J450" t="s">
        <v>1635</v>
      </c>
      <c r="K450" t="str">
        <f>VLOOKUP(Table1[[#This Row],[Store_ID]],Store_Dim!$A$3:$D$22,2,FALSE)</f>
        <v>Johnson-Wright-North</v>
      </c>
      <c r="L450" t="s">
        <v>1733</v>
      </c>
      <c r="M450" t="s">
        <v>3957</v>
      </c>
      <c r="N450" s="3">
        <v>862.31</v>
      </c>
      <c r="O450" s="4">
        <v>0.06</v>
      </c>
      <c r="P450" t="s">
        <v>1772</v>
      </c>
      <c r="Q450" s="4">
        <v>810.57139999999993</v>
      </c>
    </row>
    <row r="451" spans="1:17" x14ac:dyDescent="0.3">
      <c r="A451" t="s">
        <v>2223</v>
      </c>
      <c r="B451" t="str">
        <f t="shared" si="7"/>
        <v>Q2</v>
      </c>
      <c r="C451" t="str">
        <f>TEXT(Table1[[#This Row],[Order_Date]],"mmmm")</f>
        <v>May</v>
      </c>
      <c r="D451">
        <f>YEAR(Table1[[#This Row],[Order_Date]])</f>
        <v>2025</v>
      </c>
      <c r="E451" s="7">
        <v>45806</v>
      </c>
      <c r="F451" s="2" t="str">
        <f>VLOOKUP(Table1[[#This Row],[Customer_ID]],Customer_Dim!$A$2:$H$501,2,FALSE)</f>
        <v>Andrea Perez</v>
      </c>
      <c r="G451" s="2" t="str">
        <f>_xlfn.XLOOKUP(Table1[[#This Row],[Customer_ID]],Customer_Dim!$A$2:$A$501,Customer_Dim!$E$2:$E$501)</f>
        <v>South Shaun</v>
      </c>
      <c r="H451" t="s">
        <v>258</v>
      </c>
      <c r="I451" t="str">
        <f>VLOOKUP(Table1[[#This Row],[Product_ID]],Product_Dim!$A$2:$G$101,2,FALSE)</f>
        <v>Hydrating Face Cleanser-Beauty</v>
      </c>
      <c r="J451" t="s">
        <v>1689</v>
      </c>
      <c r="K451" t="str">
        <f>VLOOKUP(Table1[[#This Row],[Store_ID]],Store_Dim!$A$3:$D$22,2,FALSE)</f>
        <v>Mcdonald Inc-South</v>
      </c>
      <c r="L451" t="s">
        <v>1754</v>
      </c>
      <c r="M451" t="s">
        <v>3960</v>
      </c>
      <c r="N451" s="3">
        <v>541.39</v>
      </c>
      <c r="O451" s="4">
        <v>0.03</v>
      </c>
      <c r="P451" t="s">
        <v>1777</v>
      </c>
      <c r="Q451" s="4">
        <v>1050.2965999999999</v>
      </c>
    </row>
    <row r="452" spans="1:17" x14ac:dyDescent="0.3">
      <c r="A452" t="s">
        <v>2224</v>
      </c>
      <c r="B452" t="str">
        <f t="shared" si="7"/>
        <v>Q2</v>
      </c>
      <c r="C452" t="str">
        <f>TEXT(Table1[[#This Row],[Order_Date]],"mmmm")</f>
        <v>June</v>
      </c>
      <c r="D452">
        <f>YEAR(Table1[[#This Row],[Order_Date]])</f>
        <v>2025</v>
      </c>
      <c r="E452" s="7">
        <v>45811</v>
      </c>
      <c r="F452" s="2" t="str">
        <f>VLOOKUP(Table1[[#This Row],[Customer_ID]],Customer_Dim!$A$2:$H$501,2,FALSE)</f>
        <v>Andrea Harris</v>
      </c>
      <c r="G452" s="2" t="str">
        <f>_xlfn.XLOOKUP(Table1[[#This Row],[Customer_ID]],Customer_Dim!$A$2:$A$501,Customer_Dim!$E$2:$E$501)</f>
        <v>West Kelseyberg</v>
      </c>
      <c r="H452" t="s">
        <v>1453</v>
      </c>
      <c r="I452" t="str">
        <f>VLOOKUP(Table1[[#This Row],[Product_ID]],Product_Dim!$A$2:$G$101,2,FALSE)</f>
        <v>Wireless Mouse-Electronics</v>
      </c>
      <c r="J452" t="s">
        <v>1675</v>
      </c>
      <c r="K452" t="str">
        <f>VLOOKUP(Table1[[#This Row],[Store_ID]],Store_Dim!$A$3:$D$22,2,FALSE)</f>
        <v>Frederick-Wright-West</v>
      </c>
      <c r="L452" t="s">
        <v>1757</v>
      </c>
      <c r="M452" t="s">
        <v>3958</v>
      </c>
      <c r="N452" s="3">
        <v>761.8</v>
      </c>
      <c r="O452" s="4">
        <v>0.06</v>
      </c>
      <c r="P452" t="s">
        <v>1777</v>
      </c>
      <c r="Q452" s="4">
        <v>2148.2759999999989</v>
      </c>
    </row>
    <row r="453" spans="1:17" x14ac:dyDescent="0.3">
      <c r="A453" t="s">
        <v>2225</v>
      </c>
      <c r="B453" t="str">
        <f t="shared" si="7"/>
        <v>Q3</v>
      </c>
      <c r="C453" t="str">
        <f>TEXT(Table1[[#This Row],[Order_Date]],"mmmm")</f>
        <v>August</v>
      </c>
      <c r="D453">
        <f>YEAR(Table1[[#This Row],[Order_Date]])</f>
        <v>2024</v>
      </c>
      <c r="E453" s="7">
        <v>45508</v>
      </c>
      <c r="F453" s="2" t="str">
        <f>VLOOKUP(Table1[[#This Row],[Customer_ID]],Customer_Dim!$A$2:$H$501,2,FALSE)</f>
        <v>Brittany Edwards Dds</v>
      </c>
      <c r="G453" s="2" t="str">
        <f>_xlfn.XLOOKUP(Table1[[#This Row],[Customer_ID]],Customer_Dim!$A$2:$A$501,Customer_Dim!$E$2:$E$501)</f>
        <v>Aliciahaven</v>
      </c>
      <c r="H453" t="s">
        <v>1295</v>
      </c>
      <c r="I453" t="str">
        <f>VLOOKUP(Table1[[#This Row],[Product_ID]],Product_Dim!$A$2:$G$101,2,FALSE)</f>
        <v>Men's Roll-On Perfume-Beauty</v>
      </c>
      <c r="J453" t="s">
        <v>1621</v>
      </c>
      <c r="K453" t="str">
        <f>VLOOKUP(Table1[[#This Row],[Store_ID]],Store_Dim!$A$3:$D$22,2,FALSE)</f>
        <v>Black-Horn-South</v>
      </c>
      <c r="L453" t="s">
        <v>1730</v>
      </c>
      <c r="M453" t="s">
        <v>3959</v>
      </c>
      <c r="N453" s="3">
        <v>829.36</v>
      </c>
      <c r="O453" s="4">
        <v>0.11</v>
      </c>
      <c r="P453" t="s">
        <v>1774</v>
      </c>
      <c r="Q453" s="4">
        <v>2952.5216</v>
      </c>
    </row>
    <row r="454" spans="1:17" x14ac:dyDescent="0.3">
      <c r="A454" t="s">
        <v>2226</v>
      </c>
      <c r="B454" t="str">
        <f t="shared" si="7"/>
        <v>Q2</v>
      </c>
      <c r="C454" t="str">
        <f>TEXT(Table1[[#This Row],[Order_Date]],"mmmm")</f>
        <v>June</v>
      </c>
      <c r="D454">
        <f>YEAR(Table1[[#This Row],[Order_Date]])</f>
        <v>2024</v>
      </c>
      <c r="E454" s="7">
        <v>45460</v>
      </c>
      <c r="F454" s="2" t="str">
        <f>VLOOKUP(Table1[[#This Row],[Customer_ID]],Customer_Dim!$A$2:$H$501,2,FALSE)</f>
        <v>David Ross</v>
      </c>
      <c r="G454" s="2" t="str">
        <f>_xlfn.XLOOKUP(Table1[[#This Row],[Customer_ID]],Customer_Dim!$A$2:$A$501,Customer_Dim!$E$2:$E$501)</f>
        <v>South Angela</v>
      </c>
      <c r="H454" t="s">
        <v>1243</v>
      </c>
      <c r="I454" t="str">
        <f>VLOOKUP(Table1[[#This Row],[Product_ID]],Product_Dim!$A$2:$G$101,2,FALSE)</f>
        <v>Men's Formal Shirt-Clothing</v>
      </c>
      <c r="J454" t="s">
        <v>1569</v>
      </c>
      <c r="K454" t="str">
        <f>VLOOKUP(Table1[[#This Row],[Store_ID]],Store_Dim!$A$3:$D$22,2,FALSE)</f>
        <v>Frederick-Wright-West</v>
      </c>
      <c r="L454" t="s">
        <v>1757</v>
      </c>
      <c r="M454" t="s">
        <v>3960</v>
      </c>
      <c r="N454" s="3">
        <v>425.06</v>
      </c>
      <c r="O454" s="4">
        <v>0.09</v>
      </c>
      <c r="P454" t="s">
        <v>1774</v>
      </c>
      <c r="Q454" s="4">
        <v>773.60919999999999</v>
      </c>
    </row>
    <row r="455" spans="1:17" x14ac:dyDescent="0.3">
      <c r="A455" t="s">
        <v>2227</v>
      </c>
      <c r="B455" t="str">
        <f t="shared" si="7"/>
        <v>Q1</v>
      </c>
      <c r="C455" t="str">
        <f>TEXT(Table1[[#This Row],[Order_Date]],"mmmm")</f>
        <v>January</v>
      </c>
      <c r="D455">
        <f>YEAR(Table1[[#This Row],[Order_Date]])</f>
        <v>2024</v>
      </c>
      <c r="E455" s="7">
        <v>45311</v>
      </c>
      <c r="F455" s="2" t="str">
        <f>VLOOKUP(Table1[[#This Row],[Customer_ID]],Customer_Dim!$A$2:$H$501,2,FALSE)</f>
        <v>John Mcknight</v>
      </c>
      <c r="G455" s="2" t="str">
        <f>_xlfn.XLOOKUP(Table1[[#This Row],[Customer_ID]],Customer_Dim!$A$2:$A$501,Customer_Dim!$E$2:$E$501)</f>
        <v>South Nathan</v>
      </c>
      <c r="H455" t="s">
        <v>433</v>
      </c>
      <c r="I455" t="str">
        <f>VLOOKUP(Table1[[#This Row],[Product_ID]],Product_Dim!$A$2:$G$101,2,FALSE)</f>
        <v>Ceramic Plant Pot-Home</v>
      </c>
      <c r="J455" t="s">
        <v>1633</v>
      </c>
      <c r="K455" t="str">
        <f>VLOOKUP(Table1[[#This Row],[Store_ID]],Store_Dim!$A$3:$D$22,2,FALSE)</f>
        <v>Rivera-Warner-East</v>
      </c>
      <c r="L455" t="s">
        <v>1725</v>
      </c>
      <c r="M455" t="s">
        <v>3960</v>
      </c>
      <c r="N455" s="3">
        <v>911.14</v>
      </c>
      <c r="O455" s="4">
        <v>0.1</v>
      </c>
      <c r="P455" t="s">
        <v>1772</v>
      </c>
      <c r="Q455" s="4">
        <v>1640.0519999999999</v>
      </c>
    </row>
    <row r="456" spans="1:17" x14ac:dyDescent="0.3">
      <c r="A456" t="s">
        <v>2228</v>
      </c>
      <c r="B456" t="str">
        <f t="shared" si="7"/>
        <v>Q3</v>
      </c>
      <c r="C456" t="str">
        <f>TEXT(Table1[[#This Row],[Order_Date]],"mmmm")</f>
        <v>September</v>
      </c>
      <c r="D456">
        <f>YEAR(Table1[[#This Row],[Order_Date]])</f>
        <v>2025</v>
      </c>
      <c r="E456" s="7">
        <v>45906</v>
      </c>
      <c r="F456" s="2" t="str">
        <f>VLOOKUP(Table1[[#This Row],[Customer_ID]],Customer_Dim!$A$2:$H$501,2,FALSE)</f>
        <v>Christy Hoffman</v>
      </c>
      <c r="G456" s="2" t="str">
        <f>_xlfn.XLOOKUP(Table1[[#This Row],[Customer_ID]],Customer_Dim!$A$2:$A$501,Customer_Dim!$E$2:$E$501)</f>
        <v>Garyberg</v>
      </c>
      <c r="H456" t="s">
        <v>301</v>
      </c>
      <c r="I456" t="str">
        <f>VLOOKUP(Table1[[#This Row],[Product_ID]],Product_Dim!$A$2:$G$101,2,FALSE)</f>
        <v>Wooden Nightstand-Home</v>
      </c>
      <c r="J456" t="s">
        <v>1659</v>
      </c>
      <c r="K456" t="str">
        <f>VLOOKUP(Table1[[#This Row],[Store_ID]],Store_Dim!$A$3:$D$22,2,FALSE)</f>
        <v>Bean, Jones and Park-West</v>
      </c>
      <c r="L456" t="s">
        <v>1744</v>
      </c>
      <c r="M456" t="s">
        <v>3958</v>
      </c>
      <c r="N456" s="3">
        <v>811.96</v>
      </c>
      <c r="O456" s="4">
        <v>0.28999999999999998</v>
      </c>
      <c r="P456" t="s">
        <v>1772</v>
      </c>
      <c r="Q456" s="4">
        <v>1729.4748</v>
      </c>
    </row>
    <row r="457" spans="1:17" x14ac:dyDescent="0.3">
      <c r="A457" t="s">
        <v>2229</v>
      </c>
      <c r="B457" t="str">
        <f t="shared" si="7"/>
        <v>Q1</v>
      </c>
      <c r="C457" t="str">
        <f>TEXT(Table1[[#This Row],[Order_Date]],"mmmm")</f>
        <v>March</v>
      </c>
      <c r="D457">
        <f>YEAR(Table1[[#This Row],[Order_Date]])</f>
        <v>2024</v>
      </c>
      <c r="E457" s="7">
        <v>45380</v>
      </c>
      <c r="F457" s="2" t="str">
        <f>VLOOKUP(Table1[[#This Row],[Customer_ID]],Customer_Dim!$A$2:$H$501,2,FALSE)</f>
        <v>Samantha Robinson</v>
      </c>
      <c r="G457" s="2" t="str">
        <f>_xlfn.XLOOKUP(Table1[[#This Row],[Customer_ID]],Customer_Dim!$A$2:$A$501,Customer_Dim!$E$2:$E$501)</f>
        <v>North Roy</v>
      </c>
      <c r="H457" t="s">
        <v>861</v>
      </c>
      <c r="I457" t="str">
        <f>VLOOKUP(Table1[[#This Row],[Product_ID]],Product_Dim!$A$2:$G$101,2,FALSE)</f>
        <v>Basketball-Sports</v>
      </c>
      <c r="J457" t="s">
        <v>1585</v>
      </c>
      <c r="K457" t="str">
        <f>VLOOKUP(Table1[[#This Row],[Store_ID]],Store_Dim!$A$3:$D$22,2,FALSE)</f>
        <v>Hill, Wagner and Ballard-East</v>
      </c>
      <c r="L457" t="s">
        <v>1748</v>
      </c>
      <c r="M457" t="s">
        <v>3960</v>
      </c>
      <c r="N457" s="3">
        <v>780.05</v>
      </c>
      <c r="O457" s="4">
        <v>0.12</v>
      </c>
      <c r="P457" t="s">
        <v>1777</v>
      </c>
      <c r="Q457" s="4">
        <v>1372.8879999999999</v>
      </c>
    </row>
    <row r="458" spans="1:17" x14ac:dyDescent="0.3">
      <c r="A458" t="s">
        <v>2230</v>
      </c>
      <c r="B458" t="str">
        <f t="shared" si="7"/>
        <v>Q3</v>
      </c>
      <c r="C458" t="str">
        <f>TEXT(Table1[[#This Row],[Order_Date]],"mmmm")</f>
        <v>August</v>
      </c>
      <c r="D458">
        <f>YEAR(Table1[[#This Row],[Order_Date]])</f>
        <v>2024</v>
      </c>
      <c r="E458" s="7">
        <v>45527</v>
      </c>
      <c r="F458" s="2" t="str">
        <f>VLOOKUP(Table1[[#This Row],[Customer_ID]],Customer_Dim!$A$2:$H$501,2,FALSE)</f>
        <v>Steve Medina</v>
      </c>
      <c r="G458" s="2" t="str">
        <f>_xlfn.XLOOKUP(Table1[[#This Row],[Customer_ID]],Customer_Dim!$A$2:$A$501,Customer_Dim!$E$2:$E$501)</f>
        <v>East Josephside</v>
      </c>
      <c r="H458" t="s">
        <v>693</v>
      </c>
      <c r="I458" t="str">
        <f>VLOOKUP(Table1[[#This Row],[Product_ID]],Product_Dim!$A$2:$G$101,2,FALSE)</f>
        <v>Vitamin C Face Serum-Beauty</v>
      </c>
      <c r="J458" t="s">
        <v>1587</v>
      </c>
      <c r="K458" t="str">
        <f>VLOOKUP(Table1[[#This Row],[Store_ID]],Store_Dim!$A$3:$D$22,2,FALSE)</f>
        <v>Moore, Padilla and Butler-South</v>
      </c>
      <c r="L458" t="s">
        <v>1746</v>
      </c>
      <c r="M458" t="s">
        <v>3959</v>
      </c>
      <c r="N458" s="3">
        <v>315.95</v>
      </c>
      <c r="O458" s="4">
        <v>0.19</v>
      </c>
      <c r="P458" t="s">
        <v>1777</v>
      </c>
      <c r="Q458" s="4">
        <v>1023.678</v>
      </c>
    </row>
    <row r="459" spans="1:17" x14ac:dyDescent="0.3">
      <c r="A459" t="s">
        <v>2231</v>
      </c>
      <c r="B459" t="str">
        <f t="shared" si="7"/>
        <v>Q2</v>
      </c>
      <c r="C459" t="str">
        <f>TEXT(Table1[[#This Row],[Order_Date]],"mmmm")</f>
        <v>May</v>
      </c>
      <c r="D459">
        <f>YEAR(Table1[[#This Row],[Order_Date]])</f>
        <v>2025</v>
      </c>
      <c r="E459" s="7">
        <v>45796</v>
      </c>
      <c r="F459" s="2" t="str">
        <f>VLOOKUP(Table1[[#This Row],[Customer_ID]],Customer_Dim!$A$2:$H$501,2,FALSE)</f>
        <v>Tanner Thompson</v>
      </c>
      <c r="G459" s="2" t="str">
        <f>_xlfn.XLOOKUP(Table1[[#This Row],[Customer_ID]],Customer_Dim!$A$2:$A$501,Customer_Dim!$E$2:$E$501)</f>
        <v>Port Lisashire</v>
      </c>
      <c r="H459" t="s">
        <v>731</v>
      </c>
      <c r="I459" t="str">
        <f>VLOOKUP(Table1[[#This Row],[Product_ID]],Product_Dim!$A$2:$G$101,2,FALSE)</f>
        <v>Rugby Ball-Sports</v>
      </c>
      <c r="J459" t="s">
        <v>1627</v>
      </c>
      <c r="K459" t="str">
        <f>VLOOKUP(Table1[[#This Row],[Store_ID]],Store_Dim!$A$3:$D$22,2,FALSE)</f>
        <v>Moore, Padilla and Butler-South</v>
      </c>
      <c r="L459" t="s">
        <v>1746</v>
      </c>
      <c r="M459" t="s">
        <v>3960</v>
      </c>
      <c r="N459" s="3">
        <v>810.17</v>
      </c>
      <c r="O459" s="4">
        <v>0.27</v>
      </c>
      <c r="P459" t="s">
        <v>1772</v>
      </c>
      <c r="Q459" s="4">
        <v>1182.8481999999999</v>
      </c>
    </row>
    <row r="460" spans="1:17" x14ac:dyDescent="0.3">
      <c r="A460" t="s">
        <v>2232</v>
      </c>
      <c r="B460" t="str">
        <f t="shared" si="7"/>
        <v>Q2</v>
      </c>
      <c r="C460" t="str">
        <f>TEXT(Table1[[#This Row],[Order_Date]],"mmmm")</f>
        <v>April</v>
      </c>
      <c r="D460">
        <f>YEAR(Table1[[#This Row],[Order_Date]])</f>
        <v>2024</v>
      </c>
      <c r="E460" s="7">
        <v>45389</v>
      </c>
      <c r="F460" s="2" t="str">
        <f>VLOOKUP(Table1[[#This Row],[Customer_ID]],Customer_Dim!$A$2:$H$501,2,FALSE)</f>
        <v>Michelle Carpenter</v>
      </c>
      <c r="G460" s="2" t="str">
        <f>_xlfn.XLOOKUP(Table1[[#This Row],[Customer_ID]],Customer_Dim!$A$2:$A$501,Customer_Dim!$E$2:$E$501)</f>
        <v>Lake Danielleton</v>
      </c>
      <c r="H460" t="s">
        <v>663</v>
      </c>
      <c r="I460" t="str">
        <f>VLOOKUP(Table1[[#This Row],[Product_ID]],Product_Dim!$A$2:$G$101,2,FALSE)</f>
        <v>Wooden Bookshelf-Home</v>
      </c>
      <c r="J460" t="s">
        <v>1691</v>
      </c>
      <c r="K460" t="str">
        <f>VLOOKUP(Table1[[#This Row],[Store_ID]],Store_Dim!$A$3:$D$22,2,FALSE)</f>
        <v>Alexander Group-South</v>
      </c>
      <c r="L460" t="s">
        <v>1735</v>
      </c>
      <c r="M460" t="s">
        <v>3958</v>
      </c>
      <c r="N460" s="3">
        <v>505.01</v>
      </c>
      <c r="O460" s="4">
        <v>0.02</v>
      </c>
      <c r="P460" t="s">
        <v>1774</v>
      </c>
      <c r="Q460" s="4">
        <v>1484.7293999999999</v>
      </c>
    </row>
    <row r="461" spans="1:17" x14ac:dyDescent="0.3">
      <c r="A461" t="s">
        <v>2233</v>
      </c>
      <c r="B461" t="str">
        <f t="shared" si="7"/>
        <v>Q1</v>
      </c>
      <c r="C461" t="str">
        <f>TEXT(Table1[[#This Row],[Order_Date]],"mmmm")</f>
        <v>January</v>
      </c>
      <c r="D461">
        <f>YEAR(Table1[[#This Row],[Order_Date]])</f>
        <v>2024</v>
      </c>
      <c r="E461" s="7">
        <v>45315</v>
      </c>
      <c r="F461" s="2" t="str">
        <f>VLOOKUP(Table1[[#This Row],[Customer_ID]],Customer_Dim!$A$2:$H$501,2,FALSE)</f>
        <v>Michael Foley</v>
      </c>
      <c r="G461" s="2" t="str">
        <f>_xlfn.XLOOKUP(Table1[[#This Row],[Customer_ID]],Customer_Dim!$A$2:$A$501,Customer_Dim!$E$2:$E$501)</f>
        <v>Oneillfurt</v>
      </c>
      <c r="H461" t="s">
        <v>1424</v>
      </c>
      <c r="I461" t="str">
        <f>VLOOKUP(Table1[[#This Row],[Product_ID]],Product_Dim!$A$2:$G$101,2,FALSE)</f>
        <v>Professional Jump Rope-Sports</v>
      </c>
      <c r="J461" t="s">
        <v>1667</v>
      </c>
      <c r="K461" t="str">
        <f>VLOOKUP(Table1[[#This Row],[Store_ID]],Store_Dim!$A$3:$D$22,2,FALSE)</f>
        <v>Holloway Ltd-North</v>
      </c>
      <c r="L461" t="s">
        <v>1759</v>
      </c>
      <c r="M461" t="s">
        <v>3960</v>
      </c>
      <c r="N461" s="3">
        <v>736.75</v>
      </c>
      <c r="O461" s="4">
        <v>0.18</v>
      </c>
      <c r="P461" t="s">
        <v>1772</v>
      </c>
      <c r="Q461" s="4">
        <v>1208.27</v>
      </c>
    </row>
    <row r="462" spans="1:17" x14ac:dyDescent="0.3">
      <c r="A462" t="s">
        <v>2234</v>
      </c>
      <c r="B462" t="str">
        <f t="shared" si="7"/>
        <v>Q1</v>
      </c>
      <c r="C462" t="str">
        <f>TEXT(Table1[[#This Row],[Order_Date]],"mmmm")</f>
        <v>January</v>
      </c>
      <c r="D462">
        <f>YEAR(Table1[[#This Row],[Order_Date]])</f>
        <v>2024</v>
      </c>
      <c r="E462" s="7">
        <v>45311</v>
      </c>
      <c r="F462" s="2" t="str">
        <f>VLOOKUP(Table1[[#This Row],[Customer_ID]],Customer_Dim!$A$2:$H$501,2,FALSE)</f>
        <v>Leslie Johnson</v>
      </c>
      <c r="G462" s="2" t="str">
        <f>_xlfn.XLOOKUP(Table1[[#This Row],[Customer_ID]],Customer_Dim!$A$2:$A$501,Customer_Dim!$E$2:$E$501)</f>
        <v>Mollyshire</v>
      </c>
      <c r="H462" t="s">
        <v>114</v>
      </c>
      <c r="I462" t="str">
        <f>VLOOKUP(Table1[[#This Row],[Product_ID]],Product_Dim!$A$2:$G$101,2,FALSE)</f>
        <v>WiFi Mesh Router-Electronics</v>
      </c>
      <c r="J462" t="s">
        <v>1677</v>
      </c>
      <c r="K462" t="str">
        <f>VLOOKUP(Table1[[#This Row],[Store_ID]],Store_Dim!$A$3:$D$22,2,FALSE)</f>
        <v>Moore, Padilla and Butler-South</v>
      </c>
      <c r="L462" t="s">
        <v>1746</v>
      </c>
      <c r="M462" t="s">
        <v>3959</v>
      </c>
      <c r="N462" s="3">
        <v>700.31</v>
      </c>
      <c r="O462" s="4">
        <v>0.2</v>
      </c>
      <c r="P462" t="s">
        <v>1774</v>
      </c>
      <c r="Q462" s="4">
        <v>2240.9920000000002</v>
      </c>
    </row>
    <row r="463" spans="1:17" x14ac:dyDescent="0.3">
      <c r="A463" t="s">
        <v>2235</v>
      </c>
      <c r="B463" t="str">
        <f t="shared" si="7"/>
        <v>Q4</v>
      </c>
      <c r="C463" t="str">
        <f>TEXT(Table1[[#This Row],[Order_Date]],"mmmm")</f>
        <v>December</v>
      </c>
      <c r="D463">
        <f>YEAR(Table1[[#This Row],[Order_Date]])</f>
        <v>2023</v>
      </c>
      <c r="E463" s="7">
        <v>45270</v>
      </c>
      <c r="F463" s="2" t="str">
        <f>VLOOKUP(Table1[[#This Row],[Customer_ID]],Customer_Dim!$A$2:$H$501,2,FALSE)</f>
        <v>Jessica Mitchell</v>
      </c>
      <c r="G463" s="2" t="str">
        <f>_xlfn.XLOOKUP(Table1[[#This Row],[Customer_ID]],Customer_Dim!$A$2:$A$501,Customer_Dim!$E$2:$E$501)</f>
        <v>Matthewbury</v>
      </c>
      <c r="H463" t="s">
        <v>439</v>
      </c>
      <c r="I463" t="str">
        <f>VLOOKUP(Table1[[#This Row],[Product_ID]],Product_Dim!$A$2:$G$101,2,FALSE)</f>
        <v>Women's High Heels-Clothing</v>
      </c>
      <c r="J463" t="s">
        <v>1705</v>
      </c>
      <c r="K463" t="str">
        <f>VLOOKUP(Table1[[#This Row],[Store_ID]],Store_Dim!$A$3:$D$22,2,FALSE)</f>
        <v>Aguirre-Keller-South</v>
      </c>
      <c r="L463" t="s">
        <v>1750</v>
      </c>
      <c r="M463" t="s">
        <v>3959</v>
      </c>
      <c r="N463" s="3">
        <v>202.46</v>
      </c>
      <c r="O463" s="4">
        <v>0.24</v>
      </c>
      <c r="P463" t="s">
        <v>1772</v>
      </c>
      <c r="Q463" s="4">
        <v>615.47840000000008</v>
      </c>
    </row>
    <row r="464" spans="1:17" x14ac:dyDescent="0.3">
      <c r="A464" t="s">
        <v>2236</v>
      </c>
      <c r="B464" t="str">
        <f t="shared" si="7"/>
        <v>Q4</v>
      </c>
      <c r="C464" t="str">
        <f>TEXT(Table1[[#This Row],[Order_Date]],"mmmm")</f>
        <v>December</v>
      </c>
      <c r="D464">
        <f>YEAR(Table1[[#This Row],[Order_Date]])</f>
        <v>2023</v>
      </c>
      <c r="E464" s="7">
        <v>45279</v>
      </c>
      <c r="F464" s="2" t="str">
        <f>VLOOKUP(Table1[[#This Row],[Customer_ID]],Customer_Dim!$A$2:$H$501,2,FALSE)</f>
        <v>Tracy Kelly</v>
      </c>
      <c r="G464" s="2" t="str">
        <f>_xlfn.XLOOKUP(Table1[[#This Row],[Customer_ID]],Customer_Dim!$A$2:$A$501,Customer_Dim!$E$2:$E$501)</f>
        <v>West Jamieport</v>
      </c>
      <c r="H464" t="s">
        <v>839</v>
      </c>
      <c r="I464" t="str">
        <f>VLOOKUP(Table1[[#This Row],[Product_ID]],Product_Dim!$A$2:$G$101,2,FALSE)</f>
        <v>LED Bedside Lamp-Home</v>
      </c>
      <c r="J464" t="s">
        <v>1697</v>
      </c>
      <c r="K464" t="str">
        <f>VLOOKUP(Table1[[#This Row],[Store_ID]],Store_Dim!$A$3:$D$22,2,FALSE)</f>
        <v>Martinez, Adkins and Johnson-North</v>
      </c>
      <c r="L464" t="s">
        <v>1728</v>
      </c>
      <c r="M464" t="s">
        <v>3960</v>
      </c>
      <c r="N464" s="3">
        <v>291.83999999999997</v>
      </c>
      <c r="O464" s="4">
        <v>0.25</v>
      </c>
      <c r="P464" t="s">
        <v>1774</v>
      </c>
      <c r="Q464" s="4">
        <v>437.76</v>
      </c>
    </row>
    <row r="465" spans="1:17" x14ac:dyDescent="0.3">
      <c r="A465" t="s">
        <v>2237</v>
      </c>
      <c r="B465" t="str">
        <f t="shared" si="7"/>
        <v>Q4</v>
      </c>
      <c r="C465" t="str">
        <f>TEXT(Table1[[#This Row],[Order_Date]],"mmmm")</f>
        <v>November</v>
      </c>
      <c r="D465">
        <f>YEAR(Table1[[#This Row],[Order_Date]])</f>
        <v>2023</v>
      </c>
      <c r="E465" s="7">
        <v>45252</v>
      </c>
      <c r="F465" s="2" t="str">
        <f>VLOOKUP(Table1[[#This Row],[Customer_ID]],Customer_Dim!$A$2:$H$501,2,FALSE)</f>
        <v>Joseph Jones</v>
      </c>
      <c r="G465" s="2" t="str">
        <f>_xlfn.XLOOKUP(Table1[[#This Row],[Customer_ID]],Customer_Dim!$A$2:$A$501,Customer_Dim!$E$2:$E$501)</f>
        <v>North Matthew</v>
      </c>
      <c r="H465" t="s">
        <v>539</v>
      </c>
      <c r="I465" t="str">
        <f>VLOOKUP(Table1[[#This Row],[Product_ID]],Product_Dim!$A$2:$G$101,2,FALSE)</f>
        <v>Cricket Bat-Sports</v>
      </c>
      <c r="J465" t="s">
        <v>1717</v>
      </c>
      <c r="K465" t="str">
        <f>VLOOKUP(Table1[[#This Row],[Store_ID]],Store_Dim!$A$3:$D$22,2,FALSE)</f>
        <v>Gray Ltd-North</v>
      </c>
      <c r="L465" t="s">
        <v>1738</v>
      </c>
      <c r="M465" t="s">
        <v>3960</v>
      </c>
      <c r="N465" s="3">
        <v>261.48</v>
      </c>
      <c r="O465" s="4">
        <v>0.17</v>
      </c>
      <c r="P465" t="s">
        <v>1772</v>
      </c>
      <c r="Q465" s="4">
        <v>434.05680000000001</v>
      </c>
    </row>
    <row r="466" spans="1:17" x14ac:dyDescent="0.3">
      <c r="A466" t="s">
        <v>2238</v>
      </c>
      <c r="B466" t="str">
        <f t="shared" si="7"/>
        <v>Q4</v>
      </c>
      <c r="C466" t="str">
        <f>TEXT(Table1[[#This Row],[Order_Date]],"mmmm")</f>
        <v>October</v>
      </c>
      <c r="D466">
        <f>YEAR(Table1[[#This Row],[Order_Date]])</f>
        <v>2025</v>
      </c>
      <c r="E466" s="7">
        <v>45938</v>
      </c>
      <c r="F466" s="2" t="str">
        <f>VLOOKUP(Table1[[#This Row],[Customer_ID]],Customer_Dim!$A$2:$H$501,2,FALSE)</f>
        <v>Matthew Avery</v>
      </c>
      <c r="G466" s="2" t="str">
        <f>_xlfn.XLOOKUP(Table1[[#This Row],[Customer_ID]],Customer_Dim!$A$2:$A$501,Customer_Dim!$E$2:$E$501)</f>
        <v>Lake Melissashire</v>
      </c>
      <c r="H466" t="s">
        <v>939</v>
      </c>
      <c r="I466" t="str">
        <f>VLOOKUP(Table1[[#This Row],[Product_ID]],Product_Dim!$A$2:$G$101,2,FALSE)</f>
        <v>Women's Summer Dress-Clothing</v>
      </c>
      <c r="J466" t="s">
        <v>1595</v>
      </c>
      <c r="K466" t="str">
        <f>VLOOKUP(Table1[[#This Row],[Store_ID]],Store_Dim!$A$3:$D$22,2,FALSE)</f>
        <v>Mcdonald Inc-South</v>
      </c>
      <c r="L466" t="s">
        <v>1754</v>
      </c>
      <c r="M466" t="s">
        <v>3957</v>
      </c>
      <c r="N466" s="3">
        <v>850.83</v>
      </c>
      <c r="O466" s="4">
        <v>0.28000000000000003</v>
      </c>
      <c r="P466" t="s">
        <v>1774</v>
      </c>
      <c r="Q466" s="4">
        <v>612.59760000000006</v>
      </c>
    </row>
    <row r="467" spans="1:17" x14ac:dyDescent="0.3">
      <c r="A467" t="s">
        <v>2239</v>
      </c>
      <c r="B467" t="str">
        <f t="shared" si="7"/>
        <v>Q1</v>
      </c>
      <c r="C467" t="str">
        <f>TEXT(Table1[[#This Row],[Order_Date]],"mmmm")</f>
        <v>February</v>
      </c>
      <c r="D467">
        <f>YEAR(Table1[[#This Row],[Order_Date]])</f>
        <v>2025</v>
      </c>
      <c r="E467" s="7">
        <v>45711</v>
      </c>
      <c r="F467" s="2" t="str">
        <f>VLOOKUP(Table1[[#This Row],[Customer_ID]],Customer_Dim!$A$2:$H$501,2,FALSE)</f>
        <v>Eric Wolfe</v>
      </c>
      <c r="G467" s="2" t="str">
        <f>_xlfn.XLOOKUP(Table1[[#This Row],[Customer_ID]],Customer_Dim!$A$2:$A$501,Customer_Dim!$E$2:$E$501)</f>
        <v>Garciaview</v>
      </c>
      <c r="H467" t="s">
        <v>1246</v>
      </c>
      <c r="I467" t="str">
        <f>VLOOKUP(Table1[[#This Row],[Product_ID]],Product_Dim!$A$2:$G$101,2,FALSE)</f>
        <v>Men's Winter Jacket-Clothing</v>
      </c>
      <c r="J467" t="s">
        <v>1615</v>
      </c>
      <c r="K467" t="str">
        <f>VLOOKUP(Table1[[#This Row],[Store_ID]],Store_Dim!$A$3:$D$22,2,FALSE)</f>
        <v>Moore, Padilla and Butler-South</v>
      </c>
      <c r="L467" t="s">
        <v>1746</v>
      </c>
      <c r="M467" t="s">
        <v>3957</v>
      </c>
      <c r="N467" s="3">
        <v>83.83</v>
      </c>
      <c r="O467" s="4">
        <v>0.05</v>
      </c>
      <c r="P467" t="s">
        <v>1772</v>
      </c>
      <c r="Q467" s="4">
        <v>79.638499999999993</v>
      </c>
    </row>
    <row r="468" spans="1:17" x14ac:dyDescent="0.3">
      <c r="A468" t="s">
        <v>2240</v>
      </c>
      <c r="B468" t="str">
        <f t="shared" si="7"/>
        <v>Q1</v>
      </c>
      <c r="C468" t="str">
        <f>TEXT(Table1[[#This Row],[Order_Date]],"mmmm")</f>
        <v>February</v>
      </c>
      <c r="D468">
        <f>YEAR(Table1[[#This Row],[Order_Date]])</f>
        <v>2025</v>
      </c>
      <c r="E468" s="7">
        <v>45713</v>
      </c>
      <c r="F468" s="2" t="str">
        <f>VLOOKUP(Table1[[#This Row],[Customer_ID]],Customer_Dim!$A$2:$H$501,2,FALSE)</f>
        <v>Amber Jackson</v>
      </c>
      <c r="G468" s="2" t="str">
        <f>_xlfn.XLOOKUP(Table1[[#This Row],[Customer_ID]],Customer_Dim!$A$2:$A$501,Customer_Dim!$E$2:$E$501)</f>
        <v>Deborahborough</v>
      </c>
      <c r="H468" t="s">
        <v>36</v>
      </c>
      <c r="I468" t="str">
        <f>VLOOKUP(Table1[[#This Row],[Product_ID]],Product_Dim!$A$2:$G$101,2,FALSE)</f>
        <v>Sports Wrist Sweatbands-Sports</v>
      </c>
      <c r="J468" t="s">
        <v>1699</v>
      </c>
      <c r="K468" t="str">
        <f>VLOOKUP(Table1[[#This Row],[Store_ID]],Store_Dim!$A$3:$D$22,2,FALSE)</f>
        <v>Frederick-Wright-West</v>
      </c>
      <c r="L468" t="s">
        <v>1757</v>
      </c>
      <c r="M468" t="s">
        <v>3958</v>
      </c>
      <c r="N468" s="3">
        <v>649.95000000000005</v>
      </c>
      <c r="O468" s="4">
        <v>0.28000000000000003</v>
      </c>
      <c r="P468" t="s">
        <v>1777</v>
      </c>
      <c r="Q468" s="4">
        <v>1403.8920000000001</v>
      </c>
    </row>
    <row r="469" spans="1:17" x14ac:dyDescent="0.3">
      <c r="A469" t="s">
        <v>2241</v>
      </c>
      <c r="B469" t="str">
        <f t="shared" si="7"/>
        <v>Q3</v>
      </c>
      <c r="C469" t="str">
        <f>TEXT(Table1[[#This Row],[Order_Date]],"mmmm")</f>
        <v>September</v>
      </c>
      <c r="D469">
        <f>YEAR(Table1[[#This Row],[Order_Date]])</f>
        <v>2024</v>
      </c>
      <c r="E469" s="7">
        <v>45565</v>
      </c>
      <c r="F469" s="2" t="str">
        <f>VLOOKUP(Table1[[#This Row],[Customer_ID]],Customer_Dim!$A$2:$H$501,2,FALSE)</f>
        <v>Mallory Allen</v>
      </c>
      <c r="G469" s="2" t="str">
        <f>_xlfn.XLOOKUP(Table1[[#This Row],[Customer_ID]],Customer_Dim!$A$2:$A$501,Customer_Dim!$E$2:$E$501)</f>
        <v>North Theresa</v>
      </c>
      <c r="H469" t="s">
        <v>1132</v>
      </c>
      <c r="I469" t="str">
        <f>VLOOKUP(Table1[[#This Row],[Product_ID]],Product_Dim!$A$2:$G$101,2,FALSE)</f>
        <v>Shin Guards – Adult-Sports</v>
      </c>
      <c r="J469" t="s">
        <v>1669</v>
      </c>
      <c r="K469" t="str">
        <f>VLOOKUP(Table1[[#This Row],[Store_ID]],Store_Dim!$A$3:$D$22,2,FALSE)</f>
        <v>Benson-Elliott-East</v>
      </c>
      <c r="L469" t="s">
        <v>1740</v>
      </c>
      <c r="M469" t="s">
        <v>3959</v>
      </c>
      <c r="N469" s="3">
        <v>934.96</v>
      </c>
      <c r="O469" s="4">
        <v>0.18</v>
      </c>
      <c r="P469" t="s">
        <v>1774</v>
      </c>
      <c r="Q469" s="4">
        <v>3066.6687999999999</v>
      </c>
    </row>
    <row r="470" spans="1:17" x14ac:dyDescent="0.3">
      <c r="A470" t="s">
        <v>2242</v>
      </c>
      <c r="B470" t="str">
        <f t="shared" si="7"/>
        <v>Q4</v>
      </c>
      <c r="C470" t="str">
        <f>TEXT(Table1[[#This Row],[Order_Date]],"mmmm")</f>
        <v>December</v>
      </c>
      <c r="D470">
        <f>YEAR(Table1[[#This Row],[Order_Date]])</f>
        <v>2023</v>
      </c>
      <c r="E470" s="7">
        <v>45279</v>
      </c>
      <c r="F470" s="2" t="str">
        <f>VLOOKUP(Table1[[#This Row],[Customer_ID]],Customer_Dim!$A$2:$H$501,2,FALSE)</f>
        <v>Ronald Jones</v>
      </c>
      <c r="G470" s="2" t="str">
        <f>_xlfn.XLOOKUP(Table1[[#This Row],[Customer_ID]],Customer_Dim!$A$2:$A$501,Customer_Dim!$E$2:$E$501)</f>
        <v>Brownshire</v>
      </c>
      <c r="H470" t="s">
        <v>666</v>
      </c>
      <c r="I470" t="str">
        <f>VLOOKUP(Table1[[#This Row],[Product_ID]],Product_Dim!$A$2:$G$101,2,FALSE)</f>
        <v>Soccer Training Cone Set-Sports</v>
      </c>
      <c r="J470" t="s">
        <v>1557</v>
      </c>
      <c r="K470" t="str">
        <f>VLOOKUP(Table1[[#This Row],[Store_ID]],Store_Dim!$A$3:$D$22,2,FALSE)</f>
        <v>Mcdonald Inc-South</v>
      </c>
      <c r="L470" t="s">
        <v>1754</v>
      </c>
      <c r="M470" t="s">
        <v>3957</v>
      </c>
      <c r="N470" s="3">
        <v>880.89</v>
      </c>
      <c r="O470" s="4">
        <v>0.13</v>
      </c>
      <c r="P470" t="s">
        <v>1777</v>
      </c>
      <c r="Q470" s="4">
        <v>766.37429999999995</v>
      </c>
    </row>
    <row r="471" spans="1:17" x14ac:dyDescent="0.3">
      <c r="A471" t="s">
        <v>2243</v>
      </c>
      <c r="B471" t="str">
        <f t="shared" si="7"/>
        <v>Q4</v>
      </c>
      <c r="C471" t="str">
        <f>TEXT(Table1[[#This Row],[Order_Date]],"mmmm")</f>
        <v>November</v>
      </c>
      <c r="D471">
        <f>YEAR(Table1[[#This Row],[Order_Date]])</f>
        <v>2024</v>
      </c>
      <c r="E471" s="7">
        <v>45614</v>
      </c>
      <c r="F471" s="2" t="str">
        <f>VLOOKUP(Table1[[#This Row],[Customer_ID]],Customer_Dim!$A$2:$H$501,2,FALSE)</f>
        <v>Andrea Harris</v>
      </c>
      <c r="G471" s="2" t="str">
        <f>_xlfn.XLOOKUP(Table1[[#This Row],[Customer_ID]],Customer_Dim!$A$2:$A$501,Customer_Dim!$E$2:$E$501)</f>
        <v>West Kelseyberg</v>
      </c>
      <c r="H471" t="s">
        <v>1453</v>
      </c>
      <c r="I471" t="str">
        <f>VLOOKUP(Table1[[#This Row],[Product_ID]],Product_Dim!$A$2:$G$101,2,FALSE)</f>
        <v>Portable Bluetooth Speaker-Electronics</v>
      </c>
      <c r="J471" t="s">
        <v>1719</v>
      </c>
      <c r="K471" t="str">
        <f>VLOOKUP(Table1[[#This Row],[Store_ID]],Store_Dim!$A$3:$D$22,2,FALSE)</f>
        <v>Bean, Jones and Park-West</v>
      </c>
      <c r="L471" t="s">
        <v>1744</v>
      </c>
      <c r="M471" t="s">
        <v>3959</v>
      </c>
      <c r="N471" s="3">
        <v>610.6</v>
      </c>
      <c r="O471" s="4">
        <v>0.1</v>
      </c>
      <c r="P471" t="s">
        <v>1774</v>
      </c>
      <c r="Q471" s="4">
        <v>2198.16</v>
      </c>
    </row>
    <row r="472" spans="1:17" x14ac:dyDescent="0.3">
      <c r="A472" t="s">
        <v>2244</v>
      </c>
      <c r="B472" t="str">
        <f t="shared" si="7"/>
        <v>Q3</v>
      </c>
      <c r="C472" t="str">
        <f>TEXT(Table1[[#This Row],[Order_Date]],"mmmm")</f>
        <v>September</v>
      </c>
      <c r="D472">
        <f>YEAR(Table1[[#This Row],[Order_Date]])</f>
        <v>2025</v>
      </c>
      <c r="E472" s="7">
        <v>45912</v>
      </c>
      <c r="F472" s="2" t="str">
        <f>VLOOKUP(Table1[[#This Row],[Customer_ID]],Customer_Dim!$A$2:$H$501,2,FALSE)</f>
        <v>Rhonda Morales</v>
      </c>
      <c r="G472" s="2" t="str">
        <f>_xlfn.XLOOKUP(Table1[[#This Row],[Customer_ID]],Customer_Dim!$A$2:$A$501,Customer_Dim!$E$2:$E$501)</f>
        <v>Lake Barryfurt</v>
      </c>
      <c r="H472" t="s">
        <v>272</v>
      </c>
      <c r="I472" t="str">
        <f>VLOOKUP(Table1[[#This Row],[Product_ID]],Product_Dim!$A$2:$G$101,2,FALSE)</f>
        <v>Sports Stopwatch Timer-Sports</v>
      </c>
      <c r="J472" t="s">
        <v>1579</v>
      </c>
      <c r="K472" t="str">
        <f>VLOOKUP(Table1[[#This Row],[Store_ID]],Store_Dim!$A$3:$D$22,2,FALSE)</f>
        <v>Guerrero-Schmitt-East</v>
      </c>
      <c r="L472" t="s">
        <v>1761</v>
      </c>
      <c r="M472" t="s">
        <v>3957</v>
      </c>
      <c r="N472" s="3">
        <v>514.19000000000005</v>
      </c>
      <c r="O472" s="4">
        <v>0.2</v>
      </c>
      <c r="P472" t="s">
        <v>1772</v>
      </c>
      <c r="Q472" s="4">
        <v>411.35200000000009</v>
      </c>
    </row>
    <row r="473" spans="1:17" x14ac:dyDescent="0.3">
      <c r="A473" t="s">
        <v>2245</v>
      </c>
      <c r="B473" t="str">
        <f t="shared" si="7"/>
        <v>Q1</v>
      </c>
      <c r="C473" t="str">
        <f>TEXT(Table1[[#This Row],[Order_Date]],"mmmm")</f>
        <v>January</v>
      </c>
      <c r="D473">
        <f>YEAR(Table1[[#This Row],[Order_Date]])</f>
        <v>2025</v>
      </c>
      <c r="E473" s="7">
        <v>45688</v>
      </c>
      <c r="F473" s="2" t="str">
        <f>VLOOKUP(Table1[[#This Row],[Customer_ID]],Customer_Dim!$A$2:$H$501,2,FALSE)</f>
        <v>John Donaldson</v>
      </c>
      <c r="G473" s="2" t="str">
        <f>_xlfn.XLOOKUP(Table1[[#This Row],[Customer_ID]],Customer_Dim!$A$2:$A$501,Customer_Dim!$E$2:$E$501)</f>
        <v>New Edward</v>
      </c>
      <c r="H473" t="s">
        <v>1229</v>
      </c>
      <c r="I473" t="str">
        <f>VLOOKUP(Table1[[#This Row],[Product_ID]],Product_Dim!$A$2:$G$101,2,FALSE)</f>
        <v>Men's Casual Sneakers-Clothing</v>
      </c>
      <c r="J473" t="s">
        <v>1597</v>
      </c>
      <c r="K473" t="str">
        <f>VLOOKUP(Table1[[#This Row],[Store_ID]],Store_Dim!$A$3:$D$22,2,FALSE)</f>
        <v>Gardner, Humphrey and Contreras-East</v>
      </c>
      <c r="L473" t="s">
        <v>1753</v>
      </c>
      <c r="M473" t="s">
        <v>3957</v>
      </c>
      <c r="N473" s="3">
        <v>546.20000000000005</v>
      </c>
      <c r="O473" s="4">
        <v>0.22</v>
      </c>
      <c r="P473" t="s">
        <v>1774</v>
      </c>
      <c r="Q473" s="4">
        <v>426.03600000000012</v>
      </c>
    </row>
    <row r="474" spans="1:17" x14ac:dyDescent="0.3">
      <c r="A474" t="s">
        <v>2246</v>
      </c>
      <c r="B474" t="str">
        <f t="shared" si="7"/>
        <v>Q4</v>
      </c>
      <c r="C474" t="str">
        <f>TEXT(Table1[[#This Row],[Order_Date]],"mmmm")</f>
        <v>October</v>
      </c>
      <c r="D474">
        <f>YEAR(Table1[[#This Row],[Order_Date]])</f>
        <v>2024</v>
      </c>
      <c r="E474" s="7">
        <v>45591</v>
      </c>
      <c r="F474" s="2" t="str">
        <f>VLOOKUP(Table1[[#This Row],[Customer_ID]],Customer_Dim!$A$2:$H$501,2,FALSE)</f>
        <v>Andrea Jacobs</v>
      </c>
      <c r="G474" s="2" t="str">
        <f>_xlfn.XLOOKUP(Table1[[#This Row],[Customer_ID]],Customer_Dim!$A$2:$A$501,Customer_Dim!$E$2:$E$501)</f>
        <v>Christopherland</v>
      </c>
      <c r="H474" t="s">
        <v>640</v>
      </c>
      <c r="I474" t="str">
        <f>VLOOKUP(Table1[[#This Row],[Product_ID]],Product_Dim!$A$2:$G$101,2,FALSE)</f>
        <v>Men's Casual Sneakers-Clothing</v>
      </c>
      <c r="J474" t="s">
        <v>1597</v>
      </c>
      <c r="K474" t="str">
        <f>VLOOKUP(Table1[[#This Row],[Store_ID]],Store_Dim!$A$3:$D$22,2,FALSE)</f>
        <v>Rivera-Warner-East</v>
      </c>
      <c r="L474" t="s">
        <v>1725</v>
      </c>
      <c r="M474" t="s">
        <v>3958</v>
      </c>
      <c r="N474" s="3">
        <v>416.01</v>
      </c>
      <c r="O474" s="4">
        <v>0.02</v>
      </c>
      <c r="P474" t="s">
        <v>1772</v>
      </c>
      <c r="Q474" s="4">
        <v>1223.0694000000001</v>
      </c>
    </row>
    <row r="475" spans="1:17" x14ac:dyDescent="0.3">
      <c r="A475" t="s">
        <v>2247</v>
      </c>
      <c r="B475" t="str">
        <f t="shared" si="7"/>
        <v>Q3</v>
      </c>
      <c r="C475" t="str">
        <f>TEXT(Table1[[#This Row],[Order_Date]],"mmmm")</f>
        <v>July</v>
      </c>
      <c r="D475">
        <f>YEAR(Table1[[#This Row],[Order_Date]])</f>
        <v>2025</v>
      </c>
      <c r="E475" s="7">
        <v>45864</v>
      </c>
      <c r="F475" s="2" t="str">
        <f>VLOOKUP(Table1[[#This Row],[Customer_ID]],Customer_Dim!$A$2:$H$501,2,FALSE)</f>
        <v>Andrew Mason</v>
      </c>
      <c r="G475" s="2" t="str">
        <f>_xlfn.XLOOKUP(Table1[[#This Row],[Customer_ID]],Customer_Dim!$A$2:$A$501,Customer_Dim!$E$2:$E$501)</f>
        <v>North Michael</v>
      </c>
      <c r="H475" t="s">
        <v>1186</v>
      </c>
      <c r="I475" t="str">
        <f>VLOOKUP(Table1[[#This Row],[Product_ID]],Product_Dim!$A$2:$G$101,2,FALSE)</f>
        <v>Bluetooth Car Audio System-Electronics</v>
      </c>
      <c r="J475" t="s">
        <v>1671</v>
      </c>
      <c r="K475" t="str">
        <f>VLOOKUP(Table1[[#This Row],[Store_ID]],Store_Dim!$A$3:$D$22,2,FALSE)</f>
        <v>Hill, Wagner and Ballard-East</v>
      </c>
      <c r="L475" t="s">
        <v>1748</v>
      </c>
      <c r="M475" t="s">
        <v>3957</v>
      </c>
      <c r="N475" s="3">
        <v>30.94</v>
      </c>
      <c r="O475" s="4">
        <v>0.21</v>
      </c>
      <c r="P475" t="s">
        <v>1777</v>
      </c>
      <c r="Q475" s="4">
        <v>24.442599999999999</v>
      </c>
    </row>
    <row r="476" spans="1:17" x14ac:dyDescent="0.3">
      <c r="A476" t="s">
        <v>2248</v>
      </c>
      <c r="B476" t="str">
        <f t="shared" si="7"/>
        <v>Q3</v>
      </c>
      <c r="C476" t="str">
        <f>TEXT(Table1[[#This Row],[Order_Date]],"mmmm")</f>
        <v>August</v>
      </c>
      <c r="D476">
        <f>YEAR(Table1[[#This Row],[Order_Date]])</f>
        <v>2025</v>
      </c>
      <c r="E476" s="7">
        <v>45875</v>
      </c>
      <c r="F476" s="2" t="str">
        <f>VLOOKUP(Table1[[#This Row],[Customer_ID]],Customer_Dim!$A$2:$H$501,2,FALSE)</f>
        <v>Anna Perez</v>
      </c>
      <c r="G476" s="2" t="str">
        <f>_xlfn.XLOOKUP(Table1[[#This Row],[Customer_ID]],Customer_Dim!$A$2:$A$501,Customer_Dim!$E$2:$E$501)</f>
        <v>South Jerry</v>
      </c>
      <c r="H476" t="s">
        <v>648</v>
      </c>
      <c r="I476" t="str">
        <f>VLOOKUP(Table1[[#This Row],[Product_ID]],Product_Dim!$A$2:$G$101,2,FALSE)</f>
        <v>Womens Cotton Scarf-Clothing</v>
      </c>
      <c r="J476" t="s">
        <v>1639</v>
      </c>
      <c r="K476" t="str">
        <f>VLOOKUP(Table1[[#This Row],[Store_ID]],Store_Dim!$A$3:$D$22,2,FALSE)</f>
        <v>Frederick-Wright-West</v>
      </c>
      <c r="L476" t="s">
        <v>1757</v>
      </c>
      <c r="M476" t="s">
        <v>3958</v>
      </c>
      <c r="N476" s="3">
        <v>666.39</v>
      </c>
      <c r="O476" s="4">
        <v>0.21</v>
      </c>
      <c r="P476" t="s">
        <v>1777</v>
      </c>
      <c r="Q476" s="4">
        <v>1579.3443</v>
      </c>
    </row>
    <row r="477" spans="1:17" x14ac:dyDescent="0.3">
      <c r="A477" t="s">
        <v>2249</v>
      </c>
      <c r="B477" t="str">
        <f t="shared" si="7"/>
        <v>Q2</v>
      </c>
      <c r="C477" t="str">
        <f>TEXT(Table1[[#This Row],[Order_Date]],"mmmm")</f>
        <v>May</v>
      </c>
      <c r="D477">
        <f>YEAR(Table1[[#This Row],[Order_Date]])</f>
        <v>2025</v>
      </c>
      <c r="E477" s="7">
        <v>45797</v>
      </c>
      <c r="F477" s="2" t="str">
        <f>VLOOKUP(Table1[[#This Row],[Customer_ID]],Customer_Dim!$A$2:$H$501,2,FALSE)</f>
        <v>Patricia Gardner</v>
      </c>
      <c r="G477" s="2" t="str">
        <f>_xlfn.XLOOKUP(Table1[[#This Row],[Customer_ID]],Customer_Dim!$A$2:$A$501,Customer_Dim!$E$2:$E$501)</f>
        <v>South Ashleyton</v>
      </c>
      <c r="H477" t="s">
        <v>548</v>
      </c>
      <c r="I477" t="str">
        <f>VLOOKUP(Table1[[#This Row],[Product_ID]],Product_Dim!$A$2:$G$101,2,FALSE)</f>
        <v>Badminton Racket Set-Sports</v>
      </c>
      <c r="J477" t="s">
        <v>1685</v>
      </c>
      <c r="K477" t="str">
        <f>VLOOKUP(Table1[[#This Row],[Store_ID]],Store_Dim!$A$3:$D$22,2,FALSE)</f>
        <v>Hill, Wagner and Ballard-East</v>
      </c>
      <c r="L477" t="s">
        <v>1748</v>
      </c>
      <c r="M477" t="s">
        <v>3960</v>
      </c>
      <c r="N477" s="3">
        <v>145.26</v>
      </c>
      <c r="O477" s="4">
        <v>0.19</v>
      </c>
      <c r="P477" t="s">
        <v>1774</v>
      </c>
      <c r="Q477" s="4">
        <v>235.3212</v>
      </c>
    </row>
    <row r="478" spans="1:17" x14ac:dyDescent="0.3">
      <c r="A478" t="s">
        <v>2250</v>
      </c>
      <c r="B478" t="str">
        <f t="shared" si="7"/>
        <v>Q1</v>
      </c>
      <c r="C478" t="str">
        <f>TEXT(Table1[[#This Row],[Order_Date]],"mmmm")</f>
        <v>March</v>
      </c>
      <c r="D478">
        <f>YEAR(Table1[[#This Row],[Order_Date]])</f>
        <v>2024</v>
      </c>
      <c r="E478" s="7">
        <v>45364</v>
      </c>
      <c r="F478" s="2" t="str">
        <f>VLOOKUP(Table1[[#This Row],[Customer_ID]],Customer_Dim!$A$2:$H$501,2,FALSE)</f>
        <v>Earl Allen</v>
      </c>
      <c r="G478" s="2" t="str">
        <f>_xlfn.XLOOKUP(Table1[[#This Row],[Customer_ID]],Customer_Dim!$A$2:$A$501,Customer_Dim!$E$2:$E$501)</f>
        <v>New Jenniferburgh</v>
      </c>
      <c r="H478" t="s">
        <v>406</v>
      </c>
      <c r="I478" t="str">
        <f>VLOOKUP(Table1[[#This Row],[Product_ID]],Product_Dim!$A$2:$G$101,2,FALSE)</f>
        <v>Women's High Heels-Clothing</v>
      </c>
      <c r="J478" t="s">
        <v>1705</v>
      </c>
      <c r="K478" t="str">
        <f>VLOOKUP(Table1[[#This Row],[Store_ID]],Store_Dim!$A$3:$D$22,2,FALSE)</f>
        <v>Gray Ltd-North</v>
      </c>
      <c r="L478" t="s">
        <v>1738</v>
      </c>
      <c r="M478" t="s">
        <v>3959</v>
      </c>
      <c r="N478" s="3">
        <v>940.77</v>
      </c>
      <c r="O478" s="4">
        <v>0.24</v>
      </c>
      <c r="P478" t="s">
        <v>1777</v>
      </c>
      <c r="Q478" s="4">
        <v>2859.9407999999999</v>
      </c>
    </row>
    <row r="479" spans="1:17" x14ac:dyDescent="0.3">
      <c r="A479" t="s">
        <v>2251</v>
      </c>
      <c r="B479" t="str">
        <f t="shared" si="7"/>
        <v>Q1</v>
      </c>
      <c r="C479" t="str">
        <f>TEXT(Table1[[#This Row],[Order_Date]],"mmmm")</f>
        <v>February</v>
      </c>
      <c r="D479">
        <f>YEAR(Table1[[#This Row],[Order_Date]])</f>
        <v>2025</v>
      </c>
      <c r="E479" s="7">
        <v>45700</v>
      </c>
      <c r="F479" s="2" t="str">
        <f>VLOOKUP(Table1[[#This Row],[Customer_ID]],Customer_Dim!$A$2:$H$501,2,FALSE)</f>
        <v>James Foster</v>
      </c>
      <c r="G479" s="2" t="str">
        <f>_xlfn.XLOOKUP(Table1[[#This Row],[Customer_ID]],Customer_Dim!$A$2:$A$501,Customer_Dim!$E$2:$E$501)</f>
        <v>East Audrey</v>
      </c>
      <c r="H479" t="s">
        <v>1430</v>
      </c>
      <c r="I479" t="str">
        <f>VLOOKUP(Table1[[#This Row],[Product_ID]],Product_Dim!$A$2:$G$101,2,FALSE)</f>
        <v>Men's Winter Jacket-Clothing</v>
      </c>
      <c r="J479" t="s">
        <v>1615</v>
      </c>
      <c r="K479" t="str">
        <f>VLOOKUP(Table1[[#This Row],[Store_ID]],Store_Dim!$A$3:$D$22,2,FALSE)</f>
        <v>Holloway Ltd-North</v>
      </c>
      <c r="L479" t="s">
        <v>1759</v>
      </c>
      <c r="M479" t="s">
        <v>3957</v>
      </c>
      <c r="N479" s="3">
        <v>708.88</v>
      </c>
      <c r="O479" s="4">
        <v>0.09</v>
      </c>
      <c r="P479" t="s">
        <v>1772</v>
      </c>
      <c r="Q479" s="4">
        <v>645.08080000000007</v>
      </c>
    </row>
    <row r="480" spans="1:17" x14ac:dyDescent="0.3">
      <c r="A480" t="s">
        <v>2252</v>
      </c>
      <c r="B480" t="str">
        <f t="shared" si="7"/>
        <v>Q3</v>
      </c>
      <c r="C480" t="str">
        <f>TEXT(Table1[[#This Row],[Order_Date]],"mmmm")</f>
        <v>September</v>
      </c>
      <c r="D480">
        <f>YEAR(Table1[[#This Row],[Order_Date]])</f>
        <v>2025</v>
      </c>
      <c r="E480" s="7">
        <v>45924</v>
      </c>
      <c r="F480" s="2" t="str">
        <f>VLOOKUP(Table1[[#This Row],[Customer_ID]],Customer_Dim!$A$2:$H$501,2,FALSE)</f>
        <v>Brandy Thompson</v>
      </c>
      <c r="G480" s="2" t="str">
        <f>_xlfn.XLOOKUP(Table1[[#This Row],[Customer_ID]],Customer_Dim!$A$2:$A$501,Customer_Dim!$E$2:$E$501)</f>
        <v>West Patriciaview</v>
      </c>
      <c r="H480" t="s">
        <v>959</v>
      </c>
      <c r="I480" t="str">
        <f>VLOOKUP(Table1[[#This Row],[Product_ID]],Product_Dim!$A$2:$G$101,2,FALSE)</f>
        <v>Stainless Steel Cutlery Set-Home</v>
      </c>
      <c r="J480" t="s">
        <v>1583</v>
      </c>
      <c r="K480" t="str">
        <f>VLOOKUP(Table1[[#This Row],[Store_ID]],Store_Dim!$A$3:$D$22,2,FALSE)</f>
        <v>Black-Horn-South</v>
      </c>
      <c r="L480" t="s">
        <v>1730</v>
      </c>
      <c r="M480" t="s">
        <v>3957</v>
      </c>
      <c r="N480" s="3">
        <v>790.73</v>
      </c>
      <c r="O480" s="4">
        <v>0.24</v>
      </c>
      <c r="P480" t="s">
        <v>1774</v>
      </c>
      <c r="Q480" s="4">
        <v>600.95479999999998</v>
      </c>
    </row>
    <row r="481" spans="1:17" x14ac:dyDescent="0.3">
      <c r="A481" t="s">
        <v>2253</v>
      </c>
      <c r="B481" t="str">
        <f t="shared" si="7"/>
        <v>Q4</v>
      </c>
      <c r="C481" t="str">
        <f>TEXT(Table1[[#This Row],[Order_Date]],"mmmm")</f>
        <v>October</v>
      </c>
      <c r="D481">
        <f>YEAR(Table1[[#This Row],[Order_Date]])</f>
        <v>2024</v>
      </c>
      <c r="E481" s="7">
        <v>45574</v>
      </c>
      <c r="F481" s="2" t="str">
        <f>VLOOKUP(Table1[[#This Row],[Customer_ID]],Customer_Dim!$A$2:$H$501,2,FALSE)</f>
        <v>William Cortez</v>
      </c>
      <c r="G481" s="2" t="str">
        <f>_xlfn.XLOOKUP(Table1[[#This Row],[Customer_ID]],Customer_Dim!$A$2:$A$501,Customer_Dim!$E$2:$E$501)</f>
        <v>Port Hannahport</v>
      </c>
      <c r="H481" t="s">
        <v>1373</v>
      </c>
      <c r="I481" t="str">
        <f>VLOOKUP(Table1[[#This Row],[Product_ID]],Product_Dim!$A$2:$G$101,2,FALSE)</f>
        <v>4K Home Projector-Electronics</v>
      </c>
      <c r="J481" t="s">
        <v>1553</v>
      </c>
      <c r="K481" t="str">
        <f>VLOOKUP(Table1[[#This Row],[Store_ID]],Store_Dim!$A$3:$D$22,2,FALSE)</f>
        <v>Moore, Padilla and Butler-South</v>
      </c>
      <c r="L481" t="s">
        <v>1746</v>
      </c>
      <c r="M481" t="s">
        <v>3958</v>
      </c>
      <c r="N481" s="3">
        <v>635.13</v>
      </c>
      <c r="O481" s="4">
        <v>0.09</v>
      </c>
      <c r="P481" t="s">
        <v>1774</v>
      </c>
      <c r="Q481" s="4">
        <v>1733.9049</v>
      </c>
    </row>
    <row r="482" spans="1:17" x14ac:dyDescent="0.3">
      <c r="A482" t="s">
        <v>2254</v>
      </c>
      <c r="B482" t="str">
        <f t="shared" si="7"/>
        <v>Q4</v>
      </c>
      <c r="C482" t="str">
        <f>TEXT(Table1[[#This Row],[Order_Date]],"mmmm")</f>
        <v>November</v>
      </c>
      <c r="D482">
        <f>YEAR(Table1[[#This Row],[Order_Date]])</f>
        <v>2023</v>
      </c>
      <c r="E482" s="7">
        <v>45233</v>
      </c>
      <c r="F482" s="2" t="str">
        <f>VLOOKUP(Table1[[#This Row],[Customer_ID]],Customer_Dim!$A$2:$H$501,2,FALSE)</f>
        <v>Cynthia Payne</v>
      </c>
      <c r="G482" s="2" t="str">
        <f>_xlfn.XLOOKUP(Table1[[#This Row],[Customer_ID]],Customer_Dim!$A$2:$A$501,Customer_Dim!$E$2:$E$501)</f>
        <v>South Gina</v>
      </c>
      <c r="H482" t="s">
        <v>842</v>
      </c>
      <c r="I482" t="str">
        <f>VLOOKUP(Table1[[#This Row],[Product_ID]],Product_Dim!$A$2:$G$101,2,FALSE)</f>
        <v>USB-C Laptop Charger-Electronics</v>
      </c>
      <c r="J482" t="s">
        <v>1709</v>
      </c>
      <c r="K482" t="str">
        <f>VLOOKUP(Table1[[#This Row],[Store_ID]],Store_Dim!$A$3:$D$22,2,FALSE)</f>
        <v>Mcdonald Inc-South</v>
      </c>
      <c r="L482" t="s">
        <v>1754</v>
      </c>
      <c r="M482" t="s">
        <v>3957</v>
      </c>
      <c r="N482" s="3">
        <v>744.88</v>
      </c>
      <c r="O482" s="4">
        <v>0.15</v>
      </c>
      <c r="P482" t="s">
        <v>1777</v>
      </c>
      <c r="Q482" s="4">
        <v>633.14800000000002</v>
      </c>
    </row>
    <row r="483" spans="1:17" x14ac:dyDescent="0.3">
      <c r="A483" t="s">
        <v>2255</v>
      </c>
      <c r="B483" t="str">
        <f t="shared" si="7"/>
        <v>Q1</v>
      </c>
      <c r="C483" t="str">
        <f>TEXT(Table1[[#This Row],[Order_Date]],"mmmm")</f>
        <v>March</v>
      </c>
      <c r="D483">
        <f>YEAR(Table1[[#This Row],[Order_Date]])</f>
        <v>2025</v>
      </c>
      <c r="E483" s="7">
        <v>45745</v>
      </c>
      <c r="F483" s="2" t="str">
        <f>VLOOKUP(Table1[[#This Row],[Customer_ID]],Customer_Dim!$A$2:$H$501,2,FALSE)</f>
        <v>Mario Jacobs</v>
      </c>
      <c r="G483" s="2" t="str">
        <f>_xlfn.XLOOKUP(Table1[[#This Row],[Customer_ID]],Customer_Dim!$A$2:$A$501,Customer_Dim!$E$2:$E$501)</f>
        <v>Port James</v>
      </c>
      <c r="H483" t="s">
        <v>598</v>
      </c>
      <c r="I483" t="str">
        <f>VLOOKUP(Table1[[#This Row],[Product_ID]],Product_Dim!$A$2:$G$101,2,FALSE)</f>
        <v>Sports Stopwatch Timer-Sports</v>
      </c>
      <c r="J483" t="s">
        <v>1579</v>
      </c>
      <c r="K483" t="str">
        <f>VLOOKUP(Table1[[#This Row],[Store_ID]],Store_Dim!$A$3:$D$22,2,FALSE)</f>
        <v>Martinez, Adkins and Johnson-North</v>
      </c>
      <c r="L483" t="s">
        <v>1728</v>
      </c>
      <c r="M483" t="s">
        <v>3958</v>
      </c>
      <c r="N483" s="3">
        <v>205.34</v>
      </c>
      <c r="O483" s="4">
        <v>0.25</v>
      </c>
      <c r="P483" t="s">
        <v>1772</v>
      </c>
      <c r="Q483" s="4">
        <v>462.01499999999999</v>
      </c>
    </row>
    <row r="484" spans="1:17" x14ac:dyDescent="0.3">
      <c r="A484" t="s">
        <v>2256</v>
      </c>
      <c r="B484" t="str">
        <f t="shared" si="7"/>
        <v>Q3</v>
      </c>
      <c r="C484" t="str">
        <f>TEXT(Table1[[#This Row],[Order_Date]],"mmmm")</f>
        <v>July</v>
      </c>
      <c r="D484">
        <f>YEAR(Table1[[#This Row],[Order_Date]])</f>
        <v>2025</v>
      </c>
      <c r="E484" s="7">
        <v>45851</v>
      </c>
      <c r="F484" s="2" t="str">
        <f>VLOOKUP(Table1[[#This Row],[Customer_ID]],Customer_Dim!$A$2:$H$501,2,FALSE)</f>
        <v>Monica Miller</v>
      </c>
      <c r="G484" s="2" t="str">
        <f>_xlfn.XLOOKUP(Table1[[#This Row],[Customer_ID]],Customer_Dim!$A$2:$A$501,Customer_Dim!$E$2:$E$501)</f>
        <v>Lake David</v>
      </c>
      <c r="H484" t="s">
        <v>1287</v>
      </c>
      <c r="I484" t="str">
        <f>VLOOKUP(Table1[[#This Row],[Product_ID]],Product_Dim!$A$2:$G$101,2,FALSE)</f>
        <v>Fabric Sofa Throw Blanket-Home</v>
      </c>
      <c r="J484" t="s">
        <v>1581</v>
      </c>
      <c r="K484" t="str">
        <f>VLOOKUP(Table1[[#This Row],[Store_ID]],Store_Dim!$A$3:$D$22,2,FALSE)</f>
        <v>Bean, Jones and Park-West</v>
      </c>
      <c r="L484" t="s">
        <v>1744</v>
      </c>
      <c r="M484" t="s">
        <v>3960</v>
      </c>
      <c r="N484" s="3">
        <v>756.8</v>
      </c>
      <c r="O484" s="4">
        <v>0.15</v>
      </c>
      <c r="P484" t="s">
        <v>1772</v>
      </c>
      <c r="Q484" s="4">
        <v>1286.56</v>
      </c>
    </row>
    <row r="485" spans="1:17" x14ac:dyDescent="0.3">
      <c r="A485" t="s">
        <v>2257</v>
      </c>
      <c r="B485" t="str">
        <f t="shared" si="7"/>
        <v>Q1</v>
      </c>
      <c r="C485" t="str">
        <f>TEXT(Table1[[#This Row],[Order_Date]],"mmmm")</f>
        <v>January</v>
      </c>
      <c r="D485">
        <f>YEAR(Table1[[#This Row],[Order_Date]])</f>
        <v>2024</v>
      </c>
      <c r="E485" s="7">
        <v>45308</v>
      </c>
      <c r="F485" s="2" t="str">
        <f>VLOOKUP(Table1[[#This Row],[Customer_ID]],Customer_Dim!$A$2:$H$501,2,FALSE)</f>
        <v>Denise Williams</v>
      </c>
      <c r="G485" s="2" t="str">
        <f>_xlfn.XLOOKUP(Table1[[#This Row],[Customer_ID]],Customer_Dim!$A$2:$A$501,Customer_Dim!$E$2:$E$501)</f>
        <v>Christianstad</v>
      </c>
      <c r="H485" t="s">
        <v>171</v>
      </c>
      <c r="I485" t="str">
        <f>VLOOKUP(Table1[[#This Row],[Product_ID]],Product_Dim!$A$2:$G$101,2,FALSE)</f>
        <v>Multi-Purpose Storage Box-Home</v>
      </c>
      <c r="J485" t="s">
        <v>1565</v>
      </c>
      <c r="K485" t="str">
        <f>VLOOKUP(Table1[[#This Row],[Store_ID]],Store_Dim!$A$3:$D$22,2,FALSE)</f>
        <v>Hill, Wagner and Ballard-East</v>
      </c>
      <c r="L485" t="s">
        <v>1748</v>
      </c>
      <c r="M485" t="s">
        <v>3957</v>
      </c>
      <c r="N485" s="3">
        <v>771.73</v>
      </c>
      <c r="O485" s="4">
        <v>0.2</v>
      </c>
      <c r="P485" t="s">
        <v>1772</v>
      </c>
      <c r="Q485" s="4">
        <v>617.38400000000001</v>
      </c>
    </row>
    <row r="486" spans="1:17" x14ac:dyDescent="0.3">
      <c r="A486" t="s">
        <v>2258</v>
      </c>
      <c r="B486" t="str">
        <f t="shared" si="7"/>
        <v>Q4</v>
      </c>
      <c r="C486" t="str">
        <f>TEXT(Table1[[#This Row],[Order_Date]],"mmmm")</f>
        <v>December</v>
      </c>
      <c r="D486">
        <f>YEAR(Table1[[#This Row],[Order_Date]])</f>
        <v>2024</v>
      </c>
      <c r="E486" s="7">
        <v>45639</v>
      </c>
      <c r="F486" s="2" t="str">
        <f>VLOOKUP(Table1[[#This Row],[Customer_ID]],Customer_Dim!$A$2:$H$501,2,FALSE)</f>
        <v>Dylan Gutierrez</v>
      </c>
      <c r="G486" s="2" t="str">
        <f>_xlfn.XLOOKUP(Table1[[#This Row],[Customer_ID]],Customer_Dim!$A$2:$A$501,Customer_Dim!$E$2:$E$501)</f>
        <v>New Jamesview</v>
      </c>
      <c r="H486" t="s">
        <v>1458</v>
      </c>
      <c r="I486" t="str">
        <f>VLOOKUP(Table1[[#This Row],[Product_ID]],Product_Dim!$A$2:$G$101,2,FALSE)</f>
        <v>Women's Hair Dryer Brush-Beauty</v>
      </c>
      <c r="J486" t="s">
        <v>1655</v>
      </c>
      <c r="K486" t="str">
        <f>VLOOKUP(Table1[[#This Row],[Store_ID]],Store_Dim!$A$3:$D$22,2,FALSE)</f>
        <v>Holloway Ltd-North</v>
      </c>
      <c r="L486" t="s">
        <v>1759</v>
      </c>
      <c r="M486" t="s">
        <v>3957</v>
      </c>
      <c r="N486" s="3">
        <v>440.19</v>
      </c>
      <c r="O486" s="4">
        <v>0.03</v>
      </c>
      <c r="P486" t="s">
        <v>1774</v>
      </c>
      <c r="Q486" s="4">
        <v>426.98430000000002</v>
      </c>
    </row>
    <row r="487" spans="1:17" x14ac:dyDescent="0.3">
      <c r="A487" t="s">
        <v>2259</v>
      </c>
      <c r="B487" t="str">
        <f t="shared" si="7"/>
        <v>Q3</v>
      </c>
      <c r="C487" t="str">
        <f>TEXT(Table1[[#This Row],[Order_Date]],"mmmm")</f>
        <v>September</v>
      </c>
      <c r="D487">
        <f>YEAR(Table1[[#This Row],[Order_Date]])</f>
        <v>2025</v>
      </c>
      <c r="E487" s="7">
        <v>45919</v>
      </c>
      <c r="F487" s="2" t="str">
        <f>VLOOKUP(Table1[[#This Row],[Customer_ID]],Customer_Dim!$A$2:$H$501,2,FALSE)</f>
        <v>Gina Knight</v>
      </c>
      <c r="G487" s="2" t="str">
        <f>_xlfn.XLOOKUP(Table1[[#This Row],[Customer_ID]],Customer_Dim!$A$2:$A$501,Customer_Dim!$E$2:$E$501)</f>
        <v>Lake Roberthaven</v>
      </c>
      <c r="H487" t="s">
        <v>178</v>
      </c>
      <c r="I487" t="str">
        <f>VLOOKUP(Table1[[#This Row],[Product_ID]],Product_Dim!$A$2:$G$101,2,FALSE)</f>
        <v>Women's Yoga Pants-Clothing</v>
      </c>
      <c r="J487" t="s">
        <v>1531</v>
      </c>
      <c r="K487" t="str">
        <f>VLOOKUP(Table1[[#This Row],[Store_ID]],Store_Dim!$A$3:$D$22,2,FALSE)</f>
        <v>Black-Horn-South</v>
      </c>
      <c r="L487" t="s">
        <v>1730</v>
      </c>
      <c r="M487" t="s">
        <v>3960</v>
      </c>
      <c r="N487" s="3">
        <v>409</v>
      </c>
      <c r="O487" s="4">
        <v>0.17</v>
      </c>
      <c r="P487" t="s">
        <v>1772</v>
      </c>
      <c r="Q487" s="4">
        <v>678.93999999999994</v>
      </c>
    </row>
    <row r="488" spans="1:17" x14ac:dyDescent="0.3">
      <c r="A488" t="s">
        <v>2260</v>
      </c>
      <c r="B488" t="str">
        <f t="shared" si="7"/>
        <v>Q1</v>
      </c>
      <c r="C488" t="str">
        <f>TEXT(Table1[[#This Row],[Order_Date]],"mmmm")</f>
        <v>February</v>
      </c>
      <c r="D488">
        <f>YEAR(Table1[[#This Row],[Order_Date]])</f>
        <v>2024</v>
      </c>
      <c r="E488" s="7">
        <v>45333</v>
      </c>
      <c r="F488" s="2" t="str">
        <f>VLOOKUP(Table1[[#This Row],[Customer_ID]],Customer_Dim!$A$2:$H$501,2,FALSE)</f>
        <v>Ryan Moore</v>
      </c>
      <c r="G488" s="2" t="str">
        <f>_xlfn.XLOOKUP(Table1[[#This Row],[Customer_ID]],Customer_Dim!$A$2:$A$501,Customer_Dim!$E$2:$E$501)</f>
        <v>Cartershire</v>
      </c>
      <c r="H488" t="s">
        <v>1066</v>
      </c>
      <c r="I488" t="str">
        <f>VLOOKUP(Table1[[#This Row],[Product_ID]],Product_Dim!$A$2:$G$101,2,FALSE)</f>
        <v>Sports Water Hydration Pack-Sports</v>
      </c>
      <c r="J488" t="s">
        <v>1599</v>
      </c>
      <c r="K488" t="str">
        <f>VLOOKUP(Table1[[#This Row],[Store_ID]],Store_Dim!$A$3:$D$22,2,FALSE)</f>
        <v>Mann-Austin-East</v>
      </c>
      <c r="L488" t="s">
        <v>1763</v>
      </c>
      <c r="M488" t="s">
        <v>3958</v>
      </c>
      <c r="N488" s="3">
        <v>134.58000000000001</v>
      </c>
      <c r="O488" s="4">
        <v>0.04</v>
      </c>
      <c r="P488" t="s">
        <v>1777</v>
      </c>
      <c r="Q488" s="4">
        <v>387.59039999999999</v>
      </c>
    </row>
    <row r="489" spans="1:17" x14ac:dyDescent="0.3">
      <c r="A489" t="s">
        <v>2261</v>
      </c>
      <c r="B489" t="str">
        <f t="shared" si="7"/>
        <v>Q2</v>
      </c>
      <c r="C489" t="str">
        <f>TEXT(Table1[[#This Row],[Order_Date]],"mmmm")</f>
        <v>June</v>
      </c>
      <c r="D489">
        <f>YEAR(Table1[[#This Row],[Order_Date]])</f>
        <v>2025</v>
      </c>
      <c r="E489" s="7">
        <v>45811</v>
      </c>
      <c r="F489" s="2" t="str">
        <f>VLOOKUP(Table1[[#This Row],[Customer_ID]],Customer_Dim!$A$2:$H$501,2,FALSE)</f>
        <v>Sherry Cabrera</v>
      </c>
      <c r="G489" s="2" t="str">
        <f>_xlfn.XLOOKUP(Table1[[#This Row],[Customer_ID]],Customer_Dim!$A$2:$A$501,Customer_Dim!$E$2:$E$501)</f>
        <v>Shannonview</v>
      </c>
      <c r="H489" t="s">
        <v>1080</v>
      </c>
      <c r="I489" t="str">
        <f>VLOOKUP(Table1[[#This Row],[Product_ID]],Product_Dim!$A$2:$G$101,2,FALSE)</f>
        <v>Portable Power Bank-Electronics</v>
      </c>
      <c r="J489" t="s">
        <v>1601</v>
      </c>
      <c r="K489" t="str">
        <f>VLOOKUP(Table1[[#This Row],[Store_ID]],Store_Dim!$A$3:$D$22,2,FALSE)</f>
        <v>Martinez-Mullins-South</v>
      </c>
      <c r="L489" t="s">
        <v>1742</v>
      </c>
      <c r="M489" t="s">
        <v>3959</v>
      </c>
      <c r="N489" s="3">
        <v>284.44</v>
      </c>
      <c r="O489" s="4">
        <v>0.02</v>
      </c>
      <c r="P489" t="s">
        <v>1772</v>
      </c>
      <c r="Q489" s="4">
        <v>1115.0047999999999</v>
      </c>
    </row>
    <row r="490" spans="1:17" x14ac:dyDescent="0.3">
      <c r="A490" t="s">
        <v>2262</v>
      </c>
      <c r="B490" t="str">
        <f t="shared" si="7"/>
        <v>Q1</v>
      </c>
      <c r="C490" t="str">
        <f>TEXT(Table1[[#This Row],[Order_Date]],"mmmm")</f>
        <v>March</v>
      </c>
      <c r="D490">
        <f>YEAR(Table1[[#This Row],[Order_Date]])</f>
        <v>2025</v>
      </c>
      <c r="E490" s="7">
        <v>45726</v>
      </c>
      <c r="F490" s="2" t="str">
        <f>VLOOKUP(Table1[[#This Row],[Customer_ID]],Customer_Dim!$A$2:$H$501,2,FALSE)</f>
        <v>Eric Wolfe</v>
      </c>
      <c r="G490" s="2" t="str">
        <f>_xlfn.XLOOKUP(Table1[[#This Row],[Customer_ID]],Customer_Dim!$A$2:$A$501,Customer_Dim!$E$2:$E$501)</f>
        <v>Garciaview</v>
      </c>
      <c r="H490" t="s">
        <v>1246</v>
      </c>
      <c r="I490" t="str">
        <f>VLOOKUP(Table1[[#This Row],[Product_ID]],Product_Dim!$A$2:$G$101,2,FALSE)</f>
        <v>Shin Guards – Adult-Sports</v>
      </c>
      <c r="J490" t="s">
        <v>1669</v>
      </c>
      <c r="K490" t="str">
        <f>VLOOKUP(Table1[[#This Row],[Store_ID]],Store_Dim!$A$3:$D$22,2,FALSE)</f>
        <v>Gardner, Humphrey and Contreras-East</v>
      </c>
      <c r="L490" t="s">
        <v>1753</v>
      </c>
      <c r="M490" t="s">
        <v>3959</v>
      </c>
      <c r="N490" s="3">
        <v>922.69</v>
      </c>
      <c r="O490" s="4">
        <v>0.16</v>
      </c>
      <c r="P490" t="s">
        <v>1772</v>
      </c>
      <c r="Q490" s="4">
        <v>3100.2384000000002</v>
      </c>
    </row>
    <row r="491" spans="1:17" x14ac:dyDescent="0.3">
      <c r="A491" t="s">
        <v>2263</v>
      </c>
      <c r="B491" t="str">
        <f t="shared" si="7"/>
        <v>Q4</v>
      </c>
      <c r="C491" t="str">
        <f>TEXT(Table1[[#This Row],[Order_Date]],"mmmm")</f>
        <v>December</v>
      </c>
      <c r="D491">
        <f>YEAR(Table1[[#This Row],[Order_Date]])</f>
        <v>2024</v>
      </c>
      <c r="E491" s="7">
        <v>45644</v>
      </c>
      <c r="F491" s="2" t="str">
        <f>VLOOKUP(Table1[[#This Row],[Customer_ID]],Customer_Dim!$A$2:$H$501,2,FALSE)</f>
        <v>Shannon Miller</v>
      </c>
      <c r="G491" s="2" t="str">
        <f>_xlfn.XLOOKUP(Table1[[#This Row],[Customer_ID]],Customer_Dim!$A$2:$A$501,Customer_Dim!$E$2:$E$501)</f>
        <v>North Austinport</v>
      </c>
      <c r="H491" t="s">
        <v>867</v>
      </c>
      <c r="I491" t="str">
        <f>VLOOKUP(Table1[[#This Row],[Product_ID]],Product_Dim!$A$2:$G$101,2,FALSE)</f>
        <v>Women's Summer Dress-Clothing</v>
      </c>
      <c r="J491" t="s">
        <v>1595</v>
      </c>
      <c r="K491" t="str">
        <f>VLOOKUP(Table1[[#This Row],[Store_ID]],Store_Dim!$A$3:$D$22,2,FALSE)</f>
        <v>Benson-Elliott-East</v>
      </c>
      <c r="L491" t="s">
        <v>1740</v>
      </c>
      <c r="M491" t="s">
        <v>3960</v>
      </c>
      <c r="N491" s="3">
        <v>992.55</v>
      </c>
      <c r="O491" s="4">
        <v>0.28000000000000003</v>
      </c>
      <c r="P491" t="s">
        <v>1772</v>
      </c>
      <c r="Q491" s="4">
        <v>1429.2719999999999</v>
      </c>
    </row>
    <row r="492" spans="1:17" x14ac:dyDescent="0.3">
      <c r="A492" t="s">
        <v>2264</v>
      </c>
      <c r="B492" t="str">
        <f t="shared" si="7"/>
        <v>Q1</v>
      </c>
      <c r="C492" t="str">
        <f>TEXT(Table1[[#This Row],[Order_Date]],"mmmm")</f>
        <v>March</v>
      </c>
      <c r="D492">
        <f>YEAR(Table1[[#This Row],[Order_Date]])</f>
        <v>2024</v>
      </c>
      <c r="E492" s="7">
        <v>45371</v>
      </c>
      <c r="F492" s="2" t="str">
        <f>VLOOKUP(Table1[[#This Row],[Customer_ID]],Customer_Dim!$A$2:$H$501,2,FALSE)</f>
        <v>Luke Parks</v>
      </c>
      <c r="G492" s="2" t="str">
        <f>_xlfn.XLOOKUP(Table1[[#This Row],[Customer_ID]],Customer_Dim!$A$2:$A$501,Customer_Dim!$E$2:$E$501)</f>
        <v>West Mario</v>
      </c>
      <c r="H492" t="s">
        <v>1284</v>
      </c>
      <c r="I492" t="str">
        <f>VLOOKUP(Table1[[#This Row],[Product_ID]],Product_Dim!$A$2:$G$101,2,FALSE)</f>
        <v>Face Foundation Kit-Beauty</v>
      </c>
      <c r="J492" t="s">
        <v>1701</v>
      </c>
      <c r="K492" t="str">
        <f>VLOOKUP(Table1[[#This Row],[Store_ID]],Store_Dim!$A$3:$D$22,2,FALSE)</f>
        <v>Guerrero-Schmitt-East</v>
      </c>
      <c r="L492" t="s">
        <v>1761</v>
      </c>
      <c r="M492" t="s">
        <v>3957</v>
      </c>
      <c r="N492" s="3">
        <v>170.43</v>
      </c>
      <c r="O492" s="4">
        <v>0.03</v>
      </c>
      <c r="P492" t="s">
        <v>1772</v>
      </c>
      <c r="Q492" s="4">
        <v>165.31710000000001</v>
      </c>
    </row>
    <row r="493" spans="1:17" x14ac:dyDescent="0.3">
      <c r="A493" t="s">
        <v>2265</v>
      </c>
      <c r="B493" t="str">
        <f t="shared" si="7"/>
        <v>Q2</v>
      </c>
      <c r="C493" t="str">
        <f>TEXT(Table1[[#This Row],[Order_Date]],"mmmm")</f>
        <v>June</v>
      </c>
      <c r="D493">
        <f>YEAR(Table1[[#This Row],[Order_Date]])</f>
        <v>2024</v>
      </c>
      <c r="E493" s="7">
        <v>45462</v>
      </c>
      <c r="F493" s="2" t="str">
        <f>VLOOKUP(Table1[[#This Row],[Customer_ID]],Customer_Dim!$A$2:$H$501,2,FALSE)</f>
        <v>Robert Harris</v>
      </c>
      <c r="G493" s="2" t="str">
        <f>_xlfn.XLOOKUP(Table1[[#This Row],[Customer_ID]],Customer_Dim!$A$2:$A$501,Customer_Dim!$E$2:$E$501)</f>
        <v>East jeremy</v>
      </c>
      <c r="H493" t="s">
        <v>716</v>
      </c>
      <c r="I493" t="str">
        <f>VLOOKUP(Table1[[#This Row],[Product_ID]],Product_Dim!$A$2:$G$101,2,FALSE)</f>
        <v>Professional Jump Rope-Sports</v>
      </c>
      <c r="J493" t="s">
        <v>1667</v>
      </c>
      <c r="K493" t="str">
        <f>VLOOKUP(Table1[[#This Row],[Store_ID]],Store_Dim!$A$3:$D$22,2,FALSE)</f>
        <v>Black-Horn-South</v>
      </c>
      <c r="L493" t="s">
        <v>1730</v>
      </c>
      <c r="M493" t="s">
        <v>3958</v>
      </c>
      <c r="N493" s="3">
        <v>480.51</v>
      </c>
      <c r="O493" s="4">
        <v>0.03</v>
      </c>
      <c r="P493" t="s">
        <v>1772</v>
      </c>
      <c r="Q493" s="4">
        <v>1398.2841000000001</v>
      </c>
    </row>
    <row r="494" spans="1:17" x14ac:dyDescent="0.3">
      <c r="A494" t="s">
        <v>2266</v>
      </c>
      <c r="B494" t="str">
        <f t="shared" si="7"/>
        <v>Q4</v>
      </c>
      <c r="C494" t="str">
        <f>TEXT(Table1[[#This Row],[Order_Date]],"mmmm")</f>
        <v>December</v>
      </c>
      <c r="D494">
        <f>YEAR(Table1[[#This Row],[Order_Date]])</f>
        <v>2024</v>
      </c>
      <c r="E494" s="7">
        <v>45632</v>
      </c>
      <c r="F494" s="2" t="str">
        <f>VLOOKUP(Table1[[#This Row],[Customer_ID]],Customer_Dim!$A$2:$H$501,2,FALSE)</f>
        <v>Maria Sanchez</v>
      </c>
      <c r="G494" s="2" t="str">
        <f>_xlfn.XLOOKUP(Table1[[#This Row],[Customer_ID]],Customer_Dim!$A$2:$A$501,Customer_Dim!$E$2:$E$501)</f>
        <v>East Peterbury</v>
      </c>
      <c r="H494" t="s">
        <v>518</v>
      </c>
      <c r="I494" t="str">
        <f>VLOOKUP(Table1[[#This Row],[Product_ID]],Product_Dim!$A$2:$G$101,2,FALSE)</f>
        <v>Men's Roll-On Perfume-Beauty</v>
      </c>
      <c r="J494" t="s">
        <v>1621</v>
      </c>
      <c r="K494" t="str">
        <f>VLOOKUP(Table1[[#This Row],[Store_ID]],Store_Dim!$A$3:$D$22,2,FALSE)</f>
        <v>Martinez-Mullins-South</v>
      </c>
      <c r="L494" t="s">
        <v>1742</v>
      </c>
      <c r="M494" t="s">
        <v>3960</v>
      </c>
      <c r="N494" s="3">
        <v>955.66</v>
      </c>
      <c r="O494" s="4">
        <v>0.28999999999999998</v>
      </c>
      <c r="P494" t="s">
        <v>1777</v>
      </c>
      <c r="Q494" s="4">
        <v>1357.0372</v>
      </c>
    </row>
    <row r="495" spans="1:17" x14ac:dyDescent="0.3">
      <c r="A495" t="s">
        <v>2267</v>
      </c>
      <c r="B495" t="str">
        <f t="shared" si="7"/>
        <v>Q3</v>
      </c>
      <c r="C495" t="str">
        <f>TEXT(Table1[[#This Row],[Order_Date]],"mmmm")</f>
        <v>July</v>
      </c>
      <c r="D495">
        <f>YEAR(Table1[[#This Row],[Order_Date]])</f>
        <v>2025</v>
      </c>
      <c r="E495" s="7">
        <v>45863</v>
      </c>
      <c r="F495" s="2" t="str">
        <f>VLOOKUP(Table1[[#This Row],[Customer_ID]],Customer_Dim!$A$2:$H$501,2,FALSE)</f>
        <v>Ashley Roberts</v>
      </c>
      <c r="G495" s="2" t="str">
        <f>_xlfn.XLOOKUP(Table1[[#This Row],[Customer_ID]],Customer_Dim!$A$2:$A$501,Customer_Dim!$E$2:$E$501)</f>
        <v>Josephmouth</v>
      </c>
      <c r="H495" t="s">
        <v>1379</v>
      </c>
      <c r="I495" t="str">
        <f>VLOOKUP(Table1[[#This Row],[Product_ID]],Product_Dim!$A$2:$G$101,2,FALSE)</f>
        <v>Professional Jump Rope-Sports</v>
      </c>
      <c r="J495" t="s">
        <v>1667</v>
      </c>
      <c r="K495" t="str">
        <f>VLOOKUP(Table1[[#This Row],[Store_ID]],Store_Dim!$A$3:$D$22,2,FALSE)</f>
        <v>Rivera-Warner-East</v>
      </c>
      <c r="L495" t="s">
        <v>1725</v>
      </c>
      <c r="M495" t="s">
        <v>3960</v>
      </c>
      <c r="N495" s="3">
        <v>488.02</v>
      </c>
      <c r="O495" s="4">
        <v>0.27</v>
      </c>
      <c r="P495" t="s">
        <v>1774</v>
      </c>
      <c r="Q495" s="4">
        <v>712.50919999999996</v>
      </c>
    </row>
    <row r="496" spans="1:17" x14ac:dyDescent="0.3">
      <c r="A496" t="s">
        <v>2268</v>
      </c>
      <c r="B496" t="str">
        <f t="shared" si="7"/>
        <v>Q3</v>
      </c>
      <c r="C496" t="str">
        <f>TEXT(Table1[[#This Row],[Order_Date]],"mmmm")</f>
        <v>July</v>
      </c>
      <c r="D496">
        <f>YEAR(Table1[[#This Row],[Order_Date]])</f>
        <v>2024</v>
      </c>
      <c r="E496" s="7">
        <v>45501</v>
      </c>
      <c r="F496" s="2" t="str">
        <f>VLOOKUP(Table1[[#This Row],[Customer_ID]],Customer_Dim!$A$2:$H$501,2,FALSE)</f>
        <v>William Hull</v>
      </c>
      <c r="G496" s="2" t="str">
        <f>_xlfn.XLOOKUP(Table1[[#This Row],[Customer_ID]],Customer_Dim!$A$2:$A$501,Customer_Dim!$E$2:$E$501)</f>
        <v>Heathfort</v>
      </c>
      <c r="H496" t="s">
        <v>764</v>
      </c>
      <c r="I496" t="str">
        <f>VLOOKUP(Table1[[#This Row],[Product_ID]],Product_Dim!$A$2:$G$101,2,FALSE)</f>
        <v>Women's Denim Jeans-Clothing</v>
      </c>
      <c r="J496" t="s">
        <v>1559</v>
      </c>
      <c r="K496" t="str">
        <f>VLOOKUP(Table1[[#This Row],[Store_ID]],Store_Dim!$A$3:$D$22,2,FALSE)</f>
        <v>Rivera-Warner-East</v>
      </c>
      <c r="L496" t="s">
        <v>1725</v>
      </c>
      <c r="M496" t="s">
        <v>3957</v>
      </c>
      <c r="N496" s="3">
        <v>917.17</v>
      </c>
      <c r="O496" s="4">
        <v>0.13</v>
      </c>
      <c r="P496" t="s">
        <v>1777</v>
      </c>
      <c r="Q496" s="4">
        <v>797.93790000000001</v>
      </c>
    </row>
    <row r="497" spans="1:17" x14ac:dyDescent="0.3">
      <c r="A497" t="s">
        <v>2269</v>
      </c>
      <c r="B497" t="str">
        <f t="shared" si="7"/>
        <v>Q4</v>
      </c>
      <c r="C497" t="str">
        <f>TEXT(Table1[[#This Row],[Order_Date]],"mmmm")</f>
        <v>October</v>
      </c>
      <c r="D497">
        <f>YEAR(Table1[[#This Row],[Order_Date]])</f>
        <v>2024</v>
      </c>
      <c r="E497" s="7">
        <v>45568</v>
      </c>
      <c r="F497" s="2" t="str">
        <f>VLOOKUP(Table1[[#This Row],[Customer_ID]],Customer_Dim!$A$2:$H$501,2,FALSE)</f>
        <v>Alex Mann Ii</v>
      </c>
      <c r="G497" s="2" t="str">
        <f>_xlfn.XLOOKUP(Table1[[#This Row],[Customer_ID]],Customer_Dim!$A$2:$A$501,Customer_Dim!$E$2:$E$501)</f>
        <v>South Zacharychester</v>
      </c>
      <c r="H497" t="s">
        <v>1010</v>
      </c>
      <c r="I497" t="str">
        <f>VLOOKUP(Table1[[#This Row],[Product_ID]],Product_Dim!$A$2:$G$101,2,FALSE)</f>
        <v>Wireless Bluetooth Earbuds-Electronics</v>
      </c>
      <c r="J497" t="s">
        <v>1539</v>
      </c>
      <c r="K497" t="str">
        <f>VLOOKUP(Table1[[#This Row],[Store_ID]],Store_Dim!$A$3:$D$22,2,FALSE)</f>
        <v>Gray Ltd-North</v>
      </c>
      <c r="L497" t="s">
        <v>1738</v>
      </c>
      <c r="M497" t="s">
        <v>3960</v>
      </c>
      <c r="N497" s="3">
        <v>406.46</v>
      </c>
      <c r="O497" s="4">
        <v>0.3</v>
      </c>
      <c r="P497" t="s">
        <v>1774</v>
      </c>
      <c r="Q497" s="4">
        <v>569.04399999999998</v>
      </c>
    </row>
    <row r="498" spans="1:17" x14ac:dyDescent="0.3">
      <c r="A498" t="s">
        <v>2270</v>
      </c>
      <c r="B498" t="str">
        <f t="shared" si="7"/>
        <v>Q4</v>
      </c>
      <c r="C498" t="str">
        <f>TEXT(Table1[[#This Row],[Order_Date]],"mmmm")</f>
        <v>November</v>
      </c>
      <c r="D498">
        <f>YEAR(Table1[[#This Row],[Order_Date]])</f>
        <v>2023</v>
      </c>
      <c r="E498" s="7">
        <v>45238</v>
      </c>
      <c r="F498" s="2" t="str">
        <f>VLOOKUP(Table1[[#This Row],[Customer_ID]],Customer_Dim!$A$2:$H$501,2,FALSE)</f>
        <v>Christy Hill</v>
      </c>
      <c r="G498" s="2" t="str">
        <f>_xlfn.XLOOKUP(Table1[[#This Row],[Customer_ID]],Customer_Dim!$A$2:$A$501,Customer_Dim!$E$2:$E$501)</f>
        <v>Tammyton</v>
      </c>
      <c r="H498" t="s">
        <v>740</v>
      </c>
      <c r="I498" t="str">
        <f>VLOOKUP(Table1[[#This Row],[Product_ID]],Product_Dim!$A$2:$G$101,2,FALSE)</f>
        <v>Sports Stopwatch Basic-Sports</v>
      </c>
      <c r="J498" t="s">
        <v>1713</v>
      </c>
      <c r="K498" t="str">
        <f>VLOOKUP(Table1[[#This Row],[Store_ID]],Store_Dim!$A$3:$D$22,2,FALSE)</f>
        <v>Rivera-Warner-East</v>
      </c>
      <c r="L498" t="s">
        <v>1725</v>
      </c>
      <c r="M498" t="s">
        <v>3960</v>
      </c>
      <c r="N498" s="3">
        <v>264.39</v>
      </c>
      <c r="O498" s="4">
        <v>0.11</v>
      </c>
      <c r="P498" t="s">
        <v>1777</v>
      </c>
      <c r="Q498" s="4">
        <v>470.61419999999998</v>
      </c>
    </row>
    <row r="499" spans="1:17" x14ac:dyDescent="0.3">
      <c r="A499" t="s">
        <v>2271</v>
      </c>
      <c r="B499" t="str">
        <f t="shared" si="7"/>
        <v>Q2</v>
      </c>
      <c r="C499" t="str">
        <f>TEXT(Table1[[#This Row],[Order_Date]],"mmmm")</f>
        <v>April</v>
      </c>
      <c r="D499">
        <f>YEAR(Table1[[#This Row],[Order_Date]])</f>
        <v>2025</v>
      </c>
      <c r="E499" s="7">
        <v>45754</v>
      </c>
      <c r="F499" s="2" t="str">
        <f>VLOOKUP(Table1[[#This Row],[Customer_ID]],Customer_Dim!$A$2:$H$501,2,FALSE)</f>
        <v>Todd Poole</v>
      </c>
      <c r="G499" s="2" t="str">
        <f>_xlfn.XLOOKUP(Table1[[#This Row],[Customer_ID]],Customer_Dim!$A$2:$A$501,Customer_Dim!$E$2:$E$501)</f>
        <v>Johnsonshire</v>
      </c>
      <c r="H499" t="s">
        <v>622</v>
      </c>
      <c r="I499" t="str">
        <f>VLOOKUP(Table1[[#This Row],[Product_ID]],Product_Dim!$A$2:$G$101,2,FALSE)</f>
        <v>Wooden Nightstand-Home</v>
      </c>
      <c r="J499" t="s">
        <v>1659</v>
      </c>
      <c r="K499" t="str">
        <f>VLOOKUP(Table1[[#This Row],[Store_ID]],Store_Dim!$A$3:$D$22,2,FALSE)</f>
        <v>Frederick-Wright-West</v>
      </c>
      <c r="L499" t="s">
        <v>1757</v>
      </c>
      <c r="M499" t="s">
        <v>3957</v>
      </c>
      <c r="N499" s="3">
        <v>414.97</v>
      </c>
      <c r="O499" s="4">
        <v>0.22</v>
      </c>
      <c r="P499" t="s">
        <v>1774</v>
      </c>
      <c r="Q499" s="4">
        <v>323.67660000000001</v>
      </c>
    </row>
    <row r="500" spans="1:17" x14ac:dyDescent="0.3">
      <c r="A500" t="s">
        <v>2272</v>
      </c>
      <c r="B500" t="str">
        <f t="shared" si="7"/>
        <v>Q4</v>
      </c>
      <c r="C500" t="str">
        <f>TEXT(Table1[[#This Row],[Order_Date]],"mmmm")</f>
        <v>December</v>
      </c>
      <c r="D500">
        <f>YEAR(Table1[[#This Row],[Order_Date]])</f>
        <v>2023</v>
      </c>
      <c r="E500" s="7">
        <v>45280</v>
      </c>
      <c r="F500" s="2" t="str">
        <f>VLOOKUP(Table1[[#This Row],[Customer_ID]],Customer_Dim!$A$2:$H$501,2,FALSE)</f>
        <v>Edward Rivera</v>
      </c>
      <c r="G500" s="2" t="str">
        <f>_xlfn.XLOOKUP(Table1[[#This Row],[Customer_ID]],Customer_Dim!$A$2:$A$501,Customer_Dim!$E$2:$E$501)</f>
        <v>Chungmouth</v>
      </c>
      <c r="H500" t="s">
        <v>488</v>
      </c>
      <c r="I500" t="str">
        <f>VLOOKUP(Table1[[#This Row],[Product_ID]],Product_Dim!$A$2:$G$101,2,FALSE)</f>
        <v>Women's Scarf Set-Clothing</v>
      </c>
      <c r="J500" t="s">
        <v>1573</v>
      </c>
      <c r="K500" t="str">
        <f>VLOOKUP(Table1[[#This Row],[Store_ID]],Store_Dim!$A$3:$D$22,2,FALSE)</f>
        <v>Thomas, Bridges and Harris-North</v>
      </c>
      <c r="L500" t="s">
        <v>1751</v>
      </c>
      <c r="M500" t="s">
        <v>3960</v>
      </c>
      <c r="N500" s="3">
        <v>583.51</v>
      </c>
      <c r="O500" s="4">
        <v>0.2</v>
      </c>
      <c r="P500" t="s">
        <v>1777</v>
      </c>
      <c r="Q500" s="4">
        <v>933.61599999999999</v>
      </c>
    </row>
    <row r="501" spans="1:17" x14ac:dyDescent="0.3">
      <c r="A501" t="s">
        <v>2273</v>
      </c>
      <c r="B501" t="str">
        <f t="shared" si="7"/>
        <v>Q3</v>
      </c>
      <c r="C501" t="str">
        <f>TEXT(Table1[[#This Row],[Order_Date]],"mmmm")</f>
        <v>September</v>
      </c>
      <c r="D501">
        <f>YEAR(Table1[[#This Row],[Order_Date]])</f>
        <v>2025</v>
      </c>
      <c r="E501" s="7">
        <v>45911</v>
      </c>
      <c r="F501" s="2" t="str">
        <f>VLOOKUP(Table1[[#This Row],[Customer_ID]],Customer_Dim!$A$2:$H$501,2,FALSE)</f>
        <v>Brian Lopez</v>
      </c>
      <c r="G501" s="2" t="str">
        <f>_xlfn.XLOOKUP(Table1[[#This Row],[Customer_ID]],Customer_Dim!$A$2:$A$501,Customer_Dim!$E$2:$E$501)</f>
        <v>East Krista</v>
      </c>
      <c r="H501" t="s">
        <v>55</v>
      </c>
      <c r="I501" t="str">
        <f>VLOOKUP(Table1[[#This Row],[Product_ID]],Product_Dim!$A$2:$G$101,2,FALSE)</f>
        <v>Basketball-Sports</v>
      </c>
      <c r="J501" t="s">
        <v>1585</v>
      </c>
      <c r="K501" t="str">
        <f>VLOOKUP(Table1[[#This Row],[Store_ID]],Store_Dim!$A$3:$D$22,2,FALSE)</f>
        <v>Holloway Ltd-North</v>
      </c>
      <c r="L501" t="s">
        <v>1759</v>
      </c>
      <c r="M501" t="s">
        <v>3957</v>
      </c>
      <c r="N501" s="3">
        <v>659.27</v>
      </c>
      <c r="O501" s="4">
        <v>0.15</v>
      </c>
      <c r="P501" t="s">
        <v>1774</v>
      </c>
      <c r="Q501" s="4">
        <v>560.37950000000001</v>
      </c>
    </row>
    <row r="502" spans="1:17" x14ac:dyDescent="0.3">
      <c r="A502" t="s">
        <v>2274</v>
      </c>
      <c r="B502" t="str">
        <f t="shared" si="7"/>
        <v>Q4</v>
      </c>
      <c r="C502" t="str">
        <f>TEXT(Table1[[#This Row],[Order_Date]],"mmmm")</f>
        <v>December</v>
      </c>
      <c r="D502">
        <f>YEAR(Table1[[#This Row],[Order_Date]])</f>
        <v>2024</v>
      </c>
      <c r="E502" s="7">
        <v>45627</v>
      </c>
      <c r="F502" s="2" t="str">
        <f>VLOOKUP(Table1[[#This Row],[Customer_ID]],Customer_Dim!$A$2:$H$501,2,FALSE)</f>
        <v>Gene Lee</v>
      </c>
      <c r="G502" s="2" t="str">
        <f>_xlfn.XLOOKUP(Table1[[#This Row],[Customer_ID]],Customer_Dim!$A$2:$A$501,Customer_Dim!$E$2:$E$501)</f>
        <v>Mcfarlandmouth</v>
      </c>
      <c r="H502" t="s">
        <v>1361</v>
      </c>
      <c r="I502" t="str">
        <f>VLOOKUP(Table1[[#This Row],[Product_ID]],Product_Dim!$A$2:$G$101,2,FALSE)</f>
        <v>Women's Casual Hoodie-Clothing</v>
      </c>
      <c r="J502" t="s">
        <v>1527</v>
      </c>
      <c r="K502" t="str">
        <f>VLOOKUP(Table1[[#This Row],[Store_ID]],Store_Dim!$A$3:$D$22,2,FALSE)</f>
        <v>Alexander Group-South</v>
      </c>
      <c r="L502" t="s">
        <v>1735</v>
      </c>
      <c r="M502" t="s">
        <v>3959</v>
      </c>
      <c r="N502" s="3">
        <v>106.66</v>
      </c>
      <c r="O502" s="4">
        <v>0.2</v>
      </c>
      <c r="P502" t="s">
        <v>1777</v>
      </c>
      <c r="Q502" s="4">
        <v>341.31200000000001</v>
      </c>
    </row>
    <row r="503" spans="1:17" x14ac:dyDescent="0.3">
      <c r="A503" t="s">
        <v>2275</v>
      </c>
      <c r="B503" t="str">
        <f t="shared" si="7"/>
        <v>Q4</v>
      </c>
      <c r="C503" t="str">
        <f>TEXT(Table1[[#This Row],[Order_Date]],"mmmm")</f>
        <v>November</v>
      </c>
      <c r="D503">
        <f>YEAR(Table1[[#This Row],[Order_Date]])</f>
        <v>2024</v>
      </c>
      <c r="E503" s="7">
        <v>45617</v>
      </c>
      <c r="F503" s="2" t="str">
        <f>VLOOKUP(Table1[[#This Row],[Customer_ID]],Customer_Dim!$A$2:$H$501,2,FALSE)</f>
        <v>Joseph Jones</v>
      </c>
      <c r="G503" s="2" t="str">
        <f>_xlfn.XLOOKUP(Table1[[#This Row],[Customer_ID]],Customer_Dim!$A$2:$A$501,Customer_Dim!$E$2:$E$501)</f>
        <v>North Matthew</v>
      </c>
      <c r="H503" t="s">
        <v>539</v>
      </c>
      <c r="I503" t="str">
        <f>VLOOKUP(Table1[[#This Row],[Product_ID]],Product_Dim!$A$2:$G$101,2,FALSE)</f>
        <v>Ceramic Kitchen Bowl Set-Home</v>
      </c>
      <c r="J503" t="s">
        <v>1543</v>
      </c>
      <c r="K503" t="str">
        <f>VLOOKUP(Table1[[#This Row],[Store_ID]],Store_Dim!$A$3:$D$22,2,FALSE)</f>
        <v>Gray Ltd-North</v>
      </c>
      <c r="L503" t="s">
        <v>1738</v>
      </c>
      <c r="M503" t="s">
        <v>3959</v>
      </c>
      <c r="N503" s="3">
        <v>168.55</v>
      </c>
      <c r="O503" s="4">
        <v>0.15</v>
      </c>
      <c r="P503" t="s">
        <v>1774</v>
      </c>
      <c r="Q503" s="4">
        <v>573.07000000000005</v>
      </c>
    </row>
    <row r="504" spans="1:17" x14ac:dyDescent="0.3">
      <c r="A504" t="s">
        <v>2276</v>
      </c>
      <c r="B504" t="str">
        <f t="shared" si="7"/>
        <v>Q3</v>
      </c>
      <c r="C504" t="str">
        <f>TEXT(Table1[[#This Row],[Order_Date]],"mmmm")</f>
        <v>August</v>
      </c>
      <c r="D504">
        <f>YEAR(Table1[[#This Row],[Order_Date]])</f>
        <v>2025</v>
      </c>
      <c r="E504" s="7">
        <v>45899</v>
      </c>
      <c r="F504" s="2" t="str">
        <f>VLOOKUP(Table1[[#This Row],[Customer_ID]],Customer_Dim!$A$2:$H$501,2,FALSE)</f>
        <v>Zachary Andrade</v>
      </c>
      <c r="G504" s="2" t="str">
        <f>_xlfn.XLOOKUP(Table1[[#This Row],[Customer_ID]],Customer_Dim!$A$2:$A$501,Customer_Dim!$E$2:$E$501)</f>
        <v>South Davidport</v>
      </c>
      <c r="H504" t="s">
        <v>1484</v>
      </c>
      <c r="I504" t="str">
        <f>VLOOKUP(Table1[[#This Row],[Product_ID]],Product_Dim!$A$2:$G$101,2,FALSE)</f>
        <v>Adjustable Jump Rope-Sports</v>
      </c>
      <c r="J504" t="s">
        <v>1611</v>
      </c>
      <c r="K504" t="str">
        <f>VLOOKUP(Table1[[#This Row],[Store_ID]],Store_Dim!$A$3:$D$22,2,FALSE)</f>
        <v>Black-Horn-South</v>
      </c>
      <c r="L504" t="s">
        <v>1730</v>
      </c>
      <c r="M504" t="s">
        <v>3957</v>
      </c>
      <c r="N504" s="3">
        <v>230.53</v>
      </c>
      <c r="O504" s="4">
        <v>0.06</v>
      </c>
      <c r="P504" t="s">
        <v>1777</v>
      </c>
      <c r="Q504" s="4">
        <v>216.69820000000001</v>
      </c>
    </row>
    <row r="505" spans="1:17" x14ac:dyDescent="0.3">
      <c r="A505" t="s">
        <v>2277</v>
      </c>
      <c r="B505" t="str">
        <f t="shared" si="7"/>
        <v>Q3</v>
      </c>
      <c r="C505" t="str">
        <f>TEXT(Table1[[#This Row],[Order_Date]],"mmmm")</f>
        <v>August</v>
      </c>
      <c r="D505">
        <f>YEAR(Table1[[#This Row],[Order_Date]])</f>
        <v>2025</v>
      </c>
      <c r="E505" s="7">
        <v>45889</v>
      </c>
      <c r="F505" s="2" t="str">
        <f>VLOOKUP(Table1[[#This Row],[Customer_ID]],Customer_Dim!$A$2:$H$501,2,FALSE)</f>
        <v>Daniel Boyd</v>
      </c>
      <c r="G505" s="2" t="str">
        <f>_xlfn.XLOOKUP(Table1[[#This Row],[Customer_ID]],Customer_Dim!$A$2:$A$501,Customer_Dim!$E$2:$E$501)</f>
        <v>West Pamelafurt</v>
      </c>
      <c r="H505" t="s">
        <v>40</v>
      </c>
      <c r="I505" t="str">
        <f>VLOOKUP(Table1[[#This Row],[Product_ID]],Product_Dim!$A$2:$G$101,2,FALSE)</f>
        <v>Sports Stopwatch Pro-Sports</v>
      </c>
      <c r="J505" t="s">
        <v>1631</v>
      </c>
      <c r="K505" t="str">
        <f>VLOOKUP(Table1[[#This Row],[Store_ID]],Store_Dim!$A$3:$D$22,2,FALSE)</f>
        <v>Martinez, Adkins and Johnson-North</v>
      </c>
      <c r="L505" t="s">
        <v>1728</v>
      </c>
      <c r="M505" t="s">
        <v>3960</v>
      </c>
      <c r="N505" s="3">
        <v>355.41</v>
      </c>
      <c r="O505" s="4">
        <v>0.13</v>
      </c>
      <c r="P505" t="s">
        <v>1777</v>
      </c>
      <c r="Q505" s="4">
        <v>618.41340000000002</v>
      </c>
    </row>
    <row r="506" spans="1:17" x14ac:dyDescent="0.3">
      <c r="A506" t="s">
        <v>2278</v>
      </c>
      <c r="B506" t="str">
        <f t="shared" si="7"/>
        <v>Q4</v>
      </c>
      <c r="C506" t="str">
        <f>TEXT(Table1[[#This Row],[Order_Date]],"mmmm")</f>
        <v>October</v>
      </c>
      <c r="D506">
        <f>YEAR(Table1[[#This Row],[Order_Date]])</f>
        <v>2025</v>
      </c>
      <c r="E506" s="7">
        <v>45943</v>
      </c>
      <c r="F506" s="2" t="str">
        <f>VLOOKUP(Table1[[#This Row],[Customer_ID]],Customer_Dim!$A$2:$H$501,2,FALSE)</f>
        <v>Antonio Wade</v>
      </c>
      <c r="G506" s="2" t="str">
        <f>_xlfn.XLOOKUP(Table1[[#This Row],[Customer_ID]],Customer_Dim!$A$2:$A$501,Customer_Dim!$E$2:$E$501)</f>
        <v>New Jasonmouth</v>
      </c>
      <c r="H506" t="s">
        <v>551</v>
      </c>
      <c r="I506" t="str">
        <f>VLOOKUP(Table1[[#This Row],[Product_ID]],Product_Dim!$A$2:$G$101,2,FALSE)</f>
        <v>Makeup Brush Set-Beauty</v>
      </c>
      <c r="J506" t="s">
        <v>1617</v>
      </c>
      <c r="K506" t="str">
        <f>VLOOKUP(Table1[[#This Row],[Store_ID]],Store_Dim!$A$3:$D$22,2,FALSE)</f>
        <v>Black-Horn-South</v>
      </c>
      <c r="L506" t="s">
        <v>1730</v>
      </c>
      <c r="M506" t="s">
        <v>3958</v>
      </c>
      <c r="N506" s="3">
        <v>843.44</v>
      </c>
      <c r="O506" s="4">
        <v>0.22</v>
      </c>
      <c r="P506" t="s">
        <v>1772</v>
      </c>
      <c r="Q506" s="4">
        <v>1973.6496</v>
      </c>
    </row>
    <row r="507" spans="1:17" x14ac:dyDescent="0.3">
      <c r="A507" t="s">
        <v>2279</v>
      </c>
      <c r="B507" t="str">
        <f t="shared" si="7"/>
        <v>Q1</v>
      </c>
      <c r="C507" t="str">
        <f>TEXT(Table1[[#This Row],[Order_Date]],"mmmm")</f>
        <v>January</v>
      </c>
      <c r="D507">
        <f>YEAR(Table1[[#This Row],[Order_Date]])</f>
        <v>2024</v>
      </c>
      <c r="E507" s="7">
        <v>45306</v>
      </c>
      <c r="F507" s="2" t="str">
        <f>VLOOKUP(Table1[[#This Row],[Customer_ID]],Customer_Dim!$A$2:$H$501,2,FALSE)</f>
        <v>Joseph Jones</v>
      </c>
      <c r="G507" s="2" t="str">
        <f>_xlfn.XLOOKUP(Table1[[#This Row],[Customer_ID]],Customer_Dim!$A$2:$A$501,Customer_Dim!$E$2:$E$501)</f>
        <v>North Matthew</v>
      </c>
      <c r="H507" t="s">
        <v>539</v>
      </c>
      <c r="I507" t="str">
        <f>VLOOKUP(Table1[[#This Row],[Product_ID]],Product_Dim!$A$2:$G$101,2,FALSE)</f>
        <v>Sports Stopwatch Basic-Sports</v>
      </c>
      <c r="J507" t="s">
        <v>1713</v>
      </c>
      <c r="K507" t="str">
        <f>VLOOKUP(Table1[[#This Row],[Store_ID]],Store_Dim!$A$3:$D$22,2,FALSE)</f>
        <v>Martinez, Adkins and Johnson-North</v>
      </c>
      <c r="L507" t="s">
        <v>1728</v>
      </c>
      <c r="M507" t="s">
        <v>3957</v>
      </c>
      <c r="N507" s="3">
        <v>301.60000000000002</v>
      </c>
      <c r="O507" s="4">
        <v>0.27</v>
      </c>
      <c r="P507" t="s">
        <v>1772</v>
      </c>
      <c r="Q507" s="4">
        <v>220.16800000000001</v>
      </c>
    </row>
    <row r="508" spans="1:17" x14ac:dyDescent="0.3">
      <c r="A508" t="s">
        <v>2280</v>
      </c>
      <c r="B508" t="str">
        <f t="shared" si="7"/>
        <v>Q2</v>
      </c>
      <c r="C508" t="str">
        <f>TEXT(Table1[[#This Row],[Order_Date]],"mmmm")</f>
        <v>April</v>
      </c>
      <c r="D508">
        <f>YEAR(Table1[[#This Row],[Order_Date]])</f>
        <v>2025</v>
      </c>
      <c r="E508" s="7">
        <v>45772</v>
      </c>
      <c r="F508" s="2" t="str">
        <f>VLOOKUP(Table1[[#This Row],[Customer_ID]],Customer_Dim!$A$2:$H$501,2,FALSE)</f>
        <v>William Martin</v>
      </c>
      <c r="G508" s="2" t="str">
        <f>_xlfn.XLOOKUP(Table1[[#This Row],[Customer_ID]],Customer_Dim!$A$2:$A$501,Customer_Dim!$E$2:$E$501)</f>
        <v>Ryanburgh</v>
      </c>
      <c r="H508" t="s">
        <v>163</v>
      </c>
      <c r="I508" t="str">
        <f>VLOOKUP(Table1[[#This Row],[Product_ID]],Product_Dim!$A$2:$G$101,2,FALSE)</f>
        <v>Face Foundation Kit-Beauty</v>
      </c>
      <c r="J508" t="s">
        <v>1701</v>
      </c>
      <c r="K508" t="str">
        <f>VLOOKUP(Table1[[#This Row],[Store_ID]],Store_Dim!$A$3:$D$22,2,FALSE)</f>
        <v>Black-Horn-South</v>
      </c>
      <c r="L508" t="s">
        <v>1730</v>
      </c>
      <c r="M508" t="s">
        <v>3958</v>
      </c>
      <c r="N508" s="3">
        <v>21.59</v>
      </c>
      <c r="O508" s="4">
        <v>0.16</v>
      </c>
      <c r="P508" t="s">
        <v>1777</v>
      </c>
      <c r="Q508" s="4">
        <v>54.406799999999997</v>
      </c>
    </row>
    <row r="509" spans="1:17" x14ac:dyDescent="0.3">
      <c r="A509" t="s">
        <v>2281</v>
      </c>
      <c r="B509" t="str">
        <f t="shared" si="7"/>
        <v>Q1</v>
      </c>
      <c r="C509" t="str">
        <f>TEXT(Table1[[#This Row],[Order_Date]],"mmmm")</f>
        <v>February</v>
      </c>
      <c r="D509">
        <f>YEAR(Table1[[#This Row],[Order_Date]])</f>
        <v>2024</v>
      </c>
      <c r="E509" s="7">
        <v>45346</v>
      </c>
      <c r="F509" s="2" t="str">
        <f>VLOOKUP(Table1[[#This Row],[Customer_ID]],Customer_Dim!$A$2:$H$501,2,FALSE)</f>
        <v>Blake Harrison</v>
      </c>
      <c r="G509" s="2" t="str">
        <f>_xlfn.XLOOKUP(Table1[[#This Row],[Customer_ID]],Customer_Dim!$A$2:$A$501,Customer_Dim!$E$2:$E$501)</f>
        <v>Lyonsfort</v>
      </c>
      <c r="H509" t="s">
        <v>684</v>
      </c>
      <c r="I509" t="str">
        <f>VLOOKUP(Table1[[#This Row],[Product_ID]],Product_Dim!$A$2:$G$101,2,FALSE)</f>
        <v>USB-C Fast Charger-Electronics</v>
      </c>
      <c r="J509" t="s">
        <v>1549</v>
      </c>
      <c r="K509" t="str">
        <f>VLOOKUP(Table1[[#This Row],[Store_ID]],Store_Dim!$A$3:$D$22,2,FALSE)</f>
        <v>Black-Horn-South</v>
      </c>
      <c r="L509" t="s">
        <v>1730</v>
      </c>
      <c r="M509" t="s">
        <v>3959</v>
      </c>
      <c r="N509" s="3">
        <v>284.24</v>
      </c>
      <c r="O509" s="4">
        <v>0.09</v>
      </c>
      <c r="P509" t="s">
        <v>1772</v>
      </c>
      <c r="Q509" s="4">
        <v>1034.6335999999999</v>
      </c>
    </row>
    <row r="510" spans="1:17" x14ac:dyDescent="0.3">
      <c r="A510" t="s">
        <v>2282</v>
      </c>
      <c r="B510" t="str">
        <f t="shared" si="7"/>
        <v>Q4</v>
      </c>
      <c r="C510" t="str">
        <f>TEXT(Table1[[#This Row],[Order_Date]],"mmmm")</f>
        <v>December</v>
      </c>
      <c r="D510">
        <f>YEAR(Table1[[#This Row],[Order_Date]])</f>
        <v>2024</v>
      </c>
      <c r="E510" s="7">
        <v>45656</v>
      </c>
      <c r="F510" s="2" t="str">
        <f>VLOOKUP(Table1[[#This Row],[Customer_ID]],Customer_Dim!$A$2:$H$501,2,FALSE)</f>
        <v>Miranda King</v>
      </c>
      <c r="G510" s="2" t="str">
        <f>_xlfn.XLOOKUP(Table1[[#This Row],[Customer_ID]],Customer_Dim!$A$2:$A$501,Customer_Dim!$E$2:$E$501)</f>
        <v>West Mathew</v>
      </c>
      <c r="H510" t="s">
        <v>1138</v>
      </c>
      <c r="I510" t="str">
        <f>VLOOKUP(Table1[[#This Row],[Product_ID]],Product_Dim!$A$2:$G$101,2,FALSE)</f>
        <v>Men's Leather Belt-Clothing</v>
      </c>
      <c r="J510" t="s">
        <v>1533</v>
      </c>
      <c r="K510" t="str">
        <f>VLOOKUP(Table1[[#This Row],[Store_ID]],Store_Dim!$A$3:$D$22,2,FALSE)</f>
        <v>Moore, Padilla and Butler-South</v>
      </c>
      <c r="L510" t="s">
        <v>1746</v>
      </c>
      <c r="M510" t="s">
        <v>3957</v>
      </c>
      <c r="N510" s="3">
        <v>191.6</v>
      </c>
      <c r="O510" s="4">
        <v>0.27</v>
      </c>
      <c r="P510" t="s">
        <v>1774</v>
      </c>
      <c r="Q510" s="4">
        <v>139.86799999999999</v>
      </c>
    </row>
    <row r="511" spans="1:17" x14ac:dyDescent="0.3">
      <c r="A511" t="s">
        <v>2283</v>
      </c>
      <c r="B511" t="str">
        <f t="shared" si="7"/>
        <v>Q2</v>
      </c>
      <c r="C511" t="str">
        <f>TEXT(Table1[[#This Row],[Order_Date]],"mmmm")</f>
        <v>April</v>
      </c>
      <c r="D511">
        <f>YEAR(Table1[[#This Row],[Order_Date]])</f>
        <v>2025</v>
      </c>
      <c r="E511" s="7">
        <v>45762</v>
      </c>
      <c r="F511" s="2" t="str">
        <f>VLOOKUP(Table1[[#This Row],[Customer_ID]],Customer_Dim!$A$2:$H$501,2,FALSE)</f>
        <v>Kevin Larson</v>
      </c>
      <c r="G511" s="2" t="str">
        <f>_xlfn.XLOOKUP(Table1[[#This Row],[Customer_ID]],Customer_Dim!$A$2:$A$501,Customer_Dim!$E$2:$E$501)</f>
        <v>Port Edwardmouth</v>
      </c>
      <c r="H511" t="s">
        <v>971</v>
      </c>
      <c r="I511" t="str">
        <f>VLOOKUP(Table1[[#This Row],[Product_ID]],Product_Dim!$A$2:$G$101,2,FALSE)</f>
        <v>Essential Oil Diffuser-Home</v>
      </c>
      <c r="J511" t="s">
        <v>1679</v>
      </c>
      <c r="K511" t="str">
        <f>VLOOKUP(Table1[[#This Row],[Store_ID]],Store_Dim!$A$3:$D$22,2,FALSE)</f>
        <v>Thomas, Bridges and Harris-North</v>
      </c>
      <c r="L511" t="s">
        <v>1751</v>
      </c>
      <c r="M511" t="s">
        <v>3960</v>
      </c>
      <c r="N511" s="3">
        <v>616.97</v>
      </c>
      <c r="O511" s="4">
        <v>0.22</v>
      </c>
      <c r="P511" t="s">
        <v>1772</v>
      </c>
      <c r="Q511" s="4">
        <v>962.47320000000002</v>
      </c>
    </row>
    <row r="512" spans="1:17" x14ac:dyDescent="0.3">
      <c r="A512" t="s">
        <v>2284</v>
      </c>
      <c r="B512" t="str">
        <f t="shared" si="7"/>
        <v>Q4</v>
      </c>
      <c r="C512" t="str">
        <f>TEXT(Table1[[#This Row],[Order_Date]],"mmmm")</f>
        <v>October</v>
      </c>
      <c r="D512">
        <f>YEAR(Table1[[#This Row],[Order_Date]])</f>
        <v>2024</v>
      </c>
      <c r="E512" s="7">
        <v>45580</v>
      </c>
      <c r="F512" s="2" t="str">
        <f>VLOOKUP(Table1[[#This Row],[Customer_ID]],Customer_Dim!$A$2:$H$501,2,FALSE)</f>
        <v>Daniel Contreras</v>
      </c>
      <c r="G512" s="2" t="str">
        <f>_xlfn.XLOOKUP(Table1[[#This Row],[Customer_ID]],Customer_Dim!$A$2:$A$501,Customer_Dim!$E$2:$E$501)</f>
        <v>Robertview</v>
      </c>
      <c r="H512" t="s">
        <v>554</v>
      </c>
      <c r="I512" t="str">
        <f>VLOOKUP(Table1[[#This Row],[Product_ID]],Product_Dim!$A$2:$G$101,2,FALSE)</f>
        <v>Sports Stopwatch Timer-Sports</v>
      </c>
      <c r="J512" t="s">
        <v>1579</v>
      </c>
      <c r="K512" t="str">
        <f>VLOOKUP(Table1[[#This Row],[Store_ID]],Store_Dim!$A$3:$D$22,2,FALSE)</f>
        <v>Hill, Wagner and Ballard-East</v>
      </c>
      <c r="L512" t="s">
        <v>1748</v>
      </c>
      <c r="M512" t="s">
        <v>3958</v>
      </c>
      <c r="N512" s="3">
        <v>125.68</v>
      </c>
      <c r="O512" s="4">
        <v>0.26</v>
      </c>
      <c r="P512" t="s">
        <v>1777</v>
      </c>
      <c r="Q512" s="4">
        <v>279.00959999999998</v>
      </c>
    </row>
    <row r="513" spans="1:17" x14ac:dyDescent="0.3">
      <c r="A513" t="s">
        <v>2285</v>
      </c>
      <c r="B513" t="str">
        <f t="shared" si="7"/>
        <v>Q1</v>
      </c>
      <c r="C513" t="str">
        <f>TEXT(Table1[[#This Row],[Order_Date]],"mmmm")</f>
        <v>January</v>
      </c>
      <c r="D513">
        <f>YEAR(Table1[[#This Row],[Order_Date]])</f>
        <v>2025</v>
      </c>
      <c r="E513" s="7">
        <v>45676</v>
      </c>
      <c r="F513" s="2" t="str">
        <f>VLOOKUP(Table1[[#This Row],[Customer_ID]],Customer_Dim!$A$2:$H$501,2,FALSE)</f>
        <v>Michael Greene</v>
      </c>
      <c r="G513" s="2" t="str">
        <f>_xlfn.XLOOKUP(Table1[[#This Row],[Customer_ID]],Customer_Dim!$A$2:$A$501,Customer_Dim!$E$2:$E$501)</f>
        <v>Port Saramouth</v>
      </c>
      <c r="H513" t="s">
        <v>1092</v>
      </c>
      <c r="I513" t="str">
        <f>VLOOKUP(Table1[[#This Row],[Product_ID]],Product_Dim!$A$2:$G$101,2,FALSE)</f>
        <v>USB External Hard Drive-Electronics</v>
      </c>
      <c r="J513" t="s">
        <v>1609</v>
      </c>
      <c r="K513" t="str">
        <f>VLOOKUP(Table1[[#This Row],[Store_ID]],Store_Dim!$A$3:$D$22,2,FALSE)</f>
        <v>Alexander Group-South</v>
      </c>
      <c r="L513" t="s">
        <v>1735</v>
      </c>
      <c r="M513" t="s">
        <v>3958</v>
      </c>
      <c r="N513" s="3">
        <v>307.48</v>
      </c>
      <c r="O513" s="4">
        <v>0.24</v>
      </c>
      <c r="P513" t="s">
        <v>1772</v>
      </c>
      <c r="Q513" s="4">
        <v>701.0544000000001</v>
      </c>
    </row>
    <row r="514" spans="1:17" x14ac:dyDescent="0.3">
      <c r="A514" t="s">
        <v>2286</v>
      </c>
      <c r="B514" t="str">
        <f t="shared" ref="B514:B577" si="8">"Q" &amp;ROUNDUP(MONTH(E514)/3,0)</f>
        <v>Q3</v>
      </c>
      <c r="C514" t="str">
        <f>TEXT(Table1[[#This Row],[Order_Date]],"mmmm")</f>
        <v>July</v>
      </c>
      <c r="D514">
        <f>YEAR(Table1[[#This Row],[Order_Date]])</f>
        <v>2024</v>
      </c>
      <c r="E514" s="7">
        <v>45495</v>
      </c>
      <c r="F514" s="2" t="str">
        <f>VLOOKUP(Table1[[#This Row],[Customer_ID]],Customer_Dim!$A$2:$H$501,2,FALSE)</f>
        <v>Tracy Stephens</v>
      </c>
      <c r="G514" s="2" t="str">
        <f>_xlfn.XLOOKUP(Table1[[#This Row],[Customer_ID]],Customer_Dim!$A$2:$A$501,Customer_Dim!$E$2:$E$501)</f>
        <v>New Joshuatown</v>
      </c>
      <c r="H514" t="s">
        <v>933</v>
      </c>
      <c r="I514" t="str">
        <f>VLOOKUP(Table1[[#This Row],[Product_ID]],Product_Dim!$A$2:$G$101,2,FALSE)</f>
        <v>Women's Casual Hoodie-Clothing</v>
      </c>
      <c r="J514" t="s">
        <v>1527</v>
      </c>
      <c r="K514" t="str">
        <f>VLOOKUP(Table1[[#This Row],[Store_ID]],Store_Dim!$A$3:$D$22,2,FALSE)</f>
        <v>Mann-Austin-East</v>
      </c>
      <c r="L514" t="s">
        <v>1763</v>
      </c>
      <c r="M514" t="s">
        <v>3957</v>
      </c>
      <c r="N514" s="3">
        <v>505.23</v>
      </c>
      <c r="O514" s="4">
        <v>0.11</v>
      </c>
      <c r="P514" t="s">
        <v>1772</v>
      </c>
      <c r="Q514" s="4">
        <v>449.65469999999999</v>
      </c>
    </row>
    <row r="515" spans="1:17" x14ac:dyDescent="0.3">
      <c r="A515" t="s">
        <v>2287</v>
      </c>
      <c r="B515" t="str">
        <f t="shared" si="8"/>
        <v>Q1</v>
      </c>
      <c r="C515" t="str">
        <f>TEXT(Table1[[#This Row],[Order_Date]],"mmmm")</f>
        <v>March</v>
      </c>
      <c r="D515">
        <f>YEAR(Table1[[#This Row],[Order_Date]])</f>
        <v>2025</v>
      </c>
      <c r="E515" s="7">
        <v>45735</v>
      </c>
      <c r="F515" s="2" t="str">
        <f>VLOOKUP(Table1[[#This Row],[Customer_ID]],Customer_Dim!$A$2:$H$501,2,FALSE)</f>
        <v>Brandon Mcbride</v>
      </c>
      <c r="G515" s="2" t="str">
        <f>_xlfn.XLOOKUP(Table1[[#This Row],[Customer_ID]],Customer_Dim!$A$2:$A$501,Customer_Dim!$E$2:$E$501)</f>
        <v>Kellyside</v>
      </c>
      <c r="H515" t="s">
        <v>1129</v>
      </c>
      <c r="I515" t="str">
        <f>VLOOKUP(Table1[[#This Row],[Product_ID]],Product_Dim!$A$2:$G$101,2,FALSE)</f>
        <v>High-Grip Football-Sports</v>
      </c>
      <c r="J515" t="s">
        <v>1613</v>
      </c>
      <c r="K515" t="str">
        <f>VLOOKUP(Table1[[#This Row],[Store_ID]],Store_Dim!$A$3:$D$22,2,FALSE)</f>
        <v>Frederick-Wright-West</v>
      </c>
      <c r="L515" t="s">
        <v>1757</v>
      </c>
      <c r="M515" t="s">
        <v>3957</v>
      </c>
      <c r="N515" s="3">
        <v>853.12</v>
      </c>
      <c r="O515" s="4">
        <v>0.19</v>
      </c>
      <c r="P515" t="s">
        <v>1777</v>
      </c>
      <c r="Q515" s="4">
        <v>691.02719999999999</v>
      </c>
    </row>
    <row r="516" spans="1:17" x14ac:dyDescent="0.3">
      <c r="A516" t="s">
        <v>2288</v>
      </c>
      <c r="B516" t="str">
        <f t="shared" si="8"/>
        <v>Q1</v>
      </c>
      <c r="C516" t="str">
        <f>TEXT(Table1[[#This Row],[Order_Date]],"mmmm")</f>
        <v>January</v>
      </c>
      <c r="D516">
        <f>YEAR(Table1[[#This Row],[Order_Date]])</f>
        <v>2024</v>
      </c>
      <c r="E516" s="7">
        <v>45312</v>
      </c>
      <c r="F516" s="2" t="str">
        <f>VLOOKUP(Table1[[#This Row],[Customer_ID]],Customer_Dim!$A$2:$H$501,2,FALSE)</f>
        <v>Jessica Mitchell</v>
      </c>
      <c r="G516" s="2" t="str">
        <f>_xlfn.XLOOKUP(Table1[[#This Row],[Customer_ID]],Customer_Dim!$A$2:$A$501,Customer_Dim!$E$2:$E$501)</f>
        <v>Matthewbury</v>
      </c>
      <c r="H516" t="s">
        <v>439</v>
      </c>
      <c r="I516" t="str">
        <f>VLOOKUP(Table1[[#This Row],[Product_ID]],Product_Dim!$A$2:$G$101,2,FALSE)</f>
        <v>Brother Laser Printer-Electronics</v>
      </c>
      <c r="J516" t="s">
        <v>1523</v>
      </c>
      <c r="K516" t="str">
        <f>VLOOKUP(Table1[[#This Row],[Store_ID]],Store_Dim!$A$3:$D$22,2,FALSE)</f>
        <v>Martinez-Mullins-South</v>
      </c>
      <c r="L516" t="s">
        <v>1742</v>
      </c>
      <c r="M516" t="s">
        <v>3959</v>
      </c>
      <c r="N516" s="3">
        <v>191.65</v>
      </c>
      <c r="O516" s="4">
        <v>0.19</v>
      </c>
      <c r="P516" t="s">
        <v>1774</v>
      </c>
      <c r="Q516" s="4">
        <v>620.94600000000003</v>
      </c>
    </row>
    <row r="517" spans="1:17" x14ac:dyDescent="0.3">
      <c r="A517" t="s">
        <v>2289</v>
      </c>
      <c r="B517" t="str">
        <f t="shared" si="8"/>
        <v>Q4</v>
      </c>
      <c r="C517" t="str">
        <f>TEXT(Table1[[#This Row],[Order_Date]],"mmmm")</f>
        <v>December</v>
      </c>
      <c r="D517">
        <f>YEAR(Table1[[#This Row],[Order_Date]])</f>
        <v>2023</v>
      </c>
      <c r="E517" s="7">
        <v>45286</v>
      </c>
      <c r="F517" s="2" t="str">
        <f>VLOOKUP(Table1[[#This Row],[Customer_ID]],Customer_Dim!$A$2:$H$501,2,FALSE)</f>
        <v>John Lawson</v>
      </c>
      <c r="G517" s="2" t="str">
        <f>_xlfn.XLOOKUP(Table1[[#This Row],[Customer_ID]],Customer_Dim!$A$2:$A$501,Customer_Dim!$E$2:$E$501)</f>
        <v>New Juliemouth</v>
      </c>
      <c r="H517" t="s">
        <v>530</v>
      </c>
      <c r="I517" t="str">
        <f>VLOOKUP(Table1[[#This Row],[Product_ID]],Product_Dim!$A$2:$G$101,2,FALSE)</f>
        <v>Makeup Brush Set-Beauty</v>
      </c>
      <c r="J517" t="s">
        <v>1617</v>
      </c>
      <c r="K517" t="str">
        <f>VLOOKUP(Table1[[#This Row],[Store_ID]],Store_Dim!$A$3:$D$22,2,FALSE)</f>
        <v>Johnson-Wright-North</v>
      </c>
      <c r="L517" t="s">
        <v>1733</v>
      </c>
      <c r="M517" t="s">
        <v>3957</v>
      </c>
      <c r="N517" s="3">
        <v>169.69</v>
      </c>
      <c r="O517" s="4">
        <v>0.22</v>
      </c>
      <c r="P517" t="s">
        <v>1772</v>
      </c>
      <c r="Q517" s="4">
        <v>132.35820000000001</v>
      </c>
    </row>
    <row r="518" spans="1:17" x14ac:dyDescent="0.3">
      <c r="A518" t="s">
        <v>2290</v>
      </c>
      <c r="B518" t="str">
        <f t="shared" si="8"/>
        <v>Q1</v>
      </c>
      <c r="C518" t="str">
        <f>TEXT(Table1[[#This Row],[Order_Date]],"mmmm")</f>
        <v>March</v>
      </c>
      <c r="D518">
        <f>YEAR(Table1[[#This Row],[Order_Date]])</f>
        <v>2024</v>
      </c>
      <c r="E518" s="7">
        <v>45372</v>
      </c>
      <c r="F518" s="2" t="str">
        <f>VLOOKUP(Table1[[#This Row],[Customer_ID]],Customer_Dim!$A$2:$H$501,2,FALSE)</f>
        <v>Michelle Rogers</v>
      </c>
      <c r="G518" s="2" t="str">
        <f>_xlfn.XLOOKUP(Table1[[#This Row],[Customer_ID]],Customer_Dim!$A$2:$A$501,Customer_Dim!$E$2:$E$501)</f>
        <v>East Jessicaborough</v>
      </c>
      <c r="H518" t="s">
        <v>573</v>
      </c>
      <c r="I518" t="str">
        <f>VLOOKUP(Table1[[#This Row],[Product_ID]],Product_Dim!$A$2:$G$101,2,FALSE)</f>
        <v>Laptop Cooling Pad-Electronics</v>
      </c>
      <c r="J518" t="s">
        <v>1647</v>
      </c>
      <c r="K518" t="str">
        <f>VLOOKUP(Table1[[#This Row],[Store_ID]],Store_Dim!$A$3:$D$22,2,FALSE)</f>
        <v>Mcdonald Inc-South</v>
      </c>
      <c r="L518" t="s">
        <v>1754</v>
      </c>
      <c r="M518" t="s">
        <v>3957</v>
      </c>
      <c r="N518" s="3">
        <v>145.43</v>
      </c>
      <c r="O518" s="4">
        <v>0.08</v>
      </c>
      <c r="P518" t="s">
        <v>1772</v>
      </c>
      <c r="Q518" s="4">
        <v>133.79560000000001</v>
      </c>
    </row>
    <row r="519" spans="1:17" x14ac:dyDescent="0.3">
      <c r="A519" t="s">
        <v>2291</v>
      </c>
      <c r="B519" t="str">
        <f t="shared" si="8"/>
        <v>Q4</v>
      </c>
      <c r="C519" t="str">
        <f>TEXT(Table1[[#This Row],[Order_Date]],"mmmm")</f>
        <v>December</v>
      </c>
      <c r="D519">
        <f>YEAR(Table1[[#This Row],[Order_Date]])</f>
        <v>2024</v>
      </c>
      <c r="E519" s="7">
        <v>45633</v>
      </c>
      <c r="F519" s="2" t="str">
        <f>VLOOKUP(Table1[[#This Row],[Customer_ID]],Customer_Dim!$A$2:$H$501,2,FALSE)</f>
        <v>Christy Hoffman</v>
      </c>
      <c r="G519" s="2" t="str">
        <f>_xlfn.XLOOKUP(Table1[[#This Row],[Customer_ID]],Customer_Dim!$A$2:$A$501,Customer_Dim!$E$2:$E$501)</f>
        <v>Garyberg</v>
      </c>
      <c r="H519" t="s">
        <v>301</v>
      </c>
      <c r="I519" t="str">
        <f>VLOOKUP(Table1[[#This Row],[Product_ID]],Product_Dim!$A$2:$G$101,2,FALSE)</f>
        <v>USB-C Laptop Charger-Electronics</v>
      </c>
      <c r="J519" t="s">
        <v>1709</v>
      </c>
      <c r="K519" t="str">
        <f>VLOOKUP(Table1[[#This Row],[Store_ID]],Store_Dim!$A$3:$D$22,2,FALSE)</f>
        <v>Thomas, Bridges and Harris-North</v>
      </c>
      <c r="L519" t="s">
        <v>1751</v>
      </c>
      <c r="M519" t="s">
        <v>3959</v>
      </c>
      <c r="N519" s="3">
        <v>828.35</v>
      </c>
      <c r="O519" s="4">
        <v>0.17</v>
      </c>
      <c r="P519" t="s">
        <v>1772</v>
      </c>
      <c r="Q519" s="4">
        <v>2750.1219999999998</v>
      </c>
    </row>
    <row r="520" spans="1:17" x14ac:dyDescent="0.3">
      <c r="A520" t="s">
        <v>2292</v>
      </c>
      <c r="B520" t="str">
        <f t="shared" si="8"/>
        <v>Q4</v>
      </c>
      <c r="C520" t="str">
        <f>TEXT(Table1[[#This Row],[Order_Date]],"mmmm")</f>
        <v>November</v>
      </c>
      <c r="D520">
        <f>YEAR(Table1[[#This Row],[Order_Date]])</f>
        <v>2024</v>
      </c>
      <c r="E520" s="7">
        <v>45598</v>
      </c>
      <c r="F520" s="2" t="str">
        <f>VLOOKUP(Table1[[#This Row],[Customer_ID]],Customer_Dim!$A$2:$H$501,2,FALSE)</f>
        <v>Joshua Smith Dvm</v>
      </c>
      <c r="G520" s="2" t="str">
        <f>_xlfn.XLOOKUP(Table1[[#This Row],[Customer_ID]],Customer_Dim!$A$2:$A$501,Customer_Dim!$E$2:$E$501)</f>
        <v>Melvinton</v>
      </c>
      <c r="H520" t="s">
        <v>1121</v>
      </c>
      <c r="I520" t="str">
        <f>VLOOKUP(Table1[[#This Row],[Product_ID]],Product_Dim!$A$2:$G$101,2,FALSE)</f>
        <v>Sports Stopwatch Basic-Sports</v>
      </c>
      <c r="J520" t="s">
        <v>1713</v>
      </c>
      <c r="K520" t="str">
        <f>VLOOKUP(Table1[[#This Row],[Store_ID]],Store_Dim!$A$3:$D$22,2,FALSE)</f>
        <v>Martinez-Mullins-South</v>
      </c>
      <c r="L520" t="s">
        <v>1742</v>
      </c>
      <c r="M520" t="s">
        <v>3958</v>
      </c>
      <c r="N520" s="3">
        <v>268.76</v>
      </c>
      <c r="O520" s="4">
        <v>0.01</v>
      </c>
      <c r="P520" t="s">
        <v>1774</v>
      </c>
      <c r="Q520" s="4">
        <v>798.21719999999993</v>
      </c>
    </row>
    <row r="521" spans="1:17" x14ac:dyDescent="0.3">
      <c r="A521" t="s">
        <v>2293</v>
      </c>
      <c r="B521" t="str">
        <f t="shared" si="8"/>
        <v>Q3</v>
      </c>
      <c r="C521" t="str">
        <f>TEXT(Table1[[#This Row],[Order_Date]],"mmmm")</f>
        <v>July</v>
      </c>
      <c r="D521">
        <f>YEAR(Table1[[#This Row],[Order_Date]])</f>
        <v>2024</v>
      </c>
      <c r="E521" s="7">
        <v>45495</v>
      </c>
      <c r="F521" s="2" t="str">
        <f>VLOOKUP(Table1[[#This Row],[Customer_ID]],Customer_Dim!$A$2:$H$501,2,FALSE)</f>
        <v>Michelle Gonzalez</v>
      </c>
      <c r="G521" s="2" t="str">
        <f>_xlfn.XLOOKUP(Table1[[#This Row],[Customer_ID]],Customer_Dim!$A$2:$A$501,Customer_Dim!$E$2:$E$501)</f>
        <v>Clarkport</v>
      </c>
      <c r="H521" t="s">
        <v>743</v>
      </c>
      <c r="I521" t="str">
        <f>VLOOKUP(Table1[[#This Row],[Product_ID]],Product_Dim!$A$2:$G$101,2,FALSE)</f>
        <v>Sports Wrist Sweatbands-Sports</v>
      </c>
      <c r="J521" t="s">
        <v>1699</v>
      </c>
      <c r="K521" t="str">
        <f>VLOOKUP(Table1[[#This Row],[Store_ID]],Store_Dim!$A$3:$D$22,2,FALSE)</f>
        <v>Rivera-Warner-East</v>
      </c>
      <c r="L521" t="s">
        <v>1725</v>
      </c>
      <c r="M521" t="s">
        <v>3959</v>
      </c>
      <c r="N521" s="3">
        <v>370.09</v>
      </c>
      <c r="O521" s="4">
        <v>0.22</v>
      </c>
      <c r="P521" t="s">
        <v>1777</v>
      </c>
      <c r="Q521" s="4">
        <v>1154.6808000000001</v>
      </c>
    </row>
    <row r="522" spans="1:17" x14ac:dyDescent="0.3">
      <c r="A522" t="s">
        <v>2294</v>
      </c>
      <c r="B522" t="str">
        <f t="shared" si="8"/>
        <v>Q4</v>
      </c>
      <c r="C522" t="str">
        <f>TEXT(Table1[[#This Row],[Order_Date]],"mmmm")</f>
        <v>October</v>
      </c>
      <c r="D522">
        <f>YEAR(Table1[[#This Row],[Order_Date]])</f>
        <v>2023</v>
      </c>
      <c r="E522" s="7">
        <v>45229</v>
      </c>
      <c r="F522" s="2" t="str">
        <f>VLOOKUP(Table1[[#This Row],[Customer_ID]],Customer_Dim!$A$2:$H$501,2,FALSE)</f>
        <v>Dr. Ashley Yates Md</v>
      </c>
      <c r="G522" s="2" t="str">
        <f>_xlfn.XLOOKUP(Table1[[#This Row],[Customer_ID]],Customer_Dim!$A$2:$A$501,Customer_Dim!$E$2:$E$501)</f>
        <v>New Maria</v>
      </c>
      <c r="H522" t="s">
        <v>803</v>
      </c>
      <c r="I522" t="str">
        <f>VLOOKUP(Table1[[#This Row],[Product_ID]],Product_Dim!$A$2:$G$101,2,FALSE)</f>
        <v>Essential Oil Diffuser-Home</v>
      </c>
      <c r="J522" t="s">
        <v>1679</v>
      </c>
      <c r="K522" t="str">
        <f>VLOOKUP(Table1[[#This Row],[Store_ID]],Store_Dim!$A$3:$D$22,2,FALSE)</f>
        <v>Benson-Elliott-East</v>
      </c>
      <c r="L522" t="s">
        <v>1740</v>
      </c>
      <c r="M522" t="s">
        <v>3958</v>
      </c>
      <c r="N522" s="3">
        <v>679.22</v>
      </c>
      <c r="O522" s="4">
        <v>0.11</v>
      </c>
      <c r="P522" t="s">
        <v>1774</v>
      </c>
      <c r="Q522" s="4">
        <v>1813.5174</v>
      </c>
    </row>
    <row r="523" spans="1:17" x14ac:dyDescent="0.3">
      <c r="A523" t="s">
        <v>2295</v>
      </c>
      <c r="B523" t="str">
        <f t="shared" si="8"/>
        <v>Q2</v>
      </c>
      <c r="C523" t="str">
        <f>TEXT(Table1[[#This Row],[Order_Date]],"mmmm")</f>
        <v>May</v>
      </c>
      <c r="D523">
        <f>YEAR(Table1[[#This Row],[Order_Date]])</f>
        <v>2024</v>
      </c>
      <c r="E523" s="7">
        <v>45433</v>
      </c>
      <c r="F523" s="2" t="str">
        <f>VLOOKUP(Table1[[#This Row],[Customer_ID]],Customer_Dim!$A$2:$H$501,2,FALSE)</f>
        <v>James Orozco</v>
      </c>
      <c r="G523" s="2" t="str">
        <f>_xlfn.XLOOKUP(Table1[[#This Row],[Customer_ID]],Customer_Dim!$A$2:$A$501,Customer_Dim!$E$2:$E$501)</f>
        <v>Simpsonfort</v>
      </c>
      <c r="H523" t="s">
        <v>1153</v>
      </c>
      <c r="I523" t="str">
        <f>VLOOKUP(Table1[[#This Row],[Product_ID]],Product_Dim!$A$2:$G$101,2,FALSE)</f>
        <v>Shin Guards – Adult-Sports</v>
      </c>
      <c r="J523" t="s">
        <v>1669</v>
      </c>
      <c r="K523" t="str">
        <f>VLOOKUP(Table1[[#This Row],[Store_ID]],Store_Dim!$A$3:$D$22,2,FALSE)</f>
        <v>Rivera-Warner-East</v>
      </c>
      <c r="L523" t="s">
        <v>1725</v>
      </c>
      <c r="M523" t="s">
        <v>3958</v>
      </c>
      <c r="N523" s="3">
        <v>780.69</v>
      </c>
      <c r="O523" s="4">
        <v>0.1</v>
      </c>
      <c r="P523" t="s">
        <v>1777</v>
      </c>
      <c r="Q523" s="4">
        <v>2107.8629999999998</v>
      </c>
    </row>
    <row r="524" spans="1:17" x14ac:dyDescent="0.3">
      <c r="A524" t="s">
        <v>2296</v>
      </c>
      <c r="B524" t="str">
        <f t="shared" si="8"/>
        <v>Q2</v>
      </c>
      <c r="C524" t="str">
        <f>TEXT(Table1[[#This Row],[Order_Date]],"mmmm")</f>
        <v>April</v>
      </c>
      <c r="D524">
        <f>YEAR(Table1[[#This Row],[Order_Date]])</f>
        <v>2025</v>
      </c>
      <c r="E524" s="7">
        <v>45766</v>
      </c>
      <c r="F524" s="2" t="str">
        <f>VLOOKUP(Table1[[#This Row],[Customer_ID]],Customer_Dim!$A$2:$H$501,2,FALSE)</f>
        <v>Carol Bishop</v>
      </c>
      <c r="G524" s="2" t="str">
        <f>_xlfn.XLOOKUP(Table1[[#This Row],[Customer_ID]],Customer_Dim!$A$2:$A$501,Customer_Dim!$E$2:$E$501)</f>
        <v>Lake Saramouth</v>
      </c>
      <c r="H524" t="s">
        <v>826</v>
      </c>
      <c r="I524" t="str">
        <f>VLOOKUP(Table1[[#This Row],[Product_ID]],Product_Dim!$A$2:$G$101,2,FALSE)</f>
        <v>Smart Home WiFi Camera-Electronics</v>
      </c>
      <c r="J524" t="s">
        <v>1607</v>
      </c>
      <c r="K524" t="str">
        <f>VLOOKUP(Table1[[#This Row],[Store_ID]],Store_Dim!$A$3:$D$22,2,FALSE)</f>
        <v>Black-Horn-South</v>
      </c>
      <c r="L524" t="s">
        <v>1730</v>
      </c>
      <c r="M524" t="s">
        <v>3960</v>
      </c>
      <c r="N524" s="3">
        <v>42.97</v>
      </c>
      <c r="O524" s="4">
        <v>0.18</v>
      </c>
      <c r="P524" t="s">
        <v>1774</v>
      </c>
      <c r="Q524" s="4">
        <v>70.470799999999997</v>
      </c>
    </row>
    <row r="525" spans="1:17" x14ac:dyDescent="0.3">
      <c r="A525" t="s">
        <v>2297</v>
      </c>
      <c r="B525" t="str">
        <f t="shared" si="8"/>
        <v>Q4</v>
      </c>
      <c r="C525" t="str">
        <f>TEXT(Table1[[#This Row],[Order_Date]],"mmmm")</f>
        <v>December</v>
      </c>
      <c r="D525">
        <f>YEAR(Table1[[#This Row],[Order_Date]])</f>
        <v>2024</v>
      </c>
      <c r="E525" s="7">
        <v>45639</v>
      </c>
      <c r="F525" s="2" t="str">
        <f>VLOOKUP(Table1[[#This Row],[Customer_ID]],Customer_Dim!$A$2:$H$501,2,FALSE)</f>
        <v>Tommy Roberts</v>
      </c>
      <c r="G525" s="2" t="str">
        <f>_xlfn.XLOOKUP(Table1[[#This Row],[Customer_ID]],Customer_Dim!$A$2:$A$501,Customer_Dim!$E$2:$E$501)</f>
        <v>Port Tonyfort</v>
      </c>
      <c r="H525" t="s">
        <v>900</v>
      </c>
      <c r="I525" t="str">
        <f>VLOOKUP(Table1[[#This Row],[Product_ID]],Product_Dim!$A$2:$G$101,2,FALSE)</f>
        <v>Fitness Resistance Bands-Sports</v>
      </c>
      <c r="J525" t="s">
        <v>1687</v>
      </c>
      <c r="K525" t="str">
        <f>VLOOKUP(Table1[[#This Row],[Store_ID]],Store_Dim!$A$3:$D$22,2,FALSE)</f>
        <v>Rivera-Warner-East</v>
      </c>
      <c r="L525" t="s">
        <v>1725</v>
      </c>
      <c r="M525" t="s">
        <v>3959</v>
      </c>
      <c r="N525" s="3">
        <v>854.37</v>
      </c>
      <c r="O525" s="4">
        <v>7.0000000000000007E-2</v>
      </c>
      <c r="P525" t="s">
        <v>1774</v>
      </c>
      <c r="Q525" s="4">
        <v>3178.2564000000002</v>
      </c>
    </row>
    <row r="526" spans="1:17" x14ac:dyDescent="0.3">
      <c r="A526" t="s">
        <v>2298</v>
      </c>
      <c r="B526" t="str">
        <f t="shared" si="8"/>
        <v>Q2</v>
      </c>
      <c r="C526" t="str">
        <f>TEXT(Table1[[#This Row],[Order_Date]],"mmmm")</f>
        <v>April</v>
      </c>
      <c r="D526">
        <f>YEAR(Table1[[#This Row],[Order_Date]])</f>
        <v>2025</v>
      </c>
      <c r="E526" s="7">
        <v>45774</v>
      </c>
      <c r="F526" s="2" t="str">
        <f>VLOOKUP(Table1[[#This Row],[Customer_ID]],Customer_Dim!$A$2:$H$501,2,FALSE)</f>
        <v>Diane Watson</v>
      </c>
      <c r="G526" s="2" t="str">
        <f>_xlfn.XLOOKUP(Table1[[#This Row],[Customer_ID]],Customer_Dim!$A$2:$A$501,Customer_Dim!$E$2:$E$501)</f>
        <v>North Codyport</v>
      </c>
      <c r="H526" t="s">
        <v>351</v>
      </c>
      <c r="I526" t="str">
        <f>VLOOKUP(Table1[[#This Row],[Product_ID]],Product_Dim!$A$2:$G$101,2,FALSE)</f>
        <v>Foldable Camping Chair-Sports</v>
      </c>
      <c r="J526" t="s">
        <v>1571</v>
      </c>
      <c r="K526" t="str">
        <f>VLOOKUP(Table1[[#This Row],[Store_ID]],Store_Dim!$A$3:$D$22,2,FALSE)</f>
        <v>Frederick-Wright-West</v>
      </c>
      <c r="L526" t="s">
        <v>1757</v>
      </c>
      <c r="M526" t="s">
        <v>3960</v>
      </c>
      <c r="N526" s="3">
        <v>409.52</v>
      </c>
      <c r="O526" s="4">
        <v>0.06</v>
      </c>
      <c r="P526" t="s">
        <v>1777</v>
      </c>
      <c r="Q526" s="4">
        <v>769.8975999999999</v>
      </c>
    </row>
    <row r="527" spans="1:17" x14ac:dyDescent="0.3">
      <c r="A527" t="s">
        <v>2299</v>
      </c>
      <c r="B527" t="str">
        <f t="shared" si="8"/>
        <v>Q4</v>
      </c>
      <c r="C527" t="str">
        <f>TEXT(Table1[[#This Row],[Order_Date]],"mmmm")</f>
        <v>October</v>
      </c>
      <c r="D527">
        <f>YEAR(Table1[[#This Row],[Order_Date]])</f>
        <v>2024</v>
      </c>
      <c r="E527" s="7">
        <v>45569</v>
      </c>
      <c r="F527" s="2" t="str">
        <f>VLOOKUP(Table1[[#This Row],[Customer_ID]],Customer_Dim!$A$2:$H$501,2,FALSE)</f>
        <v>Daniel Rivas</v>
      </c>
      <c r="G527" s="2" t="str">
        <f>_xlfn.XLOOKUP(Table1[[#This Row],[Customer_ID]],Customer_Dim!$A$2:$A$501,Customer_Dim!$E$2:$E$501)</f>
        <v>Dominiquefort</v>
      </c>
      <c r="H527" t="s">
        <v>542</v>
      </c>
      <c r="I527" t="str">
        <f>VLOOKUP(Table1[[#This Row],[Product_ID]],Product_Dim!$A$2:$G$101,2,FALSE)</f>
        <v>Bluetooth Car Audio System-Electronics</v>
      </c>
      <c r="J527" t="s">
        <v>1671</v>
      </c>
      <c r="K527" t="str">
        <f>VLOOKUP(Table1[[#This Row],[Store_ID]],Store_Dim!$A$3:$D$22,2,FALSE)</f>
        <v>Hill, Wagner and Ballard-East</v>
      </c>
      <c r="L527" t="s">
        <v>1748</v>
      </c>
      <c r="M527" t="s">
        <v>3960</v>
      </c>
      <c r="N527" s="3">
        <v>407.46</v>
      </c>
      <c r="O527" s="4">
        <v>0.21</v>
      </c>
      <c r="P527" t="s">
        <v>1772</v>
      </c>
      <c r="Q527" s="4">
        <v>643.78679999999997</v>
      </c>
    </row>
    <row r="528" spans="1:17" x14ac:dyDescent="0.3">
      <c r="A528" t="s">
        <v>2300</v>
      </c>
      <c r="B528" t="str">
        <f t="shared" si="8"/>
        <v>Q3</v>
      </c>
      <c r="C528" t="str">
        <f>TEXT(Table1[[#This Row],[Order_Date]],"mmmm")</f>
        <v>July</v>
      </c>
      <c r="D528">
        <f>YEAR(Table1[[#This Row],[Order_Date]])</f>
        <v>2025</v>
      </c>
      <c r="E528" s="7">
        <v>45856</v>
      </c>
      <c r="F528" s="2" t="str">
        <f>VLOOKUP(Table1[[#This Row],[Customer_ID]],Customer_Dim!$A$2:$H$501,2,FALSE)</f>
        <v>Casey Flores</v>
      </c>
      <c r="G528" s="2" t="str">
        <f>_xlfn.XLOOKUP(Table1[[#This Row],[Customer_ID]],Customer_Dim!$A$2:$A$501,Customer_Dim!$E$2:$E$501)</f>
        <v>Lake Michael</v>
      </c>
      <c r="H528" t="s">
        <v>729</v>
      </c>
      <c r="I528" t="str">
        <f>VLOOKUP(Table1[[#This Row],[Product_ID]],Product_Dim!$A$2:$G$101,2,FALSE)</f>
        <v>Women's Yoga Pants-Clothing</v>
      </c>
      <c r="J528" t="s">
        <v>1531</v>
      </c>
      <c r="K528" t="str">
        <f>VLOOKUP(Table1[[#This Row],[Store_ID]],Store_Dim!$A$3:$D$22,2,FALSE)</f>
        <v>Bean, Jones and Park-West</v>
      </c>
      <c r="L528" t="s">
        <v>1744</v>
      </c>
      <c r="M528" t="s">
        <v>3957</v>
      </c>
      <c r="N528" s="3">
        <v>728.84</v>
      </c>
      <c r="O528" s="4">
        <v>0.28000000000000003</v>
      </c>
      <c r="P528" t="s">
        <v>1774</v>
      </c>
      <c r="Q528" s="4">
        <v>524.76480000000004</v>
      </c>
    </row>
    <row r="529" spans="1:17" x14ac:dyDescent="0.3">
      <c r="A529" t="s">
        <v>2301</v>
      </c>
      <c r="B529" t="str">
        <f t="shared" si="8"/>
        <v>Q1</v>
      </c>
      <c r="C529" t="str">
        <f>TEXT(Table1[[#This Row],[Order_Date]],"mmmm")</f>
        <v>March</v>
      </c>
      <c r="D529">
        <f>YEAR(Table1[[#This Row],[Order_Date]])</f>
        <v>2024</v>
      </c>
      <c r="E529" s="7">
        <v>45362</v>
      </c>
      <c r="F529" s="2" t="str">
        <f>VLOOKUP(Table1[[#This Row],[Customer_ID]],Customer_Dim!$A$2:$H$501,2,FALSE)</f>
        <v>April Phillips</v>
      </c>
      <c r="G529" s="2" t="str">
        <f>_xlfn.XLOOKUP(Table1[[#This Row],[Customer_ID]],Customer_Dim!$A$2:$A$501,Customer_Dim!$E$2:$E$501)</f>
        <v>Lake Carolyn</v>
      </c>
      <c r="H529" t="s">
        <v>1384</v>
      </c>
      <c r="I529" t="str">
        <f>VLOOKUP(Table1[[#This Row],[Product_ID]],Product_Dim!$A$2:$G$101,2,FALSE)</f>
        <v>Essential Oil Diffuser-Home</v>
      </c>
      <c r="J529" t="s">
        <v>1679</v>
      </c>
      <c r="K529" t="str">
        <f>VLOOKUP(Table1[[#This Row],[Store_ID]],Store_Dim!$A$3:$D$22,2,FALSE)</f>
        <v>Benson-Elliott-East</v>
      </c>
      <c r="L529" t="s">
        <v>1740</v>
      </c>
      <c r="M529" t="s">
        <v>3959</v>
      </c>
      <c r="N529" s="3">
        <v>467.24</v>
      </c>
      <c r="O529" s="4">
        <v>0.08</v>
      </c>
      <c r="P529" t="s">
        <v>1774</v>
      </c>
      <c r="Q529" s="4">
        <v>1719.4431999999999</v>
      </c>
    </row>
    <row r="530" spans="1:17" x14ac:dyDescent="0.3">
      <c r="A530" t="s">
        <v>2302</v>
      </c>
      <c r="B530" t="str">
        <f t="shared" si="8"/>
        <v>Q2</v>
      </c>
      <c r="C530" t="str">
        <f>TEXT(Table1[[#This Row],[Order_Date]],"mmmm")</f>
        <v>June</v>
      </c>
      <c r="D530">
        <f>YEAR(Table1[[#This Row],[Order_Date]])</f>
        <v>2024</v>
      </c>
      <c r="E530" s="7">
        <v>45457</v>
      </c>
      <c r="F530" s="2" t="str">
        <f>VLOOKUP(Table1[[#This Row],[Customer_ID]],Customer_Dim!$A$2:$H$501,2,FALSE)</f>
        <v>Robert Jackson</v>
      </c>
      <c r="G530" s="2" t="str">
        <f>_xlfn.XLOOKUP(Table1[[#This Row],[Customer_ID]],Customer_Dim!$A$2:$A$501,Customer_Dim!$E$2:$E$501)</f>
        <v>Lake Brandy</v>
      </c>
      <c r="H530" t="s">
        <v>327</v>
      </c>
      <c r="I530" t="str">
        <f>VLOOKUP(Table1[[#This Row],[Product_ID]],Product_Dim!$A$2:$G$101,2,FALSE)</f>
        <v>Ceramic Kitchen Bowl Set-Home</v>
      </c>
      <c r="J530" t="s">
        <v>1543</v>
      </c>
      <c r="K530" t="str">
        <f>VLOOKUP(Table1[[#This Row],[Store_ID]],Store_Dim!$A$3:$D$22,2,FALSE)</f>
        <v>Aguirre-Keller-South</v>
      </c>
      <c r="L530" t="s">
        <v>1750</v>
      </c>
      <c r="M530" t="s">
        <v>3957</v>
      </c>
      <c r="N530" s="3">
        <v>57.94</v>
      </c>
      <c r="O530" s="4">
        <v>0.13</v>
      </c>
      <c r="P530" t="s">
        <v>1774</v>
      </c>
      <c r="Q530" s="4">
        <v>50.407799999999988</v>
      </c>
    </row>
    <row r="531" spans="1:17" x14ac:dyDescent="0.3">
      <c r="A531" t="s">
        <v>2303</v>
      </c>
      <c r="B531" t="str">
        <f t="shared" si="8"/>
        <v>Q1</v>
      </c>
      <c r="C531" t="str">
        <f>TEXT(Table1[[#This Row],[Order_Date]],"mmmm")</f>
        <v>February</v>
      </c>
      <c r="D531">
        <f>YEAR(Table1[[#This Row],[Order_Date]])</f>
        <v>2024</v>
      </c>
      <c r="E531" s="7">
        <v>45338</v>
      </c>
      <c r="F531" s="2" t="str">
        <f>VLOOKUP(Table1[[#This Row],[Customer_ID]],Customer_Dim!$A$2:$H$501,2,FALSE)</f>
        <v>Evelyn Brown</v>
      </c>
      <c r="G531" s="2" t="str">
        <f>_xlfn.XLOOKUP(Table1[[#This Row],[Customer_ID]],Customer_Dim!$A$2:$A$501,Customer_Dim!$E$2:$E$501)</f>
        <v>West Victoriaborough</v>
      </c>
      <c r="H531" t="s">
        <v>1069</v>
      </c>
      <c r="I531" t="str">
        <f>VLOOKUP(Table1[[#This Row],[Product_ID]],Product_Dim!$A$2:$G$101,2,FALSE)</f>
        <v>Men's Roll-On Perfume-Beauty</v>
      </c>
      <c r="J531" t="s">
        <v>1621</v>
      </c>
      <c r="K531" t="str">
        <f>VLOOKUP(Table1[[#This Row],[Store_ID]],Store_Dim!$A$3:$D$22,2,FALSE)</f>
        <v>Holloway Ltd-North</v>
      </c>
      <c r="L531" t="s">
        <v>1759</v>
      </c>
      <c r="M531" t="s">
        <v>3957</v>
      </c>
      <c r="N531" s="3">
        <v>540.1</v>
      </c>
      <c r="O531" s="4">
        <v>0.22</v>
      </c>
      <c r="P531" t="s">
        <v>1772</v>
      </c>
      <c r="Q531" s="4">
        <v>421.27800000000002</v>
      </c>
    </row>
    <row r="532" spans="1:17" x14ac:dyDescent="0.3">
      <c r="A532" t="s">
        <v>2304</v>
      </c>
      <c r="B532" t="str">
        <f t="shared" si="8"/>
        <v>Q3</v>
      </c>
      <c r="C532" t="str">
        <f>TEXT(Table1[[#This Row],[Order_Date]],"mmmm")</f>
        <v>September</v>
      </c>
      <c r="D532">
        <f>YEAR(Table1[[#This Row],[Order_Date]])</f>
        <v>2024</v>
      </c>
      <c r="E532" s="7">
        <v>45552</v>
      </c>
      <c r="F532" s="2" t="str">
        <f>VLOOKUP(Table1[[#This Row],[Customer_ID]],Customer_Dim!$A$2:$H$501,2,FALSE)</f>
        <v>Katherine Young</v>
      </c>
      <c r="G532" s="2" t="str">
        <f>_xlfn.XLOOKUP(Table1[[#This Row],[Customer_ID]],Customer_Dim!$A$2:$A$501,Customer_Dim!$E$2:$E$501)</f>
        <v>North Valeriemouth</v>
      </c>
      <c r="H532" t="s">
        <v>278</v>
      </c>
      <c r="I532" t="str">
        <f>VLOOKUP(Table1[[#This Row],[Product_ID]],Product_Dim!$A$2:$G$101,2,FALSE)</f>
        <v>Wireless Bluetooth Earbuds-Electronics</v>
      </c>
      <c r="J532" t="s">
        <v>1539</v>
      </c>
      <c r="K532" t="str">
        <f>VLOOKUP(Table1[[#This Row],[Store_ID]],Store_Dim!$A$3:$D$22,2,FALSE)</f>
        <v>Mann-Austin-East</v>
      </c>
      <c r="L532" t="s">
        <v>1763</v>
      </c>
      <c r="M532" t="s">
        <v>3959</v>
      </c>
      <c r="N532" s="3">
        <v>816.28</v>
      </c>
      <c r="O532" s="4">
        <v>0.15</v>
      </c>
      <c r="P532" t="s">
        <v>1777</v>
      </c>
      <c r="Q532" s="4">
        <v>2775.3519999999999</v>
      </c>
    </row>
    <row r="533" spans="1:17" x14ac:dyDescent="0.3">
      <c r="A533" t="s">
        <v>2305</v>
      </c>
      <c r="B533" t="str">
        <f t="shared" si="8"/>
        <v>Q3</v>
      </c>
      <c r="C533" t="str">
        <f>TEXT(Table1[[#This Row],[Order_Date]],"mmmm")</f>
        <v>August</v>
      </c>
      <c r="D533">
        <f>YEAR(Table1[[#This Row],[Order_Date]])</f>
        <v>2025</v>
      </c>
      <c r="E533" s="7">
        <v>45895</v>
      </c>
      <c r="F533" s="2" t="str">
        <f>VLOOKUP(Table1[[#This Row],[Customer_ID]],Customer_Dim!$A$2:$H$501,2,FALSE)</f>
        <v>Michelle Myers</v>
      </c>
      <c r="G533" s="2" t="str">
        <f>_xlfn.XLOOKUP(Table1[[#This Row],[Customer_ID]],Customer_Dim!$A$2:$A$501,Customer_Dim!$E$2:$E$501)</f>
        <v>West Daniel</v>
      </c>
      <c r="H533" t="s">
        <v>583</v>
      </c>
      <c r="I533" t="str">
        <f>VLOOKUP(Table1[[#This Row],[Product_ID]],Product_Dim!$A$2:$G$101,2,FALSE)</f>
        <v>Smart Home WiFi Camera-Electronics</v>
      </c>
      <c r="J533" t="s">
        <v>1607</v>
      </c>
      <c r="K533" t="str">
        <f>VLOOKUP(Table1[[#This Row],[Store_ID]],Store_Dim!$A$3:$D$22,2,FALSE)</f>
        <v>Bean, Jones and Park-West</v>
      </c>
      <c r="L533" t="s">
        <v>1744</v>
      </c>
      <c r="M533" t="s">
        <v>3959</v>
      </c>
      <c r="N533" s="3">
        <v>727.49</v>
      </c>
      <c r="O533" s="4">
        <v>0.11</v>
      </c>
      <c r="P533" t="s">
        <v>1772</v>
      </c>
      <c r="Q533" s="4">
        <v>2589.8643999999999</v>
      </c>
    </row>
    <row r="534" spans="1:17" x14ac:dyDescent="0.3">
      <c r="A534" t="s">
        <v>2306</v>
      </c>
      <c r="B534" t="str">
        <f t="shared" si="8"/>
        <v>Q2</v>
      </c>
      <c r="C534" t="str">
        <f>TEXT(Table1[[#This Row],[Order_Date]],"mmmm")</f>
        <v>June</v>
      </c>
      <c r="D534">
        <f>YEAR(Table1[[#This Row],[Order_Date]])</f>
        <v>2024</v>
      </c>
      <c r="E534" s="7">
        <v>45447</v>
      </c>
      <c r="F534" s="2" t="str">
        <f>VLOOKUP(Table1[[#This Row],[Customer_ID]],Customer_Dim!$A$2:$H$501,2,FALSE)</f>
        <v>Amy Wilson</v>
      </c>
      <c r="G534" s="2" t="str">
        <f>_xlfn.XLOOKUP(Table1[[#This Row],[Customer_ID]],Customer_Dim!$A$2:$A$501,Customer_Dim!$E$2:$E$501)</f>
        <v>Morrisburgh</v>
      </c>
      <c r="H534" t="s">
        <v>562</v>
      </c>
      <c r="I534" t="str">
        <f>VLOOKUP(Table1[[#This Row],[Product_ID]],Product_Dim!$A$2:$G$101,2,FALSE)</f>
        <v>Kitchen Cutting Board-Home</v>
      </c>
      <c r="J534" t="s">
        <v>1695</v>
      </c>
      <c r="K534" t="str">
        <f>VLOOKUP(Table1[[#This Row],[Store_ID]],Store_Dim!$A$3:$D$22,2,FALSE)</f>
        <v>Gardner, Humphrey and Contreras-East</v>
      </c>
      <c r="L534" t="s">
        <v>1753</v>
      </c>
      <c r="M534" t="s">
        <v>3959</v>
      </c>
      <c r="N534" s="3">
        <v>817.92</v>
      </c>
      <c r="O534" s="4">
        <v>0.21</v>
      </c>
      <c r="P534" t="s">
        <v>1772</v>
      </c>
      <c r="Q534" s="4">
        <v>2584.6271999999999</v>
      </c>
    </row>
    <row r="535" spans="1:17" x14ac:dyDescent="0.3">
      <c r="A535" t="s">
        <v>2307</v>
      </c>
      <c r="B535" t="str">
        <f t="shared" si="8"/>
        <v>Q4</v>
      </c>
      <c r="C535" t="str">
        <f>TEXT(Table1[[#This Row],[Order_Date]],"mmmm")</f>
        <v>October</v>
      </c>
      <c r="D535">
        <f>YEAR(Table1[[#This Row],[Order_Date]])</f>
        <v>2024</v>
      </c>
      <c r="E535" s="7">
        <v>45578</v>
      </c>
      <c r="F535" s="2" t="str">
        <f>VLOOKUP(Table1[[#This Row],[Customer_ID]],Customer_Dim!$A$2:$H$501,2,FALSE)</f>
        <v>Andrew Smith</v>
      </c>
      <c r="G535" s="2" t="str">
        <f>_xlfn.XLOOKUP(Table1[[#This Row],[Customer_ID]],Customer_Dim!$A$2:$A$501,Customer_Dim!$E$2:$E$501)</f>
        <v>East Matthew</v>
      </c>
      <c r="H535" t="s">
        <v>1012</v>
      </c>
      <c r="I535" t="str">
        <f>VLOOKUP(Table1[[#This Row],[Product_ID]],Product_Dim!$A$2:$G$101,2,FALSE)</f>
        <v>Sports Water Hydration Pack-Sports</v>
      </c>
      <c r="J535" t="s">
        <v>1599</v>
      </c>
      <c r="K535" t="str">
        <f>VLOOKUP(Table1[[#This Row],[Store_ID]],Store_Dim!$A$3:$D$22,2,FALSE)</f>
        <v>Martinez-Mullins-South</v>
      </c>
      <c r="L535" t="s">
        <v>1742</v>
      </c>
      <c r="M535" t="s">
        <v>3960</v>
      </c>
      <c r="N535" s="3">
        <v>358.45</v>
      </c>
      <c r="O535" s="4">
        <v>7.0000000000000007E-2</v>
      </c>
      <c r="P535" t="s">
        <v>1777</v>
      </c>
      <c r="Q535" s="4">
        <v>666.71699999999998</v>
      </c>
    </row>
    <row r="536" spans="1:17" x14ac:dyDescent="0.3">
      <c r="A536" t="s">
        <v>2308</v>
      </c>
      <c r="B536" t="str">
        <f t="shared" si="8"/>
        <v>Q1</v>
      </c>
      <c r="C536" t="str">
        <f>TEXT(Table1[[#This Row],[Order_Date]],"mmmm")</f>
        <v>February</v>
      </c>
      <c r="D536">
        <f>YEAR(Table1[[#This Row],[Order_Date]])</f>
        <v>2025</v>
      </c>
      <c r="E536" s="7">
        <v>45697</v>
      </c>
      <c r="F536" s="2" t="str">
        <f>VLOOKUP(Table1[[#This Row],[Customer_ID]],Customer_Dim!$A$2:$H$501,2,FALSE)</f>
        <v>Mary Boyd</v>
      </c>
      <c r="G536" s="2" t="str">
        <f>_xlfn.XLOOKUP(Table1[[#This Row],[Customer_ID]],Customer_Dim!$A$2:$A$501,Customer_Dim!$E$2:$E$501)</f>
        <v>New Logan</v>
      </c>
      <c r="H536" t="s">
        <v>651</v>
      </c>
      <c r="I536" t="str">
        <f>VLOOKUP(Table1[[#This Row],[Product_ID]],Product_Dim!$A$2:$G$101,2,FALSE)</f>
        <v>LED Bedside Lamp-Home</v>
      </c>
      <c r="J536" t="s">
        <v>1697</v>
      </c>
      <c r="K536" t="str">
        <f>VLOOKUP(Table1[[#This Row],[Store_ID]],Store_Dim!$A$3:$D$22,2,FALSE)</f>
        <v>Moore, Padilla and Butler-South</v>
      </c>
      <c r="L536" t="s">
        <v>1746</v>
      </c>
      <c r="M536" t="s">
        <v>3957</v>
      </c>
      <c r="N536" s="3">
        <v>972.06</v>
      </c>
      <c r="O536" s="4">
        <v>0.3</v>
      </c>
      <c r="P536" t="s">
        <v>1777</v>
      </c>
      <c r="Q536" s="4">
        <v>680.44199999999989</v>
      </c>
    </row>
    <row r="537" spans="1:17" x14ac:dyDescent="0.3">
      <c r="A537" t="s">
        <v>2309</v>
      </c>
      <c r="B537" t="str">
        <f t="shared" si="8"/>
        <v>Q4</v>
      </c>
      <c r="C537" t="str">
        <f>TEXT(Table1[[#This Row],[Order_Date]],"mmmm")</f>
        <v>December</v>
      </c>
      <c r="D537">
        <f>YEAR(Table1[[#This Row],[Order_Date]])</f>
        <v>2023</v>
      </c>
      <c r="E537" s="7">
        <v>45281</v>
      </c>
      <c r="F537" s="2" t="str">
        <f>VLOOKUP(Table1[[#This Row],[Customer_ID]],Customer_Dim!$A$2:$H$501,2,FALSE)</f>
        <v>Mike Jennings</v>
      </c>
      <c r="G537" s="2" t="str">
        <f>_xlfn.XLOOKUP(Table1[[#This Row],[Customer_ID]],Customer_Dim!$A$2:$A$501,Customer_Dim!$E$2:$E$501)</f>
        <v>Fostermouth</v>
      </c>
      <c r="H537" t="s">
        <v>130</v>
      </c>
      <c r="I537" t="str">
        <f>VLOOKUP(Table1[[#This Row],[Product_ID]],Product_Dim!$A$2:$G$101,2,FALSE)</f>
        <v>Beard Grooming Kit-Beauty</v>
      </c>
      <c r="J537" t="s">
        <v>1555</v>
      </c>
      <c r="K537" t="str">
        <f>VLOOKUP(Table1[[#This Row],[Store_ID]],Store_Dim!$A$3:$D$22,2,FALSE)</f>
        <v>Rivera-Warner-East</v>
      </c>
      <c r="L537" t="s">
        <v>1725</v>
      </c>
      <c r="M537" t="s">
        <v>3957</v>
      </c>
      <c r="N537" s="3">
        <v>791.36</v>
      </c>
      <c r="O537" s="4">
        <v>0.06</v>
      </c>
      <c r="P537" t="s">
        <v>1774</v>
      </c>
      <c r="Q537" s="4">
        <v>743.87839999999994</v>
      </c>
    </row>
    <row r="538" spans="1:17" x14ac:dyDescent="0.3">
      <c r="A538" t="s">
        <v>2310</v>
      </c>
      <c r="B538" t="str">
        <f t="shared" si="8"/>
        <v>Q3</v>
      </c>
      <c r="C538" t="str">
        <f>TEXT(Table1[[#This Row],[Order_Date]],"mmmm")</f>
        <v>July</v>
      </c>
      <c r="D538">
        <f>YEAR(Table1[[#This Row],[Order_Date]])</f>
        <v>2025</v>
      </c>
      <c r="E538" s="7">
        <v>45855</v>
      </c>
      <c r="F538" s="2" t="str">
        <f>VLOOKUP(Table1[[#This Row],[Customer_ID]],Customer_Dim!$A$2:$H$501,2,FALSE)</f>
        <v>Elizabeth Johnson</v>
      </c>
      <c r="G538" s="2" t="str">
        <f>_xlfn.XLOOKUP(Table1[[#This Row],[Customer_ID]],Customer_Dim!$A$2:$A$501,Customer_Dim!$E$2:$E$501)</f>
        <v>Anitaland</v>
      </c>
      <c r="H538" t="s">
        <v>980</v>
      </c>
      <c r="I538" t="str">
        <f>VLOOKUP(Table1[[#This Row],[Product_ID]],Product_Dim!$A$2:$G$101,2,FALSE)</f>
        <v>Matte Lipstick Set-Beauty</v>
      </c>
      <c r="J538" t="s">
        <v>1651</v>
      </c>
      <c r="K538" t="str">
        <f>VLOOKUP(Table1[[#This Row],[Store_ID]],Store_Dim!$A$3:$D$22,2,FALSE)</f>
        <v>Gray Ltd-North</v>
      </c>
      <c r="L538" t="s">
        <v>1738</v>
      </c>
      <c r="M538" t="s">
        <v>3959</v>
      </c>
      <c r="N538" s="3">
        <v>839.65</v>
      </c>
      <c r="O538" s="4">
        <v>0.26</v>
      </c>
      <c r="P538" t="s">
        <v>1777</v>
      </c>
      <c r="Q538" s="4">
        <v>2485.364</v>
      </c>
    </row>
    <row r="539" spans="1:17" x14ac:dyDescent="0.3">
      <c r="A539" t="s">
        <v>2311</v>
      </c>
      <c r="B539" t="str">
        <f t="shared" si="8"/>
        <v>Q2</v>
      </c>
      <c r="C539" t="str">
        <f>TEXT(Table1[[#This Row],[Order_Date]],"mmmm")</f>
        <v>May</v>
      </c>
      <c r="D539">
        <f>YEAR(Table1[[#This Row],[Order_Date]])</f>
        <v>2025</v>
      </c>
      <c r="E539" s="7">
        <v>45793</v>
      </c>
      <c r="F539" s="2" t="str">
        <f>VLOOKUP(Table1[[#This Row],[Customer_ID]],Customer_Dim!$A$2:$H$501,2,FALSE)</f>
        <v>Damon Perez</v>
      </c>
      <c r="G539" s="2" t="str">
        <f>_xlfn.XLOOKUP(Table1[[#This Row],[Customer_ID]],Customer_Dim!$A$2:$A$501,Customer_Dim!$E$2:$E$501)</f>
        <v>Jasonton</v>
      </c>
      <c r="H539" t="s">
        <v>808</v>
      </c>
      <c r="I539" t="str">
        <f>VLOOKUP(Table1[[#This Row],[Product_ID]],Product_Dim!$A$2:$G$101,2,FALSE)</f>
        <v>Professional Jump Rope-Sports</v>
      </c>
      <c r="J539" t="s">
        <v>1667</v>
      </c>
      <c r="K539" t="str">
        <f>VLOOKUP(Table1[[#This Row],[Store_ID]],Store_Dim!$A$3:$D$22,2,FALSE)</f>
        <v>Black-Horn-South</v>
      </c>
      <c r="L539" t="s">
        <v>1730</v>
      </c>
      <c r="M539" t="s">
        <v>3960</v>
      </c>
      <c r="N539" s="3">
        <v>245.52</v>
      </c>
      <c r="O539" s="4">
        <v>0.11</v>
      </c>
      <c r="P539" t="s">
        <v>1777</v>
      </c>
      <c r="Q539" s="4">
        <v>437.0256</v>
      </c>
    </row>
    <row r="540" spans="1:17" x14ac:dyDescent="0.3">
      <c r="A540" t="s">
        <v>2312</v>
      </c>
      <c r="B540" t="str">
        <f t="shared" si="8"/>
        <v>Q3</v>
      </c>
      <c r="C540" t="str">
        <f>TEXT(Table1[[#This Row],[Order_Date]],"mmmm")</f>
        <v>August</v>
      </c>
      <c r="D540">
        <f>YEAR(Table1[[#This Row],[Order_Date]])</f>
        <v>2025</v>
      </c>
      <c r="E540" s="7">
        <v>45881</v>
      </c>
      <c r="F540" s="2" t="str">
        <f>VLOOKUP(Table1[[#This Row],[Customer_ID]],Customer_Dim!$A$2:$H$501,2,FALSE)</f>
        <v>Timothy Valenzuela</v>
      </c>
      <c r="G540" s="2" t="str">
        <f>_xlfn.XLOOKUP(Table1[[#This Row],[Customer_ID]],Customer_Dim!$A$2:$A$501,Customer_Dim!$E$2:$E$501)</f>
        <v>Stevensshire</v>
      </c>
      <c r="H540" t="s">
        <v>1198</v>
      </c>
      <c r="I540" t="str">
        <f>VLOOKUP(Table1[[#This Row],[Product_ID]],Product_Dim!$A$2:$G$101,2,FALSE)</f>
        <v>Fitness Resistance Bands-Sports</v>
      </c>
      <c r="J540" t="s">
        <v>1687</v>
      </c>
      <c r="K540" t="str">
        <f>VLOOKUP(Table1[[#This Row],[Store_ID]],Store_Dim!$A$3:$D$22,2,FALSE)</f>
        <v>Bean, Jones and Park-West</v>
      </c>
      <c r="L540" t="s">
        <v>1744</v>
      </c>
      <c r="M540" t="s">
        <v>3958</v>
      </c>
      <c r="N540" s="3">
        <v>787.91</v>
      </c>
      <c r="O540" s="4">
        <v>0.06</v>
      </c>
      <c r="P540" t="s">
        <v>1774</v>
      </c>
      <c r="Q540" s="4">
        <v>2221.9061999999999</v>
      </c>
    </row>
    <row r="541" spans="1:17" x14ac:dyDescent="0.3">
      <c r="A541" t="s">
        <v>2313</v>
      </c>
      <c r="B541" t="str">
        <f t="shared" si="8"/>
        <v>Q3</v>
      </c>
      <c r="C541" t="str">
        <f>TEXT(Table1[[#This Row],[Order_Date]],"mmmm")</f>
        <v>August</v>
      </c>
      <c r="D541">
        <f>YEAR(Table1[[#This Row],[Order_Date]])</f>
        <v>2025</v>
      </c>
      <c r="E541" s="7">
        <v>45890</v>
      </c>
      <c r="F541" s="2" t="str">
        <f>VLOOKUP(Table1[[#This Row],[Customer_ID]],Customer_Dim!$A$2:$H$501,2,FALSE)</f>
        <v>Sharon Brown</v>
      </c>
      <c r="G541" s="2" t="str">
        <f>_xlfn.XLOOKUP(Table1[[#This Row],[Customer_ID]],Customer_Dim!$A$2:$A$501,Customer_Dim!$E$2:$E$501)</f>
        <v>East Andrea</v>
      </c>
      <c r="H541" t="s">
        <v>199</v>
      </c>
      <c r="I541" t="str">
        <f>VLOOKUP(Table1[[#This Row],[Product_ID]],Product_Dim!$A$2:$G$101,2,FALSE)</f>
        <v>Women's Ankle Boots-Clothing</v>
      </c>
      <c r="J541" t="s">
        <v>1673</v>
      </c>
      <c r="K541" t="str">
        <f>VLOOKUP(Table1[[#This Row],[Store_ID]],Store_Dim!$A$3:$D$22,2,FALSE)</f>
        <v>Alexander Group-South</v>
      </c>
      <c r="L541" t="s">
        <v>1735</v>
      </c>
      <c r="M541" t="s">
        <v>3960</v>
      </c>
      <c r="N541" s="3">
        <v>709.17</v>
      </c>
      <c r="O541" s="4">
        <v>0.22</v>
      </c>
      <c r="P541" t="s">
        <v>1772</v>
      </c>
      <c r="Q541" s="4">
        <v>1106.3052</v>
      </c>
    </row>
    <row r="542" spans="1:17" x14ac:dyDescent="0.3">
      <c r="A542" t="s">
        <v>2314</v>
      </c>
      <c r="B542" t="str">
        <f t="shared" si="8"/>
        <v>Q4</v>
      </c>
      <c r="C542" t="str">
        <f>TEXT(Table1[[#This Row],[Order_Date]],"mmmm")</f>
        <v>November</v>
      </c>
      <c r="D542">
        <f>YEAR(Table1[[#This Row],[Order_Date]])</f>
        <v>2023</v>
      </c>
      <c r="E542" s="7">
        <v>45251</v>
      </c>
      <c r="F542" s="2" t="str">
        <f>VLOOKUP(Table1[[#This Row],[Customer_ID]],Customer_Dim!$A$2:$H$501,2,FALSE)</f>
        <v>Jon Ortiz</v>
      </c>
      <c r="G542" s="2" t="str">
        <f>_xlfn.XLOOKUP(Table1[[#This Row],[Customer_ID]],Customer_Dim!$A$2:$A$501,Customer_Dim!$E$2:$E$501)</f>
        <v>South Angelaport</v>
      </c>
      <c r="H542" t="s">
        <v>749</v>
      </c>
      <c r="I542" t="str">
        <f>VLOOKUP(Table1[[#This Row],[Product_ID]],Product_Dim!$A$2:$G$101,2,FALSE)</f>
        <v>Women's High Heels-Clothing</v>
      </c>
      <c r="J542" t="s">
        <v>1705</v>
      </c>
      <c r="K542" t="str">
        <f>VLOOKUP(Table1[[#This Row],[Store_ID]],Store_Dim!$A$3:$D$22,2,FALSE)</f>
        <v>Martinez-Mullins-South</v>
      </c>
      <c r="L542" t="s">
        <v>1742</v>
      </c>
      <c r="M542" t="s">
        <v>3960</v>
      </c>
      <c r="N542" s="3">
        <v>533.91999999999996</v>
      </c>
      <c r="O542" s="4">
        <v>0.13</v>
      </c>
      <c r="P542" t="s">
        <v>1772</v>
      </c>
      <c r="Q542" s="4">
        <v>929.02079999999989</v>
      </c>
    </row>
    <row r="543" spans="1:17" x14ac:dyDescent="0.3">
      <c r="A543" t="s">
        <v>2315</v>
      </c>
      <c r="B543" t="str">
        <f t="shared" si="8"/>
        <v>Q1</v>
      </c>
      <c r="C543" t="str">
        <f>TEXT(Table1[[#This Row],[Order_Date]],"mmmm")</f>
        <v>February</v>
      </c>
      <c r="D543">
        <f>YEAR(Table1[[#This Row],[Order_Date]])</f>
        <v>2025</v>
      </c>
      <c r="E543" s="7">
        <v>45695</v>
      </c>
      <c r="F543" s="2" t="str">
        <f>VLOOKUP(Table1[[#This Row],[Customer_ID]],Customer_Dim!$A$2:$H$501,2,FALSE)</f>
        <v>Darrell Miller</v>
      </c>
      <c r="G543" s="2" t="str">
        <f>_xlfn.XLOOKUP(Table1[[#This Row],[Customer_ID]],Customer_Dim!$A$2:$A$501,Customer_Dim!$E$2:$E$501)</f>
        <v>Port Carol</v>
      </c>
      <c r="H543" t="s">
        <v>1496</v>
      </c>
      <c r="I543" t="str">
        <f>VLOOKUP(Table1[[#This Row],[Product_ID]],Product_Dim!$A$2:$G$101,2,FALSE)</f>
        <v>Smart Home WiFi Camera-Electronics</v>
      </c>
      <c r="J543" t="s">
        <v>1607</v>
      </c>
      <c r="K543" t="str">
        <f>VLOOKUP(Table1[[#This Row],[Store_ID]],Store_Dim!$A$3:$D$22,2,FALSE)</f>
        <v>Rivera-Warner-East</v>
      </c>
      <c r="L543" t="s">
        <v>1725</v>
      </c>
      <c r="M543" t="s">
        <v>3957</v>
      </c>
      <c r="N543" s="3">
        <v>878.84</v>
      </c>
      <c r="O543" s="4">
        <v>0.28000000000000003</v>
      </c>
      <c r="P543" t="s">
        <v>1777</v>
      </c>
      <c r="Q543" s="4">
        <v>632.76480000000004</v>
      </c>
    </row>
    <row r="544" spans="1:17" x14ac:dyDescent="0.3">
      <c r="A544" t="s">
        <v>2316</v>
      </c>
      <c r="B544" t="str">
        <f t="shared" si="8"/>
        <v>Q4</v>
      </c>
      <c r="C544" t="str">
        <f>TEXT(Table1[[#This Row],[Order_Date]],"mmmm")</f>
        <v>December</v>
      </c>
      <c r="D544">
        <f>YEAR(Table1[[#This Row],[Order_Date]])</f>
        <v>2023</v>
      </c>
      <c r="E544" s="7">
        <v>45287</v>
      </c>
      <c r="F544" s="2" t="str">
        <f>VLOOKUP(Table1[[#This Row],[Customer_ID]],Customer_Dim!$A$2:$H$501,2,FALSE)</f>
        <v>Tiffany Herrera</v>
      </c>
      <c r="G544" s="2" t="str">
        <f>_xlfn.XLOOKUP(Table1[[#This Row],[Customer_ID]],Customer_Dim!$A$2:$A$501,Customer_Dim!$E$2:$E$501)</f>
        <v>New Dianebury</v>
      </c>
      <c r="H544" t="s">
        <v>660</v>
      </c>
      <c r="I544" t="str">
        <f>VLOOKUP(Table1[[#This Row],[Product_ID]],Product_Dim!$A$2:$G$101,2,FALSE)</f>
        <v>Adjustable Jump Rope-Sports</v>
      </c>
      <c r="J544" t="s">
        <v>1611</v>
      </c>
      <c r="K544" t="str">
        <f>VLOOKUP(Table1[[#This Row],[Store_ID]],Store_Dim!$A$3:$D$22,2,FALSE)</f>
        <v>Frederick-Wright-West</v>
      </c>
      <c r="L544" t="s">
        <v>1757</v>
      </c>
      <c r="M544" t="s">
        <v>3957</v>
      </c>
      <c r="N544" s="3">
        <v>442.36</v>
      </c>
      <c r="O544" s="4">
        <v>0.14000000000000001</v>
      </c>
      <c r="P544" t="s">
        <v>1772</v>
      </c>
      <c r="Q544" s="4">
        <v>380.42959999999999</v>
      </c>
    </row>
    <row r="545" spans="1:17" x14ac:dyDescent="0.3">
      <c r="A545" t="s">
        <v>2317</v>
      </c>
      <c r="B545" t="str">
        <f t="shared" si="8"/>
        <v>Q1</v>
      </c>
      <c r="C545" t="str">
        <f>TEXT(Table1[[#This Row],[Order_Date]],"mmmm")</f>
        <v>February</v>
      </c>
      <c r="D545">
        <f>YEAR(Table1[[#This Row],[Order_Date]])</f>
        <v>2025</v>
      </c>
      <c r="E545" s="7">
        <v>45711</v>
      </c>
      <c r="F545" s="2" t="str">
        <f>VLOOKUP(Table1[[#This Row],[Customer_ID]],Customer_Dim!$A$2:$H$501,2,FALSE)</f>
        <v>Teresa Johnson</v>
      </c>
      <c r="G545" s="2" t="str">
        <f>_xlfn.XLOOKUP(Table1[[#This Row],[Customer_ID]],Customer_Dim!$A$2:$A$501,Customer_Dim!$E$2:$E$501)</f>
        <v>Johnsonbury</v>
      </c>
      <c r="H545" t="s">
        <v>1036</v>
      </c>
      <c r="I545" t="str">
        <f>VLOOKUP(Table1[[#This Row],[Product_ID]],Product_Dim!$A$2:$G$101,2,FALSE)</f>
        <v>Bedroom Table Lamp-Home</v>
      </c>
      <c r="J545" t="s">
        <v>1593</v>
      </c>
      <c r="K545" t="str">
        <f>VLOOKUP(Table1[[#This Row],[Store_ID]],Store_Dim!$A$3:$D$22,2,FALSE)</f>
        <v>Benson-Elliott-East</v>
      </c>
      <c r="L545" t="s">
        <v>1740</v>
      </c>
      <c r="M545" t="s">
        <v>3957</v>
      </c>
      <c r="N545" s="3">
        <v>763.34</v>
      </c>
      <c r="O545" s="4">
        <v>0.11</v>
      </c>
      <c r="P545" t="s">
        <v>1777</v>
      </c>
      <c r="Q545" s="4">
        <v>679.37260000000003</v>
      </c>
    </row>
    <row r="546" spans="1:17" x14ac:dyDescent="0.3">
      <c r="A546" t="s">
        <v>2318</v>
      </c>
      <c r="B546" t="str">
        <f t="shared" si="8"/>
        <v>Q3</v>
      </c>
      <c r="C546" t="str">
        <f>TEXT(Table1[[#This Row],[Order_Date]],"mmmm")</f>
        <v>July</v>
      </c>
      <c r="D546">
        <f>YEAR(Table1[[#This Row],[Order_Date]])</f>
        <v>2025</v>
      </c>
      <c r="E546" s="7">
        <v>45842</v>
      </c>
      <c r="F546" s="2" t="str">
        <f>VLOOKUP(Table1[[#This Row],[Customer_ID]],Customer_Dim!$A$2:$H$501,2,FALSE)</f>
        <v>Patricia Gardner</v>
      </c>
      <c r="G546" s="2" t="str">
        <f>_xlfn.XLOOKUP(Table1[[#This Row],[Customer_ID]],Customer_Dim!$A$2:$A$501,Customer_Dim!$E$2:$E$501)</f>
        <v>South Ashleyton</v>
      </c>
      <c r="H546" t="s">
        <v>548</v>
      </c>
      <c r="I546" t="str">
        <f>VLOOKUP(Table1[[#This Row],[Product_ID]],Product_Dim!$A$2:$G$101,2,FALSE)</f>
        <v>Men's Hair Styling Gel-Beauty</v>
      </c>
      <c r="J546" t="s">
        <v>1641</v>
      </c>
      <c r="K546" t="str">
        <f>VLOOKUP(Table1[[#This Row],[Store_ID]],Store_Dim!$A$3:$D$22,2,FALSE)</f>
        <v>Guerrero-Schmitt-East</v>
      </c>
      <c r="L546" t="s">
        <v>1761</v>
      </c>
      <c r="M546" t="s">
        <v>3958</v>
      </c>
      <c r="N546" s="3">
        <v>178.22</v>
      </c>
      <c r="O546" s="4">
        <v>0.15</v>
      </c>
      <c r="P546" t="s">
        <v>1777</v>
      </c>
      <c r="Q546" s="4">
        <v>454.46100000000001</v>
      </c>
    </row>
    <row r="547" spans="1:17" x14ac:dyDescent="0.3">
      <c r="A547" t="s">
        <v>2319</v>
      </c>
      <c r="B547" t="str">
        <f t="shared" si="8"/>
        <v>Q4</v>
      </c>
      <c r="C547" t="str">
        <f>TEXT(Table1[[#This Row],[Order_Date]],"mmmm")</f>
        <v>November</v>
      </c>
      <c r="D547">
        <f>YEAR(Table1[[#This Row],[Order_Date]])</f>
        <v>2023</v>
      </c>
      <c r="E547" s="7">
        <v>45255</v>
      </c>
      <c r="F547" s="2" t="str">
        <f>VLOOKUP(Table1[[#This Row],[Customer_ID]],Customer_Dim!$A$2:$H$501,2,FALSE)</f>
        <v>Steven Stein</v>
      </c>
      <c r="G547" s="2" t="str">
        <f>_xlfn.XLOOKUP(Table1[[#This Row],[Customer_ID]],Customer_Dim!$A$2:$A$501,Customer_Dim!$E$2:$E$501)</f>
        <v>West Lauren</v>
      </c>
      <c r="H547" t="s">
        <v>361</v>
      </c>
      <c r="I547" t="str">
        <f>VLOOKUP(Table1[[#This Row],[Product_ID]],Product_Dim!$A$2:$G$101,2,FALSE)</f>
        <v>Wireless Bluetooth Speaker-Electronics</v>
      </c>
      <c r="J547" t="s">
        <v>1575</v>
      </c>
      <c r="K547" t="str">
        <f>VLOOKUP(Table1[[#This Row],[Store_ID]],Store_Dim!$A$3:$D$22,2,FALSE)</f>
        <v>Martinez, Adkins and Johnson-North</v>
      </c>
      <c r="L547" t="s">
        <v>1728</v>
      </c>
      <c r="M547" t="s">
        <v>3959</v>
      </c>
      <c r="N547" s="3">
        <v>90.32</v>
      </c>
      <c r="O547" s="4">
        <v>0.08</v>
      </c>
      <c r="P547" t="s">
        <v>1774</v>
      </c>
      <c r="Q547" s="4">
        <v>332.37759999999997</v>
      </c>
    </row>
    <row r="548" spans="1:17" x14ac:dyDescent="0.3">
      <c r="A548" t="s">
        <v>2320</v>
      </c>
      <c r="B548" t="str">
        <f t="shared" si="8"/>
        <v>Q1</v>
      </c>
      <c r="C548" t="str">
        <f>TEXT(Table1[[#This Row],[Order_Date]],"mmmm")</f>
        <v>February</v>
      </c>
      <c r="D548">
        <f>YEAR(Table1[[#This Row],[Order_Date]])</f>
        <v>2025</v>
      </c>
      <c r="E548" s="7">
        <v>45695</v>
      </c>
      <c r="F548" s="2" t="str">
        <f>VLOOKUP(Table1[[#This Row],[Customer_ID]],Customer_Dim!$A$2:$H$501,2,FALSE)</f>
        <v>Frank Stewart</v>
      </c>
      <c r="G548" s="2" t="str">
        <f>_xlfn.XLOOKUP(Table1[[#This Row],[Customer_ID]],Customer_Dim!$A$2:$A$501,Customer_Dim!$E$2:$E$501)</f>
        <v>Fischerborough</v>
      </c>
      <c r="H548" t="s">
        <v>1168</v>
      </c>
      <c r="I548" t="str">
        <f>VLOOKUP(Table1[[#This Row],[Product_ID]],Product_Dim!$A$2:$G$101,2,FALSE)</f>
        <v>Ceramic Kitchen Bowl Set-Home</v>
      </c>
      <c r="J548" t="s">
        <v>1543</v>
      </c>
      <c r="K548" t="str">
        <f>VLOOKUP(Table1[[#This Row],[Store_ID]],Store_Dim!$A$3:$D$22,2,FALSE)</f>
        <v>Benson-Elliott-East</v>
      </c>
      <c r="L548" t="s">
        <v>1740</v>
      </c>
      <c r="M548" t="s">
        <v>3958</v>
      </c>
      <c r="N548" s="3">
        <v>370.93</v>
      </c>
      <c r="O548" s="4">
        <v>0</v>
      </c>
      <c r="P548" t="s">
        <v>1772</v>
      </c>
      <c r="Q548" s="4">
        <v>1112.79</v>
      </c>
    </row>
    <row r="549" spans="1:17" x14ac:dyDescent="0.3">
      <c r="A549" t="s">
        <v>2321</v>
      </c>
      <c r="B549" t="str">
        <f t="shared" si="8"/>
        <v>Q4</v>
      </c>
      <c r="C549" t="str">
        <f>TEXT(Table1[[#This Row],[Order_Date]],"mmmm")</f>
        <v>December</v>
      </c>
      <c r="D549">
        <f>YEAR(Table1[[#This Row],[Order_Date]])</f>
        <v>2023</v>
      </c>
      <c r="E549" s="7">
        <v>45281</v>
      </c>
      <c r="F549" s="2" t="str">
        <f>VLOOKUP(Table1[[#This Row],[Customer_ID]],Customer_Dim!$A$2:$H$501,2,FALSE)</f>
        <v>Michelle Garcia Dds</v>
      </c>
      <c r="G549" s="2" t="str">
        <f>_xlfn.XLOOKUP(Table1[[#This Row],[Customer_ID]],Customer_Dim!$A$2:$A$501,Customer_Dim!$E$2:$E$501)</f>
        <v>Perezbury</v>
      </c>
      <c r="H549" t="s">
        <v>176</v>
      </c>
      <c r="I549" t="str">
        <f>VLOOKUP(Table1[[#This Row],[Product_ID]],Product_Dim!$A$2:$G$101,2,FALSE)</f>
        <v>Men's Formal Shirt-Clothing</v>
      </c>
      <c r="J549" t="s">
        <v>1569</v>
      </c>
      <c r="K549" t="str">
        <f>VLOOKUP(Table1[[#This Row],[Store_ID]],Store_Dim!$A$3:$D$22,2,FALSE)</f>
        <v>Shelton PLC-North</v>
      </c>
      <c r="L549" t="s">
        <v>1755</v>
      </c>
      <c r="M549" t="s">
        <v>3957</v>
      </c>
      <c r="N549" s="3">
        <v>352.43</v>
      </c>
      <c r="O549" s="4">
        <v>0.14000000000000001</v>
      </c>
      <c r="P549" t="s">
        <v>1774</v>
      </c>
      <c r="Q549" s="4">
        <v>303.08980000000003</v>
      </c>
    </row>
    <row r="550" spans="1:17" x14ac:dyDescent="0.3">
      <c r="A550" t="s">
        <v>2322</v>
      </c>
      <c r="B550" t="str">
        <f t="shared" si="8"/>
        <v>Q1</v>
      </c>
      <c r="C550" t="str">
        <f>TEXT(Table1[[#This Row],[Order_Date]],"mmmm")</f>
        <v>January</v>
      </c>
      <c r="D550">
        <f>YEAR(Table1[[#This Row],[Order_Date]])</f>
        <v>2024</v>
      </c>
      <c r="E550" s="7">
        <v>45295</v>
      </c>
      <c r="F550" s="2" t="str">
        <f>VLOOKUP(Table1[[#This Row],[Customer_ID]],Customer_Dim!$A$2:$H$501,2,FALSE)</f>
        <v>Erin Hopkins</v>
      </c>
      <c r="G550" s="2" t="str">
        <f>_xlfn.XLOOKUP(Table1[[#This Row],[Customer_ID]],Customer_Dim!$A$2:$A$501,Customer_Dim!$E$2:$E$501)</f>
        <v>North Sabrina</v>
      </c>
      <c r="H550" t="s">
        <v>420</v>
      </c>
      <c r="I550" t="str">
        <f>VLOOKUP(Table1[[#This Row],[Product_ID]],Product_Dim!$A$2:$G$101,2,FALSE)</f>
        <v>Hair Strengthening Shampoo-Beauty</v>
      </c>
      <c r="J550" t="s">
        <v>1547</v>
      </c>
      <c r="K550" t="str">
        <f>VLOOKUP(Table1[[#This Row],[Store_ID]],Store_Dim!$A$3:$D$22,2,FALSE)</f>
        <v>Shelton PLC-North</v>
      </c>
      <c r="L550" t="s">
        <v>1755</v>
      </c>
      <c r="M550" t="s">
        <v>3960</v>
      </c>
      <c r="N550" s="3">
        <v>562.97</v>
      </c>
      <c r="O550" s="4">
        <v>0.2</v>
      </c>
      <c r="P550" t="s">
        <v>1772</v>
      </c>
      <c r="Q550" s="4">
        <v>900.75200000000007</v>
      </c>
    </row>
    <row r="551" spans="1:17" x14ac:dyDescent="0.3">
      <c r="A551" t="s">
        <v>2323</v>
      </c>
      <c r="B551" t="str">
        <f t="shared" si="8"/>
        <v>Q4</v>
      </c>
      <c r="C551" t="str">
        <f>TEXT(Table1[[#This Row],[Order_Date]],"mmmm")</f>
        <v>November</v>
      </c>
      <c r="D551">
        <f>YEAR(Table1[[#This Row],[Order_Date]])</f>
        <v>2023</v>
      </c>
      <c r="E551" s="7">
        <v>45260</v>
      </c>
      <c r="F551" s="2" t="str">
        <f>VLOOKUP(Table1[[#This Row],[Customer_ID]],Customer_Dim!$A$2:$H$501,2,FALSE)</f>
        <v>Paul Zamora</v>
      </c>
      <c r="G551" s="2" t="str">
        <f>_xlfn.XLOOKUP(Table1[[#This Row],[Customer_ID]],Customer_Dim!$A$2:$A$501,Customer_Dim!$E$2:$E$501)</f>
        <v>North Larryfurt</v>
      </c>
      <c r="H551" t="s">
        <v>521</v>
      </c>
      <c r="I551" t="str">
        <f>VLOOKUP(Table1[[#This Row],[Product_ID]],Product_Dim!$A$2:$G$101,2,FALSE)</f>
        <v>Ceramic Plant Pot-Home</v>
      </c>
      <c r="J551" t="s">
        <v>1633</v>
      </c>
      <c r="K551" t="str">
        <f>VLOOKUP(Table1[[#This Row],[Store_ID]],Store_Dim!$A$3:$D$22,2,FALSE)</f>
        <v>Martinez-Mullins-South</v>
      </c>
      <c r="L551" t="s">
        <v>1742</v>
      </c>
      <c r="M551" t="s">
        <v>3957</v>
      </c>
      <c r="N551" s="3">
        <v>522.85</v>
      </c>
      <c r="O551" s="4">
        <v>0.12</v>
      </c>
      <c r="P551" t="s">
        <v>1774</v>
      </c>
      <c r="Q551" s="4">
        <v>460.108</v>
      </c>
    </row>
    <row r="552" spans="1:17" x14ac:dyDescent="0.3">
      <c r="A552" t="s">
        <v>2324</v>
      </c>
      <c r="B552" t="str">
        <f t="shared" si="8"/>
        <v>Q3</v>
      </c>
      <c r="C552" t="str">
        <f>TEXT(Table1[[#This Row],[Order_Date]],"mmmm")</f>
        <v>July</v>
      </c>
      <c r="D552">
        <f>YEAR(Table1[[#This Row],[Order_Date]])</f>
        <v>2025</v>
      </c>
      <c r="E552" s="7">
        <v>45851</v>
      </c>
      <c r="F552" s="2" t="str">
        <f>VLOOKUP(Table1[[#This Row],[Customer_ID]],Customer_Dim!$A$2:$H$501,2,FALSE)</f>
        <v>Heather Valenzuela</v>
      </c>
      <c r="G552" s="2" t="str">
        <f>_xlfn.XLOOKUP(Table1[[#This Row],[Customer_ID]],Customer_Dim!$A$2:$A$501,Customer_Dim!$E$2:$E$501)</f>
        <v>New Angiefurt</v>
      </c>
      <c r="H552" t="s">
        <v>1083</v>
      </c>
      <c r="I552" t="str">
        <f>VLOOKUP(Table1[[#This Row],[Product_ID]],Product_Dim!$A$2:$G$101,2,FALSE)</f>
        <v>Multi-Purpose Storage Box-Home</v>
      </c>
      <c r="J552" t="s">
        <v>1565</v>
      </c>
      <c r="K552" t="str">
        <f>VLOOKUP(Table1[[#This Row],[Store_ID]],Store_Dim!$A$3:$D$22,2,FALSE)</f>
        <v>Frederick-Wright-West</v>
      </c>
      <c r="L552" t="s">
        <v>1757</v>
      </c>
      <c r="M552" t="s">
        <v>3959</v>
      </c>
      <c r="N552" s="3">
        <v>714.89</v>
      </c>
      <c r="O552" s="4">
        <v>0.15</v>
      </c>
      <c r="P552" t="s">
        <v>1772</v>
      </c>
      <c r="Q552" s="4">
        <v>2430.6260000000002</v>
      </c>
    </row>
    <row r="553" spans="1:17" x14ac:dyDescent="0.3">
      <c r="A553" t="s">
        <v>2325</v>
      </c>
      <c r="B553" t="str">
        <f t="shared" si="8"/>
        <v>Q4</v>
      </c>
      <c r="C553" t="str">
        <f>TEXT(Table1[[#This Row],[Order_Date]],"mmmm")</f>
        <v>October</v>
      </c>
      <c r="D553">
        <f>YEAR(Table1[[#This Row],[Order_Date]])</f>
        <v>2023</v>
      </c>
      <c r="E553" s="7">
        <v>45222</v>
      </c>
      <c r="F553" s="2" t="str">
        <f>VLOOKUP(Table1[[#This Row],[Customer_ID]],Customer_Dim!$A$2:$H$501,2,FALSE)</f>
        <v>Dr. Suzanne Bullock</v>
      </c>
      <c r="G553" s="2" t="str">
        <f>_xlfn.XLOOKUP(Table1[[#This Row],[Customer_ID]],Customer_Dim!$A$2:$A$501,Customer_Dim!$E$2:$E$501)</f>
        <v>Lake Blaketon</v>
      </c>
      <c r="H553" t="s">
        <v>610</v>
      </c>
      <c r="I553" t="str">
        <f>VLOOKUP(Table1[[#This Row],[Product_ID]],Product_Dim!$A$2:$G$101,2,FALSE)</f>
        <v>USB External Hard Drive-Electronics</v>
      </c>
      <c r="J553" t="s">
        <v>1609</v>
      </c>
      <c r="K553" t="str">
        <f>VLOOKUP(Table1[[#This Row],[Store_ID]],Store_Dim!$A$3:$D$22,2,FALSE)</f>
        <v>Black-Horn-South</v>
      </c>
      <c r="L553" t="s">
        <v>1730</v>
      </c>
      <c r="M553" t="s">
        <v>3958</v>
      </c>
      <c r="N553" s="3">
        <v>137.77000000000001</v>
      </c>
      <c r="O553" s="4">
        <v>0.26</v>
      </c>
      <c r="P553" t="s">
        <v>1774</v>
      </c>
      <c r="Q553" s="4">
        <v>305.84940000000012</v>
      </c>
    </row>
    <row r="554" spans="1:17" x14ac:dyDescent="0.3">
      <c r="A554" t="s">
        <v>2326</v>
      </c>
      <c r="B554" t="str">
        <f t="shared" si="8"/>
        <v>Q4</v>
      </c>
      <c r="C554" t="str">
        <f>TEXT(Table1[[#This Row],[Order_Date]],"mmmm")</f>
        <v>October</v>
      </c>
      <c r="D554">
        <f>YEAR(Table1[[#This Row],[Order_Date]])</f>
        <v>2025</v>
      </c>
      <c r="E554" s="7">
        <v>45940</v>
      </c>
      <c r="F554" s="2" t="str">
        <f>VLOOKUP(Table1[[#This Row],[Customer_ID]],Customer_Dim!$A$2:$H$501,2,FALSE)</f>
        <v>Leslie Johnson</v>
      </c>
      <c r="G554" s="2" t="str">
        <f>_xlfn.XLOOKUP(Table1[[#This Row],[Customer_ID]],Customer_Dim!$A$2:$A$501,Customer_Dim!$E$2:$E$501)</f>
        <v>Mollyshire</v>
      </c>
      <c r="H554" t="s">
        <v>114</v>
      </c>
      <c r="I554" t="str">
        <f>VLOOKUP(Table1[[#This Row],[Product_ID]],Product_Dim!$A$2:$G$101,2,FALSE)</f>
        <v>Microwave Oven-Home</v>
      </c>
      <c r="J554" t="s">
        <v>1707</v>
      </c>
      <c r="K554" t="str">
        <f>VLOOKUP(Table1[[#This Row],[Store_ID]],Store_Dim!$A$3:$D$22,2,FALSE)</f>
        <v>Aguirre-Keller-South</v>
      </c>
      <c r="L554" t="s">
        <v>1750</v>
      </c>
      <c r="M554" t="s">
        <v>3958</v>
      </c>
      <c r="N554" s="3">
        <v>862.18</v>
      </c>
      <c r="O554" s="4">
        <v>0.22</v>
      </c>
      <c r="P554" t="s">
        <v>1774</v>
      </c>
      <c r="Q554" s="4">
        <v>2017.5011999999999</v>
      </c>
    </row>
    <row r="555" spans="1:17" x14ac:dyDescent="0.3">
      <c r="A555" t="s">
        <v>2327</v>
      </c>
      <c r="B555" t="str">
        <f t="shared" si="8"/>
        <v>Q2</v>
      </c>
      <c r="C555" t="str">
        <f>TEXT(Table1[[#This Row],[Order_Date]],"mmmm")</f>
        <v>June</v>
      </c>
      <c r="D555">
        <f>YEAR(Table1[[#This Row],[Order_Date]])</f>
        <v>2025</v>
      </c>
      <c r="E555" s="7">
        <v>45822</v>
      </c>
      <c r="F555" s="2" t="str">
        <f>VLOOKUP(Table1[[#This Row],[Customer_ID]],Customer_Dim!$A$2:$H$501,2,FALSE)</f>
        <v>Jay Patel</v>
      </c>
      <c r="G555" s="2" t="str">
        <f>_xlfn.XLOOKUP(Table1[[#This Row],[Customer_ID]],Customer_Dim!$A$2:$A$501,Customer_Dim!$E$2:$E$501)</f>
        <v>Morrisbury</v>
      </c>
      <c r="H555" t="s">
        <v>211</v>
      </c>
      <c r="I555" t="str">
        <f>VLOOKUP(Table1[[#This Row],[Product_ID]],Product_Dim!$A$2:$G$101,2,FALSE)</f>
        <v>Sports Water Hydration Pack-Sports</v>
      </c>
      <c r="J555" t="s">
        <v>1599</v>
      </c>
      <c r="K555" t="str">
        <f>VLOOKUP(Table1[[#This Row],[Store_ID]],Store_Dim!$A$3:$D$22,2,FALSE)</f>
        <v>Mcdonald Inc-South</v>
      </c>
      <c r="L555" t="s">
        <v>1754</v>
      </c>
      <c r="M555" t="s">
        <v>3960</v>
      </c>
      <c r="N555" s="3">
        <v>833.64</v>
      </c>
      <c r="O555" s="4">
        <v>0.24</v>
      </c>
      <c r="P555" t="s">
        <v>1774</v>
      </c>
      <c r="Q555" s="4">
        <v>1267.1328000000001</v>
      </c>
    </row>
    <row r="556" spans="1:17" x14ac:dyDescent="0.3">
      <c r="A556" t="s">
        <v>2328</v>
      </c>
      <c r="B556" t="str">
        <f t="shared" si="8"/>
        <v>Q2</v>
      </c>
      <c r="C556" t="str">
        <f>TEXT(Table1[[#This Row],[Order_Date]],"mmmm")</f>
        <v>April</v>
      </c>
      <c r="D556">
        <f>YEAR(Table1[[#This Row],[Order_Date]])</f>
        <v>2025</v>
      </c>
      <c r="E556" s="7">
        <v>45752</v>
      </c>
      <c r="F556" s="2" t="str">
        <f>VLOOKUP(Table1[[#This Row],[Customer_ID]],Customer_Dim!$A$2:$H$501,2,FALSE)</f>
        <v>Brian Garcia</v>
      </c>
      <c r="G556" s="2" t="str">
        <f>_xlfn.XLOOKUP(Table1[[#This Row],[Customer_ID]],Customer_Dim!$A$2:$A$501,Customer_Dim!$E$2:$E$501)</f>
        <v>Ramosmouth</v>
      </c>
      <c r="H556" t="s">
        <v>853</v>
      </c>
      <c r="I556" t="str">
        <f>VLOOKUP(Table1[[#This Row],[Product_ID]],Product_Dim!$A$2:$G$101,2,FALSE)</f>
        <v>Knee Support Brace-Sports</v>
      </c>
      <c r="J556" t="s">
        <v>1561</v>
      </c>
      <c r="K556" t="str">
        <f>VLOOKUP(Table1[[#This Row],[Store_ID]],Store_Dim!$A$3:$D$22,2,FALSE)</f>
        <v>Shelton PLC-North</v>
      </c>
      <c r="L556" t="s">
        <v>1755</v>
      </c>
      <c r="M556" t="s">
        <v>3958</v>
      </c>
      <c r="N556" s="3">
        <v>543.22</v>
      </c>
      <c r="O556" s="4">
        <v>0.05</v>
      </c>
      <c r="P556" t="s">
        <v>1777</v>
      </c>
      <c r="Q556" s="4">
        <v>1548.1769999999999</v>
      </c>
    </row>
    <row r="557" spans="1:17" x14ac:dyDescent="0.3">
      <c r="A557" t="s">
        <v>2329</v>
      </c>
      <c r="B557" t="str">
        <f t="shared" si="8"/>
        <v>Q1</v>
      </c>
      <c r="C557" t="str">
        <f>TEXT(Table1[[#This Row],[Order_Date]],"mmmm")</f>
        <v>January</v>
      </c>
      <c r="D557">
        <f>YEAR(Table1[[#This Row],[Order_Date]])</f>
        <v>2025</v>
      </c>
      <c r="E557" s="7">
        <v>45677</v>
      </c>
      <c r="F557" s="2" t="str">
        <f>VLOOKUP(Table1[[#This Row],[Customer_ID]],Customer_Dim!$A$2:$H$501,2,FALSE)</f>
        <v>Stephen Fowler</v>
      </c>
      <c r="G557" s="2" t="str">
        <f>_xlfn.XLOOKUP(Table1[[#This Row],[Customer_ID]],Customer_Dim!$A$2:$A$501,Customer_Dim!$E$2:$E$501)</f>
        <v>Port Mariastad</v>
      </c>
      <c r="H557" t="s">
        <v>876</v>
      </c>
      <c r="I557" t="str">
        <f>VLOOKUP(Table1[[#This Row],[Product_ID]],Product_Dim!$A$2:$G$101,2,FALSE)</f>
        <v>Sports Wrist Sweatbands-Sports</v>
      </c>
      <c r="J557" t="s">
        <v>1699</v>
      </c>
      <c r="K557" t="str">
        <f>VLOOKUP(Table1[[#This Row],[Store_ID]],Store_Dim!$A$3:$D$22,2,FALSE)</f>
        <v>Black-Horn-South</v>
      </c>
      <c r="L557" t="s">
        <v>1730</v>
      </c>
      <c r="M557" t="s">
        <v>3958</v>
      </c>
      <c r="N557" s="3">
        <v>691.02</v>
      </c>
      <c r="O557" s="4">
        <v>0.12</v>
      </c>
      <c r="P557" t="s">
        <v>1777</v>
      </c>
      <c r="Q557" s="4">
        <v>1824.2927999999999</v>
      </c>
    </row>
    <row r="558" spans="1:17" x14ac:dyDescent="0.3">
      <c r="A558" t="s">
        <v>2330</v>
      </c>
      <c r="B558" t="str">
        <f t="shared" si="8"/>
        <v>Q4</v>
      </c>
      <c r="C558" t="str">
        <f>TEXT(Table1[[#This Row],[Order_Date]],"mmmm")</f>
        <v>November</v>
      </c>
      <c r="D558">
        <f>YEAR(Table1[[#This Row],[Order_Date]])</f>
        <v>2023</v>
      </c>
      <c r="E558" s="7">
        <v>45253</v>
      </c>
      <c r="F558" s="2" t="str">
        <f>VLOOKUP(Table1[[#This Row],[Customer_ID]],Customer_Dim!$A$2:$H$501,2,FALSE)</f>
        <v>Melissa Duffy Md</v>
      </c>
      <c r="G558" s="2" t="str">
        <f>_xlfn.XLOOKUP(Table1[[#This Row],[Customer_ID]],Customer_Dim!$A$2:$A$501,Customer_Dim!$E$2:$E$501)</f>
        <v>East Jenna</v>
      </c>
      <c r="H558" t="s">
        <v>310</v>
      </c>
      <c r="I558" t="str">
        <f>VLOOKUP(Table1[[#This Row],[Product_ID]],Product_Dim!$A$2:$G$101,2,FALSE)</f>
        <v>Kitchen Cutting Board-Home</v>
      </c>
      <c r="J558" t="s">
        <v>1695</v>
      </c>
      <c r="K558" t="str">
        <f>VLOOKUP(Table1[[#This Row],[Store_ID]],Store_Dim!$A$3:$D$22,2,FALSE)</f>
        <v>Holloway Ltd-North</v>
      </c>
      <c r="L558" t="s">
        <v>1759</v>
      </c>
      <c r="M558" t="s">
        <v>3959</v>
      </c>
      <c r="N558" s="3">
        <v>338.73</v>
      </c>
      <c r="O558" s="4">
        <v>0.18</v>
      </c>
      <c r="P558" t="s">
        <v>1772</v>
      </c>
      <c r="Q558" s="4">
        <v>1111.0344</v>
      </c>
    </row>
    <row r="559" spans="1:17" x14ac:dyDescent="0.3">
      <c r="A559" t="s">
        <v>2331</v>
      </c>
      <c r="B559" t="str">
        <f t="shared" si="8"/>
        <v>Q2</v>
      </c>
      <c r="C559" t="str">
        <f>TEXT(Table1[[#This Row],[Order_Date]],"mmmm")</f>
        <v>April</v>
      </c>
      <c r="D559">
        <f>YEAR(Table1[[#This Row],[Order_Date]])</f>
        <v>2024</v>
      </c>
      <c r="E559" s="7">
        <v>45389</v>
      </c>
      <c r="F559" s="2" t="str">
        <f>VLOOKUP(Table1[[#This Row],[Customer_ID]],Customer_Dim!$A$2:$H$501,2,FALSE)</f>
        <v>James Bean</v>
      </c>
      <c r="G559" s="2" t="str">
        <f>_xlfn.XLOOKUP(Table1[[#This Row],[Customer_ID]],Customer_Dim!$A$2:$A$501,Customer_Dim!$E$2:$E$501)</f>
        <v>Stevensonton</v>
      </c>
      <c r="H559" t="s">
        <v>227</v>
      </c>
      <c r="I559" t="str">
        <f>VLOOKUP(Table1[[#This Row],[Product_ID]],Product_Dim!$A$2:$G$101,2,FALSE)</f>
        <v>Wooden Bookshelf-Home</v>
      </c>
      <c r="J559" t="s">
        <v>1691</v>
      </c>
      <c r="K559" t="str">
        <f>VLOOKUP(Table1[[#This Row],[Store_ID]],Store_Dim!$A$3:$D$22,2,FALSE)</f>
        <v>Frederick-Wright-West</v>
      </c>
      <c r="L559" t="s">
        <v>1757</v>
      </c>
      <c r="M559" t="s">
        <v>3958</v>
      </c>
      <c r="N559" s="3">
        <v>366.08</v>
      </c>
      <c r="O559" s="4">
        <v>0.05</v>
      </c>
      <c r="P559" t="s">
        <v>1772</v>
      </c>
      <c r="Q559" s="4">
        <v>1043.328</v>
      </c>
    </row>
    <row r="560" spans="1:17" x14ac:dyDescent="0.3">
      <c r="A560" t="s">
        <v>2332</v>
      </c>
      <c r="B560" t="str">
        <f t="shared" si="8"/>
        <v>Q3</v>
      </c>
      <c r="C560" t="str">
        <f>TEXT(Table1[[#This Row],[Order_Date]],"mmmm")</f>
        <v>July</v>
      </c>
      <c r="D560">
        <f>YEAR(Table1[[#This Row],[Order_Date]])</f>
        <v>2025</v>
      </c>
      <c r="E560" s="7">
        <v>45840</v>
      </c>
      <c r="F560" s="2" t="str">
        <f>VLOOKUP(Table1[[#This Row],[Customer_ID]],Customer_Dim!$A$2:$H$501,2,FALSE)</f>
        <v>Lance Baker</v>
      </c>
      <c r="G560" s="2" t="str">
        <f>_xlfn.XLOOKUP(Table1[[#This Row],[Customer_ID]],Customer_Dim!$A$2:$A$501,Customer_Dim!$E$2:$E$501)</f>
        <v>Port Victoria</v>
      </c>
      <c r="H560" t="s">
        <v>367</v>
      </c>
      <c r="I560" t="str">
        <f>VLOOKUP(Table1[[#This Row],[Product_ID]],Product_Dim!$A$2:$G$101,2,FALSE)</f>
        <v>USB-C Fast Charger-Electronics</v>
      </c>
      <c r="J560" t="s">
        <v>1549</v>
      </c>
      <c r="K560" t="str">
        <f>VLOOKUP(Table1[[#This Row],[Store_ID]],Store_Dim!$A$3:$D$22,2,FALSE)</f>
        <v>Gardner, Humphrey and Contreras-East</v>
      </c>
      <c r="L560" t="s">
        <v>1753</v>
      </c>
      <c r="M560" t="s">
        <v>3959</v>
      </c>
      <c r="N560" s="3">
        <v>539.48</v>
      </c>
      <c r="O560" s="4">
        <v>0.28000000000000003</v>
      </c>
      <c r="P560" t="s">
        <v>1777</v>
      </c>
      <c r="Q560" s="4">
        <v>1553.7023999999999</v>
      </c>
    </row>
    <row r="561" spans="1:17" x14ac:dyDescent="0.3">
      <c r="A561" t="s">
        <v>2333</v>
      </c>
      <c r="B561" t="str">
        <f t="shared" si="8"/>
        <v>Q4</v>
      </c>
      <c r="C561" t="str">
        <f>TEXT(Table1[[#This Row],[Order_Date]],"mmmm")</f>
        <v>November</v>
      </c>
      <c r="D561">
        <f>YEAR(Table1[[#This Row],[Order_Date]])</f>
        <v>2023</v>
      </c>
      <c r="E561" s="7">
        <v>45256</v>
      </c>
      <c r="F561" s="2" t="str">
        <f>VLOOKUP(Table1[[#This Row],[Customer_ID]],Customer_Dim!$A$2:$H$501,2,FALSE)</f>
        <v>Cynthia Lopez</v>
      </c>
      <c r="G561" s="2" t="str">
        <f>_xlfn.XLOOKUP(Table1[[#This Row],[Customer_ID]],Customer_Dim!$A$2:$A$501,Customer_Dim!$E$2:$E$501)</f>
        <v>Joseland</v>
      </c>
      <c r="H561" t="s">
        <v>1201</v>
      </c>
      <c r="I561" t="str">
        <f>VLOOKUP(Table1[[#This Row],[Product_ID]],Product_Dim!$A$2:$G$101,2,FALSE)</f>
        <v>Women's High Heels-Clothing</v>
      </c>
      <c r="J561" t="s">
        <v>1705</v>
      </c>
      <c r="K561" t="str">
        <f>VLOOKUP(Table1[[#This Row],[Store_ID]],Store_Dim!$A$3:$D$22,2,FALSE)</f>
        <v>Frederick-Wright-West</v>
      </c>
      <c r="L561" t="s">
        <v>1757</v>
      </c>
      <c r="M561" t="s">
        <v>3957</v>
      </c>
      <c r="N561" s="3">
        <v>499.59</v>
      </c>
      <c r="O561" s="4">
        <v>0.03</v>
      </c>
      <c r="P561" t="s">
        <v>1777</v>
      </c>
      <c r="Q561" s="4">
        <v>484.60230000000001</v>
      </c>
    </row>
    <row r="562" spans="1:17" x14ac:dyDescent="0.3">
      <c r="A562" t="s">
        <v>2334</v>
      </c>
      <c r="B562" t="str">
        <f t="shared" si="8"/>
        <v>Q1</v>
      </c>
      <c r="C562" t="str">
        <f>TEXT(Table1[[#This Row],[Order_Date]],"mmmm")</f>
        <v>February</v>
      </c>
      <c r="D562">
        <f>YEAR(Table1[[#This Row],[Order_Date]])</f>
        <v>2024</v>
      </c>
      <c r="E562" s="7">
        <v>45326</v>
      </c>
      <c r="F562" s="2" t="str">
        <f>VLOOKUP(Table1[[#This Row],[Customer_ID]],Customer_Dim!$A$2:$H$501,2,FALSE)</f>
        <v>Kimberly Brooks</v>
      </c>
      <c r="G562" s="2" t="str">
        <f>_xlfn.XLOOKUP(Table1[[#This Row],[Customer_ID]],Customer_Dim!$A$2:$A$501,Customer_Dim!$E$2:$E$501)</f>
        <v>Kingfort</v>
      </c>
      <c r="H562" t="s">
        <v>613</v>
      </c>
      <c r="I562" t="str">
        <f>VLOOKUP(Table1[[#This Row],[Product_ID]],Product_Dim!$A$2:$G$101,2,FALSE)</f>
        <v>Stainless Steel Cutlery Set-Home</v>
      </c>
      <c r="J562" t="s">
        <v>1583</v>
      </c>
      <c r="K562" t="str">
        <f>VLOOKUP(Table1[[#This Row],[Store_ID]],Store_Dim!$A$3:$D$22,2,FALSE)</f>
        <v>Bean, Jones and Park-West</v>
      </c>
      <c r="L562" t="s">
        <v>1744</v>
      </c>
      <c r="M562" t="s">
        <v>3958</v>
      </c>
      <c r="N562" s="3">
        <v>330.04</v>
      </c>
      <c r="O562" s="4">
        <v>0.2</v>
      </c>
      <c r="P562" t="s">
        <v>1772</v>
      </c>
      <c r="Q562" s="4">
        <v>792.09600000000012</v>
      </c>
    </row>
    <row r="563" spans="1:17" x14ac:dyDescent="0.3">
      <c r="A563" t="s">
        <v>2335</v>
      </c>
      <c r="B563" t="str">
        <f t="shared" si="8"/>
        <v>Q2</v>
      </c>
      <c r="C563" t="str">
        <f>TEXT(Table1[[#This Row],[Order_Date]],"mmmm")</f>
        <v>June</v>
      </c>
      <c r="D563">
        <f>YEAR(Table1[[#This Row],[Order_Date]])</f>
        <v>2024</v>
      </c>
      <c r="E563" s="7">
        <v>45459</v>
      </c>
      <c r="F563" s="2" t="str">
        <f>VLOOKUP(Table1[[#This Row],[Customer_ID]],Customer_Dim!$A$2:$H$501,2,FALSE)</f>
        <v>Melissa Hamilton</v>
      </c>
      <c r="G563" s="2" t="str">
        <f>_xlfn.XLOOKUP(Table1[[#This Row],[Customer_ID]],Customer_Dim!$A$2:$A$501,Customer_Dim!$E$2:$E$501)</f>
        <v>Hutchinsonville</v>
      </c>
      <c r="H563" t="s">
        <v>595</v>
      </c>
      <c r="I563" t="str">
        <f>VLOOKUP(Table1[[#This Row],[Product_ID]],Product_Dim!$A$2:$G$101,2,FALSE)</f>
        <v>HD Smart TV Stick-Electronics</v>
      </c>
      <c r="J563" t="s">
        <v>1545</v>
      </c>
      <c r="K563" t="str">
        <f>VLOOKUP(Table1[[#This Row],[Store_ID]],Store_Dim!$A$3:$D$22,2,FALSE)</f>
        <v>Holloway Ltd-North</v>
      </c>
      <c r="L563" t="s">
        <v>1759</v>
      </c>
      <c r="M563" t="s">
        <v>3960</v>
      </c>
      <c r="N563" s="3">
        <v>813.01</v>
      </c>
      <c r="O563" s="4">
        <v>0.06</v>
      </c>
      <c r="P563" t="s">
        <v>1774</v>
      </c>
      <c r="Q563" s="4">
        <v>1528.4588000000001</v>
      </c>
    </row>
    <row r="564" spans="1:17" x14ac:dyDescent="0.3">
      <c r="A564" t="s">
        <v>2336</v>
      </c>
      <c r="B564" t="str">
        <f t="shared" si="8"/>
        <v>Q1</v>
      </c>
      <c r="C564" t="str">
        <f>TEXT(Table1[[#This Row],[Order_Date]],"mmmm")</f>
        <v>February</v>
      </c>
      <c r="D564">
        <f>YEAR(Table1[[#This Row],[Order_Date]])</f>
        <v>2025</v>
      </c>
      <c r="E564" s="7">
        <v>45715</v>
      </c>
      <c r="F564" s="2" t="str">
        <f>VLOOKUP(Table1[[#This Row],[Customer_ID]],Customer_Dim!$A$2:$H$501,2,FALSE)</f>
        <v>Amber Carlson</v>
      </c>
      <c r="G564" s="2" t="str">
        <f>_xlfn.XLOOKUP(Table1[[#This Row],[Customer_ID]],Customer_Dim!$A$2:$A$501,Customer_Dim!$E$2:$E$501)</f>
        <v>East Michellemouth</v>
      </c>
      <c r="H564" t="s">
        <v>110</v>
      </c>
      <c r="I564" t="str">
        <f>VLOOKUP(Table1[[#This Row],[Product_ID]],Product_Dim!$A$2:$G$101,2,FALSE)</f>
        <v>Men's Graphic T-Shirt-Clothing</v>
      </c>
      <c r="J564" t="s">
        <v>1525</v>
      </c>
      <c r="K564" t="str">
        <f>VLOOKUP(Table1[[#This Row],[Store_ID]],Store_Dim!$A$3:$D$22,2,FALSE)</f>
        <v>Black-Horn-South</v>
      </c>
      <c r="L564" t="s">
        <v>1730</v>
      </c>
      <c r="M564" t="s">
        <v>3959</v>
      </c>
      <c r="N564" s="3">
        <v>204.8</v>
      </c>
      <c r="O564" s="4">
        <v>0.03</v>
      </c>
      <c r="P564" t="s">
        <v>1774</v>
      </c>
      <c r="Q564" s="4">
        <v>794.62400000000002</v>
      </c>
    </row>
    <row r="565" spans="1:17" x14ac:dyDescent="0.3">
      <c r="A565" t="s">
        <v>2337</v>
      </c>
      <c r="B565" t="str">
        <f t="shared" si="8"/>
        <v>Q4</v>
      </c>
      <c r="C565" t="str">
        <f>TEXT(Table1[[#This Row],[Order_Date]],"mmmm")</f>
        <v>October</v>
      </c>
      <c r="D565">
        <f>YEAR(Table1[[#This Row],[Order_Date]])</f>
        <v>2023</v>
      </c>
      <c r="E565" s="7">
        <v>45223</v>
      </c>
      <c r="F565" s="2" t="str">
        <f>VLOOKUP(Table1[[#This Row],[Customer_ID]],Customer_Dim!$A$2:$H$501,2,FALSE)</f>
        <v>Brian Lopez</v>
      </c>
      <c r="G565" s="2" t="str">
        <f>_xlfn.XLOOKUP(Table1[[#This Row],[Customer_ID]],Customer_Dim!$A$2:$A$501,Customer_Dim!$E$2:$E$501)</f>
        <v>East Krista</v>
      </c>
      <c r="H565" t="s">
        <v>55</v>
      </c>
      <c r="I565" t="str">
        <f>VLOOKUP(Table1[[#This Row],[Product_ID]],Product_Dim!$A$2:$G$101,2,FALSE)</f>
        <v>Men's Running Jacket-Clothing</v>
      </c>
      <c r="J565" t="s">
        <v>1529</v>
      </c>
      <c r="K565" t="str">
        <f>VLOOKUP(Table1[[#This Row],[Store_ID]],Store_Dim!$A$3:$D$22,2,FALSE)</f>
        <v>Johnson-Wright-North</v>
      </c>
      <c r="L565" t="s">
        <v>1733</v>
      </c>
      <c r="M565" t="s">
        <v>3958</v>
      </c>
      <c r="N565" s="3">
        <v>728.32</v>
      </c>
      <c r="O565" s="4">
        <v>0.01</v>
      </c>
      <c r="P565" t="s">
        <v>1772</v>
      </c>
      <c r="Q565" s="4">
        <v>2163.1104</v>
      </c>
    </row>
    <row r="566" spans="1:17" x14ac:dyDescent="0.3">
      <c r="A566" t="s">
        <v>2338</v>
      </c>
      <c r="B566" t="str">
        <f t="shared" si="8"/>
        <v>Q3</v>
      </c>
      <c r="C566" t="str">
        <f>TEXT(Table1[[#This Row],[Order_Date]],"mmmm")</f>
        <v>August</v>
      </c>
      <c r="D566">
        <f>YEAR(Table1[[#This Row],[Order_Date]])</f>
        <v>2024</v>
      </c>
      <c r="E566" s="7">
        <v>45507</v>
      </c>
      <c r="F566" s="2" t="str">
        <f>VLOOKUP(Table1[[#This Row],[Customer_ID]],Customer_Dim!$A$2:$H$501,2,FALSE)</f>
        <v>Jeffery Wolf</v>
      </c>
      <c r="G566" s="2" t="str">
        <f>_xlfn.XLOOKUP(Table1[[#This Row],[Customer_ID]],Customer_Dim!$A$2:$A$501,Customer_Dim!$E$2:$E$501)</f>
        <v>New Laura</v>
      </c>
      <c r="H566" t="s">
        <v>1381</v>
      </c>
      <c r="I566" t="str">
        <f>VLOOKUP(Table1[[#This Row],[Product_ID]],Product_Dim!$A$2:$G$101,2,FALSE)</f>
        <v>Men's Hair Styling Gel-Beauty</v>
      </c>
      <c r="J566" t="s">
        <v>1641</v>
      </c>
      <c r="K566" t="str">
        <f>VLOOKUP(Table1[[#This Row],[Store_ID]],Store_Dim!$A$3:$D$22,2,FALSE)</f>
        <v>Martinez-Mullins-South</v>
      </c>
      <c r="L566" t="s">
        <v>1742</v>
      </c>
      <c r="M566" t="s">
        <v>3958</v>
      </c>
      <c r="N566" s="3">
        <v>836.4</v>
      </c>
      <c r="O566" s="4">
        <v>0</v>
      </c>
      <c r="P566" t="s">
        <v>1772</v>
      </c>
      <c r="Q566" s="4">
        <v>2509.1999999999998</v>
      </c>
    </row>
    <row r="567" spans="1:17" x14ac:dyDescent="0.3">
      <c r="A567" t="s">
        <v>2339</v>
      </c>
      <c r="B567" t="str">
        <f t="shared" si="8"/>
        <v>Q3</v>
      </c>
      <c r="C567" t="str">
        <f>TEXT(Table1[[#This Row],[Order_Date]],"mmmm")</f>
        <v>July</v>
      </c>
      <c r="D567">
        <f>YEAR(Table1[[#This Row],[Order_Date]])</f>
        <v>2025</v>
      </c>
      <c r="E567" s="7">
        <v>45843</v>
      </c>
      <c r="F567" s="2" t="str">
        <f>VLOOKUP(Table1[[#This Row],[Customer_ID]],Customer_Dim!$A$2:$H$501,2,FALSE)</f>
        <v>Denise Griffin</v>
      </c>
      <c r="G567" s="2" t="str">
        <f>_xlfn.XLOOKUP(Table1[[#This Row],[Customer_ID]],Customer_Dim!$A$2:$A$501,Customer_Dim!$E$2:$E$501)</f>
        <v>West Markhaven</v>
      </c>
      <c r="H567" t="s">
        <v>497</v>
      </c>
      <c r="I567" t="str">
        <f>VLOOKUP(Table1[[#This Row],[Product_ID]],Product_Dim!$A$2:$G$101,2,FALSE)</f>
        <v>Gaming Mouse Pad XL-Electronics</v>
      </c>
      <c r="J567" t="s">
        <v>1703</v>
      </c>
      <c r="K567" t="str">
        <f>VLOOKUP(Table1[[#This Row],[Store_ID]],Store_Dim!$A$3:$D$22,2,FALSE)</f>
        <v>Thomas, Bridges and Harris-North</v>
      </c>
      <c r="L567" t="s">
        <v>1751</v>
      </c>
      <c r="M567" t="s">
        <v>3957</v>
      </c>
      <c r="N567" s="3">
        <v>780.16</v>
      </c>
      <c r="O567" s="4">
        <v>0.02</v>
      </c>
      <c r="P567" t="s">
        <v>1777</v>
      </c>
      <c r="Q567" s="4">
        <v>764.55679999999995</v>
      </c>
    </row>
    <row r="568" spans="1:17" x14ac:dyDescent="0.3">
      <c r="A568" t="s">
        <v>2340</v>
      </c>
      <c r="B568" t="str">
        <f t="shared" si="8"/>
        <v>Q2</v>
      </c>
      <c r="C568" t="str">
        <f>TEXT(Table1[[#This Row],[Order_Date]],"mmmm")</f>
        <v>May</v>
      </c>
      <c r="D568">
        <f>YEAR(Table1[[#This Row],[Order_Date]])</f>
        <v>2025</v>
      </c>
      <c r="E568" s="7">
        <v>45804</v>
      </c>
      <c r="F568" s="2" t="str">
        <f>VLOOKUP(Table1[[#This Row],[Customer_ID]],Customer_Dim!$A$2:$H$501,2,FALSE)</f>
        <v>Manuel Fisher</v>
      </c>
      <c r="G568" s="2" t="str">
        <f>_xlfn.XLOOKUP(Table1[[#This Row],[Customer_ID]],Customer_Dim!$A$2:$A$501,Customer_Dim!$E$2:$E$501)</f>
        <v>Kanebury</v>
      </c>
      <c r="H568" t="s">
        <v>1433</v>
      </c>
      <c r="I568" t="str">
        <f>VLOOKUP(Table1[[#This Row],[Product_ID]],Product_Dim!$A$2:$G$101,2,FALSE)</f>
        <v>Men's Winter Jacket-Clothing</v>
      </c>
      <c r="J568" t="s">
        <v>1615</v>
      </c>
      <c r="K568" t="str">
        <f>VLOOKUP(Table1[[#This Row],[Store_ID]],Store_Dim!$A$3:$D$22,2,FALSE)</f>
        <v>Gardner, Humphrey and Contreras-East</v>
      </c>
      <c r="L568" t="s">
        <v>1753</v>
      </c>
      <c r="M568" t="s">
        <v>3959</v>
      </c>
      <c r="N568" s="3">
        <v>354.12</v>
      </c>
      <c r="O568" s="4">
        <v>0.06</v>
      </c>
      <c r="P568" t="s">
        <v>1774</v>
      </c>
      <c r="Q568" s="4">
        <v>1331.4911999999999</v>
      </c>
    </row>
    <row r="569" spans="1:17" x14ac:dyDescent="0.3">
      <c r="A569" t="s">
        <v>2341</v>
      </c>
      <c r="B569" t="str">
        <f t="shared" si="8"/>
        <v>Q4</v>
      </c>
      <c r="C569" t="str">
        <f>TEXT(Table1[[#This Row],[Order_Date]],"mmmm")</f>
        <v>November</v>
      </c>
      <c r="D569">
        <f>YEAR(Table1[[#This Row],[Order_Date]])</f>
        <v>2024</v>
      </c>
      <c r="E569" s="7">
        <v>45602</v>
      </c>
      <c r="F569" s="2" t="str">
        <f>VLOOKUP(Table1[[#This Row],[Customer_ID]],Customer_Dim!$A$2:$H$501,2,FALSE)</f>
        <v>Jeffery Wolf</v>
      </c>
      <c r="G569" s="2" t="str">
        <f>_xlfn.XLOOKUP(Table1[[#This Row],[Customer_ID]],Customer_Dim!$A$2:$A$501,Customer_Dim!$E$2:$E$501)</f>
        <v>New Laura</v>
      </c>
      <c r="H569" t="s">
        <v>1381</v>
      </c>
      <c r="I569" t="str">
        <f>VLOOKUP(Table1[[#This Row],[Product_ID]],Product_Dim!$A$2:$G$101,2,FALSE)</f>
        <v>Organic Sunscreen Lotion-Beauty</v>
      </c>
      <c r="J569" t="s">
        <v>1649</v>
      </c>
      <c r="K569" t="str">
        <f>VLOOKUP(Table1[[#This Row],[Store_ID]],Store_Dim!$A$3:$D$22,2,FALSE)</f>
        <v>Black-Horn-South</v>
      </c>
      <c r="L569" t="s">
        <v>1730</v>
      </c>
      <c r="M569" t="s">
        <v>3959</v>
      </c>
      <c r="N569" s="3">
        <v>282.48</v>
      </c>
      <c r="O569" s="4">
        <v>0.11</v>
      </c>
      <c r="P569" t="s">
        <v>1774</v>
      </c>
      <c r="Q569" s="4">
        <v>1005.6288</v>
      </c>
    </row>
    <row r="570" spans="1:17" x14ac:dyDescent="0.3">
      <c r="A570" t="s">
        <v>2342</v>
      </c>
      <c r="B570" t="str">
        <f t="shared" si="8"/>
        <v>Q2</v>
      </c>
      <c r="C570" t="str">
        <f>TEXT(Table1[[#This Row],[Order_Date]],"mmmm")</f>
        <v>June</v>
      </c>
      <c r="D570">
        <f>YEAR(Table1[[#This Row],[Order_Date]])</f>
        <v>2024</v>
      </c>
      <c r="E570" s="7">
        <v>45446</v>
      </c>
      <c r="F570" s="2" t="str">
        <f>VLOOKUP(Table1[[#This Row],[Customer_ID]],Customer_Dim!$A$2:$H$501,2,FALSE)</f>
        <v>Mario Harvey Jr.</v>
      </c>
      <c r="G570" s="2" t="str">
        <f>_xlfn.XLOOKUP(Table1[[#This Row],[Customer_ID]],Customer_Dim!$A$2:$A$501,Customer_Dim!$E$2:$E$501)</f>
        <v>Jessicaport</v>
      </c>
      <c r="H570" t="s">
        <v>1021</v>
      </c>
      <c r="I570" t="str">
        <f>VLOOKUP(Table1[[#This Row],[Product_ID]],Product_Dim!$A$2:$G$101,2,FALSE)</f>
        <v>Outdoor Sports Water Bottle-Sports</v>
      </c>
      <c r="J570" t="s">
        <v>1563</v>
      </c>
      <c r="K570" t="str">
        <f>VLOOKUP(Table1[[#This Row],[Store_ID]],Store_Dim!$A$3:$D$22,2,FALSE)</f>
        <v>Benson-Elliott-East</v>
      </c>
      <c r="L570" t="s">
        <v>1740</v>
      </c>
      <c r="M570" t="s">
        <v>3960</v>
      </c>
      <c r="N570" s="3">
        <v>740.68</v>
      </c>
      <c r="O570" s="4">
        <v>0.02</v>
      </c>
      <c r="P570" t="s">
        <v>1774</v>
      </c>
      <c r="Q570" s="4">
        <v>1451.7328</v>
      </c>
    </row>
    <row r="571" spans="1:17" x14ac:dyDescent="0.3">
      <c r="A571" t="s">
        <v>2343</v>
      </c>
      <c r="B571" t="str">
        <f t="shared" si="8"/>
        <v>Q2</v>
      </c>
      <c r="C571" t="str">
        <f>TEXT(Table1[[#This Row],[Order_Date]],"mmmm")</f>
        <v>April</v>
      </c>
      <c r="D571">
        <f>YEAR(Table1[[#This Row],[Order_Date]])</f>
        <v>2024</v>
      </c>
      <c r="E571" s="7">
        <v>45384</v>
      </c>
      <c r="F571" s="2" t="str">
        <f>VLOOKUP(Table1[[#This Row],[Customer_ID]],Customer_Dim!$A$2:$H$501,2,FALSE)</f>
        <v>Lance Baker</v>
      </c>
      <c r="G571" s="2" t="str">
        <f>_xlfn.XLOOKUP(Table1[[#This Row],[Customer_ID]],Customer_Dim!$A$2:$A$501,Customer_Dim!$E$2:$E$501)</f>
        <v>Port Victoria</v>
      </c>
      <c r="H571" t="s">
        <v>367</v>
      </c>
      <c r="I571" t="str">
        <f>VLOOKUP(Table1[[#This Row],[Product_ID]],Product_Dim!$A$2:$G$101,2,FALSE)</f>
        <v>Premium Blanket Throw-Home</v>
      </c>
      <c r="J571" t="s">
        <v>1635</v>
      </c>
      <c r="K571" t="str">
        <f>VLOOKUP(Table1[[#This Row],[Store_ID]],Store_Dim!$A$3:$D$22,2,FALSE)</f>
        <v>Moore, Padilla and Butler-South</v>
      </c>
      <c r="L571" t="s">
        <v>1746</v>
      </c>
      <c r="M571" t="s">
        <v>3958</v>
      </c>
      <c r="N571" s="3">
        <v>600.58000000000004</v>
      </c>
      <c r="O571" s="4">
        <v>0.28999999999999998</v>
      </c>
      <c r="P571" t="s">
        <v>1777</v>
      </c>
      <c r="Q571" s="4">
        <v>1279.2354</v>
      </c>
    </row>
    <row r="572" spans="1:17" x14ac:dyDescent="0.3">
      <c r="A572" t="s">
        <v>2344</v>
      </c>
      <c r="B572" t="str">
        <f t="shared" si="8"/>
        <v>Q1</v>
      </c>
      <c r="C572" t="str">
        <f>TEXT(Table1[[#This Row],[Order_Date]],"mmmm")</f>
        <v>February</v>
      </c>
      <c r="D572">
        <f>YEAR(Table1[[#This Row],[Order_Date]])</f>
        <v>2024</v>
      </c>
      <c r="E572" s="7">
        <v>45348</v>
      </c>
      <c r="F572" s="2" t="str">
        <f>VLOOKUP(Table1[[#This Row],[Customer_ID]],Customer_Dim!$A$2:$H$501,2,FALSE)</f>
        <v>Paul Cox</v>
      </c>
      <c r="G572" s="2" t="str">
        <f>_xlfn.XLOOKUP(Table1[[#This Row],[Customer_ID]],Customer_Dim!$A$2:$A$501,Customer_Dim!$E$2:$E$501)</f>
        <v>East Julie</v>
      </c>
      <c r="H572" t="s">
        <v>1406</v>
      </c>
      <c r="I572" t="str">
        <f>VLOOKUP(Table1[[#This Row],[Product_ID]],Product_Dim!$A$2:$G$101,2,FALSE)</f>
        <v>Adjustable Dumbbells 20kg-Sports</v>
      </c>
      <c r="J572" t="s">
        <v>1653</v>
      </c>
      <c r="K572" t="str">
        <f>VLOOKUP(Table1[[#This Row],[Store_ID]],Store_Dim!$A$3:$D$22,2,FALSE)</f>
        <v>Johnson-Wright-North</v>
      </c>
      <c r="L572" t="s">
        <v>1733</v>
      </c>
      <c r="M572" t="s">
        <v>3958</v>
      </c>
      <c r="N572" s="3">
        <v>345.58</v>
      </c>
      <c r="O572" s="4">
        <v>0.22</v>
      </c>
      <c r="P572" t="s">
        <v>1772</v>
      </c>
      <c r="Q572" s="4">
        <v>808.65719999999999</v>
      </c>
    </row>
    <row r="573" spans="1:17" x14ac:dyDescent="0.3">
      <c r="A573" t="s">
        <v>2345</v>
      </c>
      <c r="B573" t="str">
        <f t="shared" si="8"/>
        <v>Q1</v>
      </c>
      <c r="C573" t="str">
        <f>TEXT(Table1[[#This Row],[Order_Date]],"mmmm")</f>
        <v>January</v>
      </c>
      <c r="D573">
        <f>YEAR(Table1[[#This Row],[Order_Date]])</f>
        <v>2025</v>
      </c>
      <c r="E573" s="7">
        <v>45688</v>
      </c>
      <c r="F573" s="2" t="str">
        <f>VLOOKUP(Table1[[#This Row],[Customer_ID]],Customer_Dim!$A$2:$H$501,2,FALSE)</f>
        <v>Hunter Sutton</v>
      </c>
      <c r="G573" s="2" t="str">
        <f>_xlfn.XLOOKUP(Table1[[#This Row],[Customer_ID]],Customer_Dim!$A$2:$A$501,Customer_Dim!$E$2:$E$501)</f>
        <v>Patrickshire</v>
      </c>
      <c r="H573" t="s">
        <v>894</v>
      </c>
      <c r="I573" t="str">
        <f>VLOOKUP(Table1[[#This Row],[Product_ID]],Product_Dim!$A$2:$G$101,2,FALSE)</f>
        <v>Women's Denim Jeans-Clothing</v>
      </c>
      <c r="J573" t="s">
        <v>1559</v>
      </c>
      <c r="K573" t="str">
        <f>VLOOKUP(Table1[[#This Row],[Store_ID]],Store_Dim!$A$3:$D$22,2,FALSE)</f>
        <v>Aguirre-Keller-South</v>
      </c>
      <c r="L573" t="s">
        <v>1750</v>
      </c>
      <c r="M573" t="s">
        <v>3957</v>
      </c>
      <c r="N573" s="3">
        <v>974.52</v>
      </c>
      <c r="O573" s="4">
        <v>0.01</v>
      </c>
      <c r="P573" t="s">
        <v>1774</v>
      </c>
      <c r="Q573" s="4">
        <v>964.77480000000003</v>
      </c>
    </row>
    <row r="574" spans="1:17" x14ac:dyDescent="0.3">
      <c r="A574" t="s">
        <v>2346</v>
      </c>
      <c r="B574" t="str">
        <f t="shared" si="8"/>
        <v>Q4</v>
      </c>
      <c r="C574" t="str">
        <f>TEXT(Table1[[#This Row],[Order_Date]],"mmmm")</f>
        <v>November</v>
      </c>
      <c r="D574">
        <f>YEAR(Table1[[#This Row],[Order_Date]])</f>
        <v>2023</v>
      </c>
      <c r="E574" s="7">
        <v>45249</v>
      </c>
      <c r="F574" s="2" t="str">
        <f>VLOOKUP(Table1[[#This Row],[Customer_ID]],Customer_Dim!$A$2:$H$501,2,FALSE)</f>
        <v>Eric Vega</v>
      </c>
      <c r="G574" s="2" t="str">
        <f>_xlfn.XLOOKUP(Table1[[#This Row],[Customer_ID]],Customer_Dim!$A$2:$A$501,Customer_Dim!$E$2:$E$501)</f>
        <v>Williamsonland</v>
      </c>
      <c r="H574" t="s">
        <v>156</v>
      </c>
      <c r="I574" t="str">
        <f>VLOOKUP(Table1[[#This Row],[Product_ID]],Product_Dim!$A$2:$G$101,2,FALSE)</f>
        <v>Soccer Training Cone Set-Sports</v>
      </c>
      <c r="J574" t="s">
        <v>1557</v>
      </c>
      <c r="K574" t="str">
        <f>VLOOKUP(Table1[[#This Row],[Store_ID]],Store_Dim!$A$3:$D$22,2,FALSE)</f>
        <v>Martinez, Adkins and Johnson-North</v>
      </c>
      <c r="L574" t="s">
        <v>1728</v>
      </c>
      <c r="M574" t="s">
        <v>3958</v>
      </c>
      <c r="N574" s="3">
        <v>282.33</v>
      </c>
      <c r="O574" s="4">
        <v>7.0000000000000007E-2</v>
      </c>
      <c r="P574" t="s">
        <v>1772</v>
      </c>
      <c r="Q574" s="4">
        <v>787.70069999999998</v>
      </c>
    </row>
    <row r="575" spans="1:17" x14ac:dyDescent="0.3">
      <c r="A575" t="s">
        <v>2347</v>
      </c>
      <c r="B575" t="str">
        <f t="shared" si="8"/>
        <v>Q1</v>
      </c>
      <c r="C575" t="str">
        <f>TEXT(Table1[[#This Row],[Order_Date]],"mmmm")</f>
        <v>March</v>
      </c>
      <c r="D575">
        <f>YEAR(Table1[[#This Row],[Order_Date]])</f>
        <v>2025</v>
      </c>
      <c r="E575" s="7">
        <v>45726</v>
      </c>
      <c r="F575" s="2" t="str">
        <f>VLOOKUP(Table1[[#This Row],[Customer_ID]],Customer_Dim!$A$2:$H$501,2,FALSE)</f>
        <v>Martha Brown</v>
      </c>
      <c r="G575" s="2" t="str">
        <f>_xlfn.XLOOKUP(Table1[[#This Row],[Customer_ID]],Customer_Dim!$A$2:$A$501,Customer_Dim!$E$2:$E$501)</f>
        <v>Novakstad</v>
      </c>
      <c r="H575" t="s">
        <v>1180</v>
      </c>
      <c r="I575" t="str">
        <f>VLOOKUP(Table1[[#This Row],[Product_ID]],Product_Dim!$A$2:$G$101,2,FALSE)</f>
        <v>Wireless Mouse-Electronics</v>
      </c>
      <c r="J575" t="s">
        <v>1675</v>
      </c>
      <c r="K575" t="str">
        <f>VLOOKUP(Table1[[#This Row],[Store_ID]],Store_Dim!$A$3:$D$22,2,FALSE)</f>
        <v>Mann-Austin-East</v>
      </c>
      <c r="L575" t="s">
        <v>1763</v>
      </c>
      <c r="M575" t="s">
        <v>3959</v>
      </c>
      <c r="N575" s="3">
        <v>158.46</v>
      </c>
      <c r="O575" s="4">
        <v>0.09</v>
      </c>
      <c r="P575" t="s">
        <v>1774</v>
      </c>
      <c r="Q575" s="4">
        <v>576.7944</v>
      </c>
    </row>
    <row r="576" spans="1:17" x14ac:dyDescent="0.3">
      <c r="A576" t="s">
        <v>2348</v>
      </c>
      <c r="B576" t="str">
        <f t="shared" si="8"/>
        <v>Q4</v>
      </c>
      <c r="C576" t="str">
        <f>TEXT(Table1[[#This Row],[Order_Date]],"mmmm")</f>
        <v>December</v>
      </c>
      <c r="D576">
        <f>YEAR(Table1[[#This Row],[Order_Date]])</f>
        <v>2023</v>
      </c>
      <c r="E576" s="7">
        <v>45283</v>
      </c>
      <c r="F576" s="2" t="str">
        <f>VLOOKUP(Table1[[#This Row],[Customer_ID]],Customer_Dim!$A$2:$H$501,2,FALSE)</f>
        <v>Ryan Moore</v>
      </c>
      <c r="G576" s="2" t="str">
        <f>_xlfn.XLOOKUP(Table1[[#This Row],[Customer_ID]],Customer_Dim!$A$2:$A$501,Customer_Dim!$E$2:$E$501)</f>
        <v>Cartershire</v>
      </c>
      <c r="H576" t="s">
        <v>1066</v>
      </c>
      <c r="I576" t="str">
        <f>VLOOKUP(Table1[[#This Row],[Product_ID]],Product_Dim!$A$2:$G$101,2,FALSE)</f>
        <v>Ceramic Plant Pot-Home</v>
      </c>
      <c r="J576" t="s">
        <v>1633</v>
      </c>
      <c r="K576" t="str">
        <f>VLOOKUP(Table1[[#This Row],[Store_ID]],Store_Dim!$A$3:$D$22,2,FALSE)</f>
        <v>Martinez-Mullins-South</v>
      </c>
      <c r="L576" t="s">
        <v>1742</v>
      </c>
      <c r="M576" t="s">
        <v>3960</v>
      </c>
      <c r="N576" s="3">
        <v>778.56</v>
      </c>
      <c r="O576" s="4">
        <v>0.11</v>
      </c>
      <c r="P576" t="s">
        <v>1777</v>
      </c>
      <c r="Q576" s="4">
        <v>1385.8368</v>
      </c>
    </row>
    <row r="577" spans="1:17" x14ac:dyDescent="0.3">
      <c r="A577" t="s">
        <v>2349</v>
      </c>
      <c r="B577" t="str">
        <f t="shared" si="8"/>
        <v>Q1</v>
      </c>
      <c r="C577" t="str">
        <f>TEXT(Table1[[#This Row],[Order_Date]],"mmmm")</f>
        <v>March</v>
      </c>
      <c r="D577">
        <f>YEAR(Table1[[#This Row],[Order_Date]])</f>
        <v>2024</v>
      </c>
      <c r="E577" s="7">
        <v>45353</v>
      </c>
      <c r="F577" s="2" t="str">
        <f>VLOOKUP(Table1[[#This Row],[Customer_ID]],Customer_Dim!$A$2:$H$501,2,FALSE)</f>
        <v>Wesley Short</v>
      </c>
      <c r="G577" s="2" t="str">
        <f>_xlfn.XLOOKUP(Table1[[#This Row],[Customer_ID]],Customer_Dim!$A$2:$A$501,Customer_Dim!$E$2:$E$501)</f>
        <v>Susanstad</v>
      </c>
      <c r="H577" t="s">
        <v>755</v>
      </c>
      <c r="I577" t="str">
        <f>VLOOKUP(Table1[[#This Row],[Product_ID]],Product_Dim!$A$2:$G$101,2,FALSE)</f>
        <v>Boxing Hand Wraps-Sports</v>
      </c>
      <c r="J577" t="s">
        <v>1623</v>
      </c>
      <c r="K577" t="str">
        <f>VLOOKUP(Table1[[#This Row],[Store_ID]],Store_Dim!$A$3:$D$22,2,FALSE)</f>
        <v>Mann-Austin-East</v>
      </c>
      <c r="L577" t="s">
        <v>1763</v>
      </c>
      <c r="M577" t="s">
        <v>3959</v>
      </c>
      <c r="N577" s="3">
        <v>280.16000000000003</v>
      </c>
      <c r="O577" s="4">
        <v>0.18</v>
      </c>
      <c r="P577" t="s">
        <v>1777</v>
      </c>
      <c r="Q577" s="4">
        <v>918.92480000000012</v>
      </c>
    </row>
    <row r="578" spans="1:17" x14ac:dyDescent="0.3">
      <c r="A578" t="s">
        <v>2350</v>
      </c>
      <c r="B578" t="str">
        <f t="shared" ref="B578:B641" si="9">"Q" &amp;ROUNDUP(MONTH(E578)/3,0)</f>
        <v>Q4</v>
      </c>
      <c r="C578" t="str">
        <f>TEXT(Table1[[#This Row],[Order_Date]],"mmmm")</f>
        <v>October</v>
      </c>
      <c r="D578">
        <f>YEAR(Table1[[#This Row],[Order_Date]])</f>
        <v>2024</v>
      </c>
      <c r="E578" s="7">
        <v>45592</v>
      </c>
      <c r="F578" s="2" t="str">
        <f>VLOOKUP(Table1[[#This Row],[Customer_ID]],Customer_Dim!$A$2:$H$501,2,FALSE)</f>
        <v>Cynthia Roberts</v>
      </c>
      <c r="G578" s="2" t="str">
        <f>_xlfn.XLOOKUP(Table1[[#This Row],[Customer_ID]],Customer_Dim!$A$2:$A$501,Customer_Dim!$E$2:$E$501)</f>
        <v>Millerfort</v>
      </c>
      <c r="H578" t="s">
        <v>903</v>
      </c>
      <c r="I578" t="str">
        <f>VLOOKUP(Table1[[#This Row],[Product_ID]],Product_Dim!$A$2:$G$101,2,FALSE)</f>
        <v>Hair Repair Oil Treatment-Beauty</v>
      </c>
      <c r="J578" t="s">
        <v>1665</v>
      </c>
      <c r="K578" t="str">
        <f>VLOOKUP(Table1[[#This Row],[Store_ID]],Store_Dim!$A$3:$D$22,2,FALSE)</f>
        <v>Gardner, Humphrey and Contreras-East</v>
      </c>
      <c r="L578" t="s">
        <v>1753</v>
      </c>
      <c r="M578" t="s">
        <v>3960</v>
      </c>
      <c r="N578" s="3">
        <v>649.54999999999995</v>
      </c>
      <c r="O578" s="4">
        <v>0.28999999999999998</v>
      </c>
      <c r="P578" t="s">
        <v>1774</v>
      </c>
      <c r="Q578" s="4">
        <v>922.36099999999988</v>
      </c>
    </row>
    <row r="579" spans="1:17" x14ac:dyDescent="0.3">
      <c r="A579" t="s">
        <v>2351</v>
      </c>
      <c r="B579" t="str">
        <f t="shared" si="9"/>
        <v>Q1</v>
      </c>
      <c r="C579" t="str">
        <f>TEXT(Table1[[#This Row],[Order_Date]],"mmmm")</f>
        <v>March</v>
      </c>
      <c r="D579">
        <f>YEAR(Table1[[#This Row],[Order_Date]])</f>
        <v>2024</v>
      </c>
      <c r="E579" s="7">
        <v>45360</v>
      </c>
      <c r="F579" s="2" t="str">
        <f>VLOOKUP(Table1[[#This Row],[Customer_ID]],Customer_Dim!$A$2:$H$501,2,FALSE)</f>
        <v>Daniel Boyd</v>
      </c>
      <c r="G579" s="2" t="str">
        <f>_xlfn.XLOOKUP(Table1[[#This Row],[Customer_ID]],Customer_Dim!$A$2:$A$501,Customer_Dim!$E$2:$E$501)</f>
        <v>West Pamelafurt</v>
      </c>
      <c r="H579" t="s">
        <v>40</v>
      </c>
      <c r="I579" t="str">
        <f>VLOOKUP(Table1[[#This Row],[Product_ID]],Product_Dim!$A$2:$G$101,2,FALSE)</f>
        <v>Sports Wrist Sweatbands-Sports</v>
      </c>
      <c r="J579" t="s">
        <v>1699</v>
      </c>
      <c r="K579" t="str">
        <f>VLOOKUP(Table1[[#This Row],[Store_ID]],Store_Dim!$A$3:$D$22,2,FALSE)</f>
        <v>Black-Horn-South</v>
      </c>
      <c r="L579" t="s">
        <v>1730</v>
      </c>
      <c r="M579" t="s">
        <v>3960</v>
      </c>
      <c r="N579" s="3">
        <v>994.32</v>
      </c>
      <c r="O579" s="4">
        <v>0.27</v>
      </c>
      <c r="P579" t="s">
        <v>1774</v>
      </c>
      <c r="Q579" s="4">
        <v>1451.7072000000001</v>
      </c>
    </row>
    <row r="580" spans="1:17" x14ac:dyDescent="0.3">
      <c r="A580" t="s">
        <v>2352</v>
      </c>
      <c r="B580" t="str">
        <f t="shared" si="9"/>
        <v>Q4</v>
      </c>
      <c r="C580" t="str">
        <f>TEXT(Table1[[#This Row],[Order_Date]],"mmmm")</f>
        <v>December</v>
      </c>
      <c r="D580">
        <f>YEAR(Table1[[#This Row],[Order_Date]])</f>
        <v>2024</v>
      </c>
      <c r="E580" s="7">
        <v>45649</v>
      </c>
      <c r="F580" s="2" t="str">
        <f>VLOOKUP(Table1[[#This Row],[Customer_ID]],Customer_Dim!$A$2:$H$501,2,FALSE)</f>
        <v>Robert Harris</v>
      </c>
      <c r="G580" s="2" t="str">
        <f>_xlfn.XLOOKUP(Table1[[#This Row],[Customer_ID]],Customer_Dim!$A$2:$A$501,Customer_Dim!$E$2:$E$501)</f>
        <v>East jeremy</v>
      </c>
      <c r="H580" t="s">
        <v>716</v>
      </c>
      <c r="I580" t="str">
        <f>VLOOKUP(Table1[[#This Row],[Product_ID]],Product_Dim!$A$2:$G$101,2,FALSE)</f>
        <v>Badminton Racket Set-Sports</v>
      </c>
      <c r="J580" t="s">
        <v>1685</v>
      </c>
      <c r="K580" t="str">
        <f>VLOOKUP(Table1[[#This Row],[Store_ID]],Store_Dim!$A$3:$D$22,2,FALSE)</f>
        <v>Thomas, Bridges and Harris-North</v>
      </c>
      <c r="L580" t="s">
        <v>1751</v>
      </c>
      <c r="M580" t="s">
        <v>3957</v>
      </c>
      <c r="N580" s="3">
        <v>64.94</v>
      </c>
      <c r="O580" s="4">
        <v>0.21</v>
      </c>
      <c r="P580" t="s">
        <v>1774</v>
      </c>
      <c r="Q580" s="4">
        <v>51.302599999999998</v>
      </c>
    </row>
    <row r="581" spans="1:17" x14ac:dyDescent="0.3">
      <c r="A581" t="s">
        <v>2353</v>
      </c>
      <c r="B581" t="str">
        <f t="shared" si="9"/>
        <v>Q1</v>
      </c>
      <c r="C581" t="str">
        <f>TEXT(Table1[[#This Row],[Order_Date]],"mmmm")</f>
        <v>February</v>
      </c>
      <c r="D581">
        <f>YEAR(Table1[[#This Row],[Order_Date]])</f>
        <v>2025</v>
      </c>
      <c r="E581" s="7">
        <v>45709</v>
      </c>
      <c r="F581" s="2" t="str">
        <f>VLOOKUP(Table1[[#This Row],[Customer_ID]],Customer_Dim!$A$2:$H$501,2,FALSE)</f>
        <v>Patrick Coleman</v>
      </c>
      <c r="G581" s="2" t="str">
        <f>_xlfn.XLOOKUP(Table1[[#This Row],[Customer_ID]],Customer_Dim!$A$2:$A$501,Customer_Dim!$E$2:$E$501)</f>
        <v>New Jeffrey</v>
      </c>
      <c r="H581" t="s">
        <v>459</v>
      </c>
      <c r="I581" t="str">
        <f>VLOOKUP(Table1[[#This Row],[Product_ID]],Product_Dim!$A$2:$G$101,2,FALSE)</f>
        <v>Portable Power Bank-Electronics</v>
      </c>
      <c r="J581" t="s">
        <v>1601</v>
      </c>
      <c r="K581" t="str">
        <f>VLOOKUP(Table1[[#This Row],[Store_ID]],Store_Dim!$A$3:$D$22,2,FALSE)</f>
        <v>Martinez-Mullins-South</v>
      </c>
      <c r="L581" t="s">
        <v>1742</v>
      </c>
      <c r="M581" t="s">
        <v>3960</v>
      </c>
      <c r="N581" s="3">
        <v>507.66</v>
      </c>
      <c r="O581" s="4">
        <v>0</v>
      </c>
      <c r="P581" t="s">
        <v>1777</v>
      </c>
      <c r="Q581" s="4">
        <v>1015.32</v>
      </c>
    </row>
    <row r="582" spans="1:17" x14ac:dyDescent="0.3">
      <c r="A582" t="s">
        <v>2354</v>
      </c>
      <c r="B582" t="str">
        <f t="shared" si="9"/>
        <v>Q4</v>
      </c>
      <c r="C582" t="str">
        <f>TEXT(Table1[[#This Row],[Order_Date]],"mmmm")</f>
        <v>December</v>
      </c>
      <c r="D582">
        <f>YEAR(Table1[[#This Row],[Order_Date]])</f>
        <v>2023</v>
      </c>
      <c r="E582" s="7">
        <v>45273</v>
      </c>
      <c r="F582" s="2" t="str">
        <f>VLOOKUP(Table1[[#This Row],[Customer_ID]],Customer_Dim!$A$2:$H$501,2,FALSE)</f>
        <v>William Jackson</v>
      </c>
      <c r="G582" s="2" t="str">
        <f>_xlfn.XLOOKUP(Table1[[#This Row],[Customer_ID]],Customer_Dim!$A$2:$A$501,Customer_Dim!$E$2:$E$501)</f>
        <v>New Tina</v>
      </c>
      <c r="H582" t="s">
        <v>770</v>
      </c>
      <c r="I582" t="str">
        <f>VLOOKUP(Table1[[#This Row],[Product_ID]],Product_Dim!$A$2:$G$101,2,FALSE)</f>
        <v>Badminton Racket Set-Sports</v>
      </c>
      <c r="J582" t="s">
        <v>1685</v>
      </c>
      <c r="K582" t="str">
        <f>VLOOKUP(Table1[[#This Row],[Store_ID]],Store_Dim!$A$3:$D$22,2,FALSE)</f>
        <v>Alexander Group-South</v>
      </c>
      <c r="L582" t="s">
        <v>1735</v>
      </c>
      <c r="M582" t="s">
        <v>3959</v>
      </c>
      <c r="N582" s="3">
        <v>968.27</v>
      </c>
      <c r="O582" s="4">
        <v>0.03</v>
      </c>
      <c r="P582" t="s">
        <v>1774</v>
      </c>
      <c r="Q582" s="4">
        <v>3756.8876</v>
      </c>
    </row>
    <row r="583" spans="1:17" x14ac:dyDescent="0.3">
      <c r="A583" t="s">
        <v>2355</v>
      </c>
      <c r="B583" t="str">
        <f t="shared" si="9"/>
        <v>Q4</v>
      </c>
      <c r="C583" t="str">
        <f>TEXT(Table1[[#This Row],[Order_Date]],"mmmm")</f>
        <v>November</v>
      </c>
      <c r="D583">
        <f>YEAR(Table1[[#This Row],[Order_Date]])</f>
        <v>2023</v>
      </c>
      <c r="E583" s="7">
        <v>45250</v>
      </c>
      <c r="F583" s="2" t="str">
        <f>VLOOKUP(Table1[[#This Row],[Customer_ID]],Customer_Dim!$A$2:$H$501,2,FALSE)</f>
        <v>Adam Cruz</v>
      </c>
      <c r="G583" s="2" t="str">
        <f>_xlfn.XLOOKUP(Table1[[#This Row],[Customer_ID]],Customer_Dim!$A$2:$A$501,Customer_Dim!$E$2:$E$501)</f>
        <v>Brandonville</v>
      </c>
      <c r="H583" t="s">
        <v>78</v>
      </c>
      <c r="I583" t="str">
        <f>VLOOKUP(Table1[[#This Row],[Product_ID]],Product_Dim!$A$2:$G$101,2,FALSE)</f>
        <v>Sports Wrist Sweatbands-Sports</v>
      </c>
      <c r="J583" t="s">
        <v>1699</v>
      </c>
      <c r="K583" t="str">
        <f>VLOOKUP(Table1[[#This Row],[Store_ID]],Store_Dim!$A$3:$D$22,2,FALSE)</f>
        <v>Gray Ltd-North</v>
      </c>
      <c r="L583" t="s">
        <v>1738</v>
      </c>
      <c r="M583" t="s">
        <v>3959</v>
      </c>
      <c r="N583" s="3">
        <v>510.33</v>
      </c>
      <c r="O583" s="4">
        <v>0.2</v>
      </c>
      <c r="P583" t="s">
        <v>1774</v>
      </c>
      <c r="Q583" s="4">
        <v>1633.056</v>
      </c>
    </row>
    <row r="584" spans="1:17" x14ac:dyDescent="0.3">
      <c r="A584" t="s">
        <v>2356</v>
      </c>
      <c r="B584" t="str">
        <f t="shared" si="9"/>
        <v>Q3</v>
      </c>
      <c r="C584" t="str">
        <f>TEXT(Table1[[#This Row],[Order_Date]],"mmmm")</f>
        <v>September</v>
      </c>
      <c r="D584">
        <f>YEAR(Table1[[#This Row],[Order_Date]])</f>
        <v>2024</v>
      </c>
      <c r="E584" s="7">
        <v>45539</v>
      </c>
      <c r="F584" s="2" t="str">
        <f>VLOOKUP(Table1[[#This Row],[Customer_ID]],Customer_Dim!$A$2:$H$501,2,FALSE)</f>
        <v>Brian Lopez</v>
      </c>
      <c r="G584" s="2" t="str">
        <f>_xlfn.XLOOKUP(Table1[[#This Row],[Customer_ID]],Customer_Dim!$A$2:$A$501,Customer_Dim!$E$2:$E$501)</f>
        <v>East Krista</v>
      </c>
      <c r="H584" t="s">
        <v>55</v>
      </c>
      <c r="I584" t="str">
        <f>VLOOKUP(Table1[[#This Row],[Product_ID]],Product_Dim!$A$2:$G$101,2,FALSE)</f>
        <v>Adjustable Jump Rope-Sports</v>
      </c>
      <c r="J584" t="s">
        <v>1611</v>
      </c>
      <c r="K584" t="str">
        <f>VLOOKUP(Table1[[#This Row],[Store_ID]],Store_Dim!$A$3:$D$22,2,FALSE)</f>
        <v>Mann-Austin-East</v>
      </c>
      <c r="L584" t="s">
        <v>1763</v>
      </c>
      <c r="M584" t="s">
        <v>3960</v>
      </c>
      <c r="N584" s="3">
        <v>156.72999999999999</v>
      </c>
      <c r="O584" s="4">
        <v>0.18</v>
      </c>
      <c r="P584" t="s">
        <v>1777</v>
      </c>
      <c r="Q584" s="4">
        <v>257.03719999999998</v>
      </c>
    </row>
    <row r="585" spans="1:17" x14ac:dyDescent="0.3">
      <c r="A585" t="s">
        <v>2357</v>
      </c>
      <c r="B585" t="str">
        <f t="shared" si="9"/>
        <v>Q2</v>
      </c>
      <c r="C585" t="str">
        <f>TEXT(Table1[[#This Row],[Order_Date]],"mmmm")</f>
        <v>June</v>
      </c>
      <c r="D585">
        <f>YEAR(Table1[[#This Row],[Order_Date]])</f>
        <v>2025</v>
      </c>
      <c r="E585" s="7">
        <v>45810</v>
      </c>
      <c r="F585" s="2" t="str">
        <f>VLOOKUP(Table1[[#This Row],[Customer_ID]],Customer_Dim!$A$2:$H$501,2,FALSE)</f>
        <v>Maria Ramirez</v>
      </c>
      <c r="G585" s="2" t="str">
        <f>_xlfn.XLOOKUP(Table1[[#This Row],[Customer_ID]],Customer_Dim!$A$2:$A$501,Customer_Dim!$E$2:$E$501)</f>
        <v>West Brandon</v>
      </c>
      <c r="H585" t="s">
        <v>476</v>
      </c>
      <c r="I585" t="str">
        <f>VLOOKUP(Table1[[#This Row],[Product_ID]],Product_Dim!$A$2:$G$101,2,FALSE)</f>
        <v>Stainless Steel Cookware Set-Home</v>
      </c>
      <c r="J585" t="s">
        <v>1721</v>
      </c>
      <c r="K585" t="str">
        <f>VLOOKUP(Table1[[#This Row],[Store_ID]],Store_Dim!$A$3:$D$22,2,FALSE)</f>
        <v>Hill, Wagner and Ballard-East</v>
      </c>
      <c r="L585" t="s">
        <v>1748</v>
      </c>
      <c r="M585" t="s">
        <v>3958</v>
      </c>
      <c r="N585" s="3">
        <v>53.83</v>
      </c>
      <c r="O585" s="4">
        <v>0.24</v>
      </c>
      <c r="P585" t="s">
        <v>1772</v>
      </c>
      <c r="Q585" s="4">
        <v>122.7324</v>
      </c>
    </row>
    <row r="586" spans="1:17" x14ac:dyDescent="0.3">
      <c r="A586" t="s">
        <v>2358</v>
      </c>
      <c r="B586" t="str">
        <f t="shared" si="9"/>
        <v>Q1</v>
      </c>
      <c r="C586" t="str">
        <f>TEXT(Table1[[#This Row],[Order_Date]],"mmmm")</f>
        <v>February</v>
      </c>
      <c r="D586">
        <f>YEAR(Table1[[#This Row],[Order_Date]])</f>
        <v>2024</v>
      </c>
      <c r="E586" s="7">
        <v>45350</v>
      </c>
      <c r="F586" s="2" t="str">
        <f>VLOOKUP(Table1[[#This Row],[Customer_ID]],Customer_Dim!$A$2:$H$501,2,FALSE)</f>
        <v>Charles Conley</v>
      </c>
      <c r="G586" s="2" t="str">
        <f>_xlfn.XLOOKUP(Table1[[#This Row],[Customer_ID]],Customer_Dim!$A$2:$A$501,Customer_Dim!$E$2:$E$501)</f>
        <v>Nathanshire</v>
      </c>
      <c r="H586" t="s">
        <v>1165</v>
      </c>
      <c r="I586" t="str">
        <f>VLOOKUP(Table1[[#This Row],[Product_ID]],Product_Dim!$A$2:$G$101,2,FALSE)</f>
        <v>Essential Oil Diffuser-Home</v>
      </c>
      <c r="J586" t="s">
        <v>1679</v>
      </c>
      <c r="K586" t="str">
        <f>VLOOKUP(Table1[[#This Row],[Store_ID]],Store_Dim!$A$3:$D$22,2,FALSE)</f>
        <v>Alexander Group-South</v>
      </c>
      <c r="L586" t="s">
        <v>1735</v>
      </c>
      <c r="M586" t="s">
        <v>3957</v>
      </c>
      <c r="N586" s="3">
        <v>34.71</v>
      </c>
      <c r="O586" s="4">
        <v>0.1</v>
      </c>
      <c r="P586" t="s">
        <v>1777</v>
      </c>
      <c r="Q586" s="4">
        <v>31.239000000000001</v>
      </c>
    </row>
    <row r="587" spans="1:17" x14ac:dyDescent="0.3">
      <c r="A587" t="s">
        <v>2359</v>
      </c>
      <c r="B587" t="str">
        <f t="shared" si="9"/>
        <v>Q4</v>
      </c>
      <c r="C587" t="str">
        <f>TEXT(Table1[[#This Row],[Order_Date]],"mmmm")</f>
        <v>December</v>
      </c>
      <c r="D587">
        <f>YEAR(Table1[[#This Row],[Order_Date]])</f>
        <v>2024</v>
      </c>
      <c r="E587" s="7">
        <v>45633</v>
      </c>
      <c r="F587" s="2" t="str">
        <f>VLOOKUP(Table1[[#This Row],[Customer_ID]],Customer_Dim!$A$2:$H$501,2,FALSE)</f>
        <v>Tanner Thompson</v>
      </c>
      <c r="G587" s="2" t="str">
        <f>_xlfn.XLOOKUP(Table1[[#This Row],[Customer_ID]],Customer_Dim!$A$2:$A$501,Customer_Dim!$E$2:$E$501)</f>
        <v>Port Lisashire</v>
      </c>
      <c r="H587" t="s">
        <v>731</v>
      </c>
      <c r="I587" t="str">
        <f>VLOOKUP(Table1[[#This Row],[Product_ID]],Product_Dim!$A$2:$G$101,2,FALSE)</f>
        <v>WiFi Mesh Router-Electronics</v>
      </c>
      <c r="J587" t="s">
        <v>1677</v>
      </c>
      <c r="K587" t="str">
        <f>VLOOKUP(Table1[[#This Row],[Store_ID]],Store_Dim!$A$3:$D$22,2,FALSE)</f>
        <v>Martinez, Adkins and Johnson-North</v>
      </c>
      <c r="L587" t="s">
        <v>1728</v>
      </c>
      <c r="M587" t="s">
        <v>3960</v>
      </c>
      <c r="N587" s="3">
        <v>829.15</v>
      </c>
      <c r="O587" s="4">
        <v>0.11</v>
      </c>
      <c r="P587" t="s">
        <v>1774</v>
      </c>
      <c r="Q587" s="4">
        <v>1475.8869999999999</v>
      </c>
    </row>
    <row r="588" spans="1:17" x14ac:dyDescent="0.3">
      <c r="A588" t="s">
        <v>2360</v>
      </c>
      <c r="B588" t="str">
        <f t="shared" si="9"/>
        <v>Q2</v>
      </c>
      <c r="C588" t="str">
        <f>TEXT(Table1[[#This Row],[Order_Date]],"mmmm")</f>
        <v>May</v>
      </c>
      <c r="D588">
        <f>YEAR(Table1[[#This Row],[Order_Date]])</f>
        <v>2025</v>
      </c>
      <c r="E588" s="7">
        <v>45798</v>
      </c>
      <c r="F588" s="2" t="str">
        <f>VLOOKUP(Table1[[#This Row],[Customer_ID]],Customer_Dim!$A$2:$H$501,2,FALSE)</f>
        <v>Matthew Payne</v>
      </c>
      <c r="G588" s="2" t="str">
        <f>_xlfn.XLOOKUP(Table1[[#This Row],[Customer_ID]],Customer_Dim!$A$2:$A$501,Customer_Dim!$E$2:$E$501)</f>
        <v>Grahamfurt</v>
      </c>
      <c r="H588" t="s">
        <v>835</v>
      </c>
      <c r="I588" t="str">
        <f>VLOOKUP(Table1[[#This Row],[Product_ID]],Product_Dim!$A$2:$G$101,2,FALSE)</f>
        <v>Portable Bluetooth Speaker-Electronics</v>
      </c>
      <c r="J588" t="s">
        <v>1719</v>
      </c>
      <c r="K588" t="str">
        <f>VLOOKUP(Table1[[#This Row],[Store_ID]],Store_Dim!$A$3:$D$22,2,FALSE)</f>
        <v>Johnson-Wright-North</v>
      </c>
      <c r="L588" t="s">
        <v>1733</v>
      </c>
      <c r="M588" t="s">
        <v>3960</v>
      </c>
      <c r="N588" s="3">
        <v>481.86</v>
      </c>
      <c r="O588" s="4">
        <v>0.1</v>
      </c>
      <c r="P588" t="s">
        <v>1777</v>
      </c>
      <c r="Q588" s="4">
        <v>867.34800000000007</v>
      </c>
    </row>
    <row r="589" spans="1:17" x14ac:dyDescent="0.3">
      <c r="A589" t="s">
        <v>2361</v>
      </c>
      <c r="B589" t="str">
        <f t="shared" si="9"/>
        <v>Q1</v>
      </c>
      <c r="C589" t="str">
        <f>TEXT(Table1[[#This Row],[Order_Date]],"mmmm")</f>
        <v>March</v>
      </c>
      <c r="D589">
        <f>YEAR(Table1[[#This Row],[Order_Date]])</f>
        <v>2024</v>
      </c>
      <c r="E589" s="7">
        <v>45354</v>
      </c>
      <c r="F589" s="2" t="str">
        <f>VLOOKUP(Table1[[#This Row],[Customer_ID]],Customer_Dim!$A$2:$H$501,2,FALSE)</f>
        <v>Rhonda Young</v>
      </c>
      <c r="G589" s="2" t="str">
        <f>_xlfn.XLOOKUP(Table1[[#This Row],[Customer_ID]],Customer_Dim!$A$2:$A$501,Customer_Dim!$E$2:$E$501)</f>
        <v>Lake Nathanfort</v>
      </c>
      <c r="H589" t="s">
        <v>491</v>
      </c>
      <c r="I589" t="str">
        <f>VLOOKUP(Table1[[#This Row],[Product_ID]],Product_Dim!$A$2:$G$101,2,FALSE)</f>
        <v>Rugby Ball-Sports</v>
      </c>
      <c r="J589" t="s">
        <v>1627</v>
      </c>
      <c r="K589" t="str">
        <f>VLOOKUP(Table1[[#This Row],[Store_ID]],Store_Dim!$A$3:$D$22,2,FALSE)</f>
        <v>Martinez-Mullins-South</v>
      </c>
      <c r="L589" t="s">
        <v>1742</v>
      </c>
      <c r="M589" t="s">
        <v>3959</v>
      </c>
      <c r="N589" s="3">
        <v>915.17</v>
      </c>
      <c r="O589" s="4">
        <v>0.19</v>
      </c>
      <c r="P589" t="s">
        <v>1777</v>
      </c>
      <c r="Q589" s="4">
        <v>2965.1507999999999</v>
      </c>
    </row>
    <row r="590" spans="1:17" x14ac:dyDescent="0.3">
      <c r="A590" t="s">
        <v>2362</v>
      </c>
      <c r="B590" t="str">
        <f t="shared" si="9"/>
        <v>Q1</v>
      </c>
      <c r="C590" t="str">
        <f>TEXT(Table1[[#This Row],[Order_Date]],"mmmm")</f>
        <v>March</v>
      </c>
      <c r="D590">
        <f>YEAR(Table1[[#This Row],[Order_Date]])</f>
        <v>2024</v>
      </c>
      <c r="E590" s="7">
        <v>45357</v>
      </c>
      <c r="F590" s="2" t="str">
        <f>VLOOKUP(Table1[[#This Row],[Customer_ID]],Customer_Dim!$A$2:$H$501,2,FALSE)</f>
        <v>Eric Todd</v>
      </c>
      <c r="G590" s="2" t="str">
        <f>_xlfn.XLOOKUP(Table1[[#This Row],[Customer_ID]],Customer_Dim!$A$2:$A$501,Customer_Dim!$E$2:$E$501)</f>
        <v>Danielstad</v>
      </c>
      <c r="H590" t="s">
        <v>690</v>
      </c>
      <c r="I590" t="str">
        <f>VLOOKUP(Table1[[#This Row],[Product_ID]],Product_Dim!$A$2:$G$101,2,FALSE)</f>
        <v>Hair Repair Oil Treatment-Beauty</v>
      </c>
      <c r="J590" t="s">
        <v>1665</v>
      </c>
      <c r="K590" t="str">
        <f>VLOOKUP(Table1[[#This Row],[Store_ID]],Store_Dim!$A$3:$D$22,2,FALSE)</f>
        <v>Guerrero-Schmitt-East</v>
      </c>
      <c r="L590" t="s">
        <v>1761</v>
      </c>
      <c r="M590" t="s">
        <v>3957</v>
      </c>
      <c r="N590" s="3">
        <v>250.95</v>
      </c>
      <c r="O590" s="4">
        <v>0.03</v>
      </c>
      <c r="P590" t="s">
        <v>1774</v>
      </c>
      <c r="Q590" s="4">
        <v>243.42150000000001</v>
      </c>
    </row>
    <row r="591" spans="1:17" x14ac:dyDescent="0.3">
      <c r="A591" t="s">
        <v>2363</v>
      </c>
      <c r="B591" t="str">
        <f t="shared" si="9"/>
        <v>Q4</v>
      </c>
      <c r="C591" t="str">
        <f>TEXT(Table1[[#This Row],[Order_Date]],"mmmm")</f>
        <v>November</v>
      </c>
      <c r="D591">
        <f>YEAR(Table1[[#This Row],[Order_Date]])</f>
        <v>2023</v>
      </c>
      <c r="E591" s="7">
        <v>45257</v>
      </c>
      <c r="F591" s="2" t="str">
        <f>VLOOKUP(Table1[[#This Row],[Customer_ID]],Customer_Dim!$A$2:$H$501,2,FALSE)</f>
        <v>Andrew Smith</v>
      </c>
      <c r="G591" s="2" t="str">
        <f>_xlfn.XLOOKUP(Table1[[#This Row],[Customer_ID]],Customer_Dim!$A$2:$A$501,Customer_Dim!$E$2:$E$501)</f>
        <v>East Matthew</v>
      </c>
      <c r="H591" t="s">
        <v>1012</v>
      </c>
      <c r="I591" t="str">
        <f>VLOOKUP(Table1[[#This Row],[Product_ID]],Product_Dim!$A$2:$G$101,2,FALSE)</f>
        <v>Women's Formal Blazer-Clothing</v>
      </c>
      <c r="J591" t="s">
        <v>1715</v>
      </c>
      <c r="K591" t="str">
        <f>VLOOKUP(Table1[[#This Row],[Store_ID]],Store_Dim!$A$3:$D$22,2,FALSE)</f>
        <v>Gray Ltd-North</v>
      </c>
      <c r="L591" t="s">
        <v>1738</v>
      </c>
      <c r="M591" t="s">
        <v>3958</v>
      </c>
      <c r="N591" s="3">
        <v>882.84</v>
      </c>
      <c r="O591" s="4">
        <v>0.1</v>
      </c>
      <c r="P591" t="s">
        <v>1772</v>
      </c>
      <c r="Q591" s="4">
        <v>2383.6680000000001</v>
      </c>
    </row>
    <row r="592" spans="1:17" x14ac:dyDescent="0.3">
      <c r="A592" t="s">
        <v>2364</v>
      </c>
      <c r="B592" t="str">
        <f t="shared" si="9"/>
        <v>Q1</v>
      </c>
      <c r="C592" t="str">
        <f>TEXT(Table1[[#This Row],[Order_Date]],"mmmm")</f>
        <v>February</v>
      </c>
      <c r="D592">
        <f>YEAR(Table1[[#This Row],[Order_Date]])</f>
        <v>2025</v>
      </c>
      <c r="E592" s="7">
        <v>45702</v>
      </c>
      <c r="F592" s="2" t="str">
        <f>VLOOKUP(Table1[[#This Row],[Customer_ID]],Customer_Dim!$A$2:$H$501,2,FALSE)</f>
        <v>Sean Roth</v>
      </c>
      <c r="G592" s="2" t="str">
        <f>_xlfn.XLOOKUP(Table1[[#This Row],[Customer_ID]],Customer_Dim!$A$2:$A$501,Customer_Dim!$E$2:$E$501)</f>
        <v>Lake Michael</v>
      </c>
      <c r="H592" t="s">
        <v>465</v>
      </c>
      <c r="I592" t="str">
        <f>VLOOKUP(Table1[[#This Row],[Product_ID]],Product_Dim!$A$2:$G$101,2,FALSE)</f>
        <v>Knee Support Brace-Sports</v>
      </c>
      <c r="J592" t="s">
        <v>1561</v>
      </c>
      <c r="K592" t="str">
        <f>VLOOKUP(Table1[[#This Row],[Store_ID]],Store_Dim!$A$3:$D$22,2,FALSE)</f>
        <v>Guerrero-Schmitt-East</v>
      </c>
      <c r="L592" t="s">
        <v>1761</v>
      </c>
      <c r="M592" t="s">
        <v>3959</v>
      </c>
      <c r="N592" s="3">
        <v>573.37</v>
      </c>
      <c r="O592" s="4">
        <v>0.04</v>
      </c>
      <c r="P592" t="s">
        <v>1777</v>
      </c>
      <c r="Q592" s="4">
        <v>2201.7408</v>
      </c>
    </row>
    <row r="593" spans="1:17" x14ac:dyDescent="0.3">
      <c r="A593" t="s">
        <v>2365</v>
      </c>
      <c r="B593" t="str">
        <f t="shared" si="9"/>
        <v>Q1</v>
      </c>
      <c r="C593" t="str">
        <f>TEXT(Table1[[#This Row],[Order_Date]],"mmmm")</f>
        <v>January</v>
      </c>
      <c r="D593">
        <f>YEAR(Table1[[#This Row],[Order_Date]])</f>
        <v>2024</v>
      </c>
      <c r="E593" s="7">
        <v>45318</v>
      </c>
      <c r="F593" s="2" t="str">
        <f>VLOOKUP(Table1[[#This Row],[Customer_ID]],Customer_Dim!$A$2:$H$501,2,FALSE)</f>
        <v>Cheryl Copeland</v>
      </c>
      <c r="G593" s="2" t="str">
        <f>_xlfn.XLOOKUP(Table1[[#This Row],[Customer_ID]],Customer_Dim!$A$2:$A$501,Customer_Dim!$E$2:$E$501)</f>
        <v>Snowmouth</v>
      </c>
      <c r="H593" t="s">
        <v>215</v>
      </c>
      <c r="I593" t="str">
        <f>VLOOKUP(Table1[[#This Row],[Product_ID]],Product_Dim!$A$2:$G$101,2,FALSE)</f>
        <v>Vitamin C Face Serum-Beauty</v>
      </c>
      <c r="J593" t="s">
        <v>1587</v>
      </c>
      <c r="K593" t="str">
        <f>VLOOKUP(Table1[[#This Row],[Store_ID]],Store_Dim!$A$3:$D$22,2,FALSE)</f>
        <v>Thomas, Bridges and Harris-North</v>
      </c>
      <c r="L593" t="s">
        <v>1751</v>
      </c>
      <c r="M593" t="s">
        <v>3958</v>
      </c>
      <c r="N593" s="3">
        <v>622.72</v>
      </c>
      <c r="O593" s="4">
        <v>0.04</v>
      </c>
      <c r="P593" t="s">
        <v>1772</v>
      </c>
      <c r="Q593" s="4">
        <v>1793.4336000000001</v>
      </c>
    </row>
    <row r="594" spans="1:17" x14ac:dyDescent="0.3">
      <c r="A594" t="s">
        <v>2366</v>
      </c>
      <c r="B594" t="str">
        <f t="shared" si="9"/>
        <v>Q4</v>
      </c>
      <c r="C594" t="str">
        <f>TEXT(Table1[[#This Row],[Order_Date]],"mmmm")</f>
        <v>October</v>
      </c>
      <c r="D594">
        <f>YEAR(Table1[[#This Row],[Order_Date]])</f>
        <v>2025</v>
      </c>
      <c r="E594" s="7">
        <v>45943</v>
      </c>
      <c r="F594" s="2" t="str">
        <f>VLOOKUP(Table1[[#This Row],[Customer_ID]],Customer_Dim!$A$2:$H$501,2,FALSE)</f>
        <v>Timothy Valenzuela</v>
      </c>
      <c r="G594" s="2" t="str">
        <f>_xlfn.XLOOKUP(Table1[[#This Row],[Customer_ID]],Customer_Dim!$A$2:$A$501,Customer_Dim!$E$2:$E$501)</f>
        <v>Stevensshire</v>
      </c>
      <c r="H594" t="s">
        <v>1198</v>
      </c>
      <c r="I594" t="str">
        <f>VLOOKUP(Table1[[#This Row],[Product_ID]],Product_Dim!$A$2:$G$101,2,FALSE)</f>
        <v>Microwave Oven-Home</v>
      </c>
      <c r="J594" t="s">
        <v>1707</v>
      </c>
      <c r="K594" t="str">
        <f>VLOOKUP(Table1[[#This Row],[Store_ID]],Store_Dim!$A$3:$D$22,2,FALSE)</f>
        <v>Holloway Ltd-North</v>
      </c>
      <c r="L594" t="s">
        <v>1759</v>
      </c>
      <c r="M594" t="s">
        <v>3958</v>
      </c>
      <c r="N594" s="3">
        <v>259.74</v>
      </c>
      <c r="O594" s="4">
        <v>0.24</v>
      </c>
      <c r="P594" t="s">
        <v>1772</v>
      </c>
      <c r="Q594" s="4">
        <v>592.20720000000006</v>
      </c>
    </row>
    <row r="595" spans="1:17" x14ac:dyDescent="0.3">
      <c r="A595" t="s">
        <v>2367</v>
      </c>
      <c r="B595" t="str">
        <f t="shared" si="9"/>
        <v>Q2</v>
      </c>
      <c r="C595" t="str">
        <f>TEXT(Table1[[#This Row],[Order_Date]],"mmmm")</f>
        <v>April</v>
      </c>
      <c r="D595">
        <f>YEAR(Table1[[#This Row],[Order_Date]])</f>
        <v>2025</v>
      </c>
      <c r="E595" s="7">
        <v>45769</v>
      </c>
      <c r="F595" s="2" t="str">
        <f>VLOOKUP(Table1[[#This Row],[Customer_ID]],Customer_Dim!$A$2:$H$501,2,FALSE)</f>
        <v>Katherine Dorsey</v>
      </c>
      <c r="G595" s="2" t="str">
        <f>_xlfn.XLOOKUP(Table1[[#This Row],[Customer_ID]],Customer_Dim!$A$2:$A$501,Customer_Dim!$E$2:$E$501)</f>
        <v>Christopherland</v>
      </c>
      <c r="H595" t="s">
        <v>202</v>
      </c>
      <c r="I595" t="str">
        <f>VLOOKUP(Table1[[#This Row],[Product_ID]],Product_Dim!$A$2:$G$101,2,FALSE)</f>
        <v>Sports Stopwatch Timer-Sports</v>
      </c>
      <c r="J595" t="s">
        <v>1579</v>
      </c>
      <c r="K595" t="str">
        <f>VLOOKUP(Table1[[#This Row],[Store_ID]],Store_Dim!$A$3:$D$22,2,FALSE)</f>
        <v>Gardner, Humphrey and Contreras-East</v>
      </c>
      <c r="L595" t="s">
        <v>1753</v>
      </c>
      <c r="M595" t="s">
        <v>3959</v>
      </c>
      <c r="N595" s="3">
        <v>951.09</v>
      </c>
      <c r="O595" s="4">
        <v>0.14000000000000001</v>
      </c>
      <c r="P595" t="s">
        <v>1777</v>
      </c>
      <c r="Q595" s="4">
        <v>3271.7496000000001</v>
      </c>
    </row>
    <row r="596" spans="1:17" x14ac:dyDescent="0.3">
      <c r="A596" t="s">
        <v>2368</v>
      </c>
      <c r="B596" t="str">
        <f t="shared" si="9"/>
        <v>Q2</v>
      </c>
      <c r="C596" t="str">
        <f>TEXT(Table1[[#This Row],[Order_Date]],"mmmm")</f>
        <v>April</v>
      </c>
      <c r="D596">
        <f>YEAR(Table1[[#This Row],[Order_Date]])</f>
        <v>2025</v>
      </c>
      <c r="E596" s="7">
        <v>45765</v>
      </c>
      <c r="F596" s="2" t="str">
        <f>VLOOKUP(Table1[[#This Row],[Customer_ID]],Customer_Dim!$A$2:$H$501,2,FALSE)</f>
        <v>Carmen Price</v>
      </c>
      <c r="G596" s="2" t="str">
        <f>_xlfn.XLOOKUP(Table1[[#This Row],[Customer_ID]],Customer_Dim!$A$2:$A$501,Customer_Dim!$E$2:$E$501)</f>
        <v>North Briannamouth</v>
      </c>
      <c r="H596" t="s">
        <v>645</v>
      </c>
      <c r="I596" t="str">
        <f>VLOOKUP(Table1[[#This Row],[Product_ID]],Product_Dim!$A$2:$G$101,2,FALSE)</f>
        <v>Stainless Steel Cookware Set-Home</v>
      </c>
      <c r="J596" t="s">
        <v>1721</v>
      </c>
      <c r="K596" t="str">
        <f>VLOOKUP(Table1[[#This Row],[Store_ID]],Store_Dim!$A$3:$D$22,2,FALSE)</f>
        <v>Black-Horn-South</v>
      </c>
      <c r="L596" t="s">
        <v>1730</v>
      </c>
      <c r="M596" t="s">
        <v>3957</v>
      </c>
      <c r="N596" s="3">
        <v>71.709999999999994</v>
      </c>
      <c r="O596" s="4">
        <v>0.23</v>
      </c>
      <c r="P596" t="s">
        <v>1777</v>
      </c>
      <c r="Q596" s="4">
        <v>55.216700000000003</v>
      </c>
    </row>
    <row r="597" spans="1:17" x14ac:dyDescent="0.3">
      <c r="A597" t="s">
        <v>2369</v>
      </c>
      <c r="B597" t="str">
        <f t="shared" si="9"/>
        <v>Q3</v>
      </c>
      <c r="C597" t="str">
        <f>TEXT(Table1[[#This Row],[Order_Date]],"mmmm")</f>
        <v>August</v>
      </c>
      <c r="D597">
        <f>YEAR(Table1[[#This Row],[Order_Date]])</f>
        <v>2025</v>
      </c>
      <c r="E597" s="7">
        <v>45891</v>
      </c>
      <c r="F597" s="2" t="str">
        <f>VLOOKUP(Table1[[#This Row],[Customer_ID]],Customer_Dim!$A$2:$H$501,2,FALSE)</f>
        <v>Teresa Stokes</v>
      </c>
      <c r="G597" s="2" t="str">
        <f>_xlfn.XLOOKUP(Table1[[#This Row],[Customer_ID]],Customer_Dim!$A$2:$A$501,Customer_Dim!$E$2:$E$501)</f>
        <v>New William</v>
      </c>
      <c r="H597" t="s">
        <v>568</v>
      </c>
      <c r="I597" t="str">
        <f>VLOOKUP(Table1[[#This Row],[Product_ID]],Product_Dim!$A$2:$G$101,2,FALSE)</f>
        <v>Outdoor Sports Water Bottle-Sports</v>
      </c>
      <c r="J597" t="s">
        <v>1563</v>
      </c>
      <c r="K597" t="str">
        <f>VLOOKUP(Table1[[#This Row],[Store_ID]],Store_Dim!$A$3:$D$22,2,FALSE)</f>
        <v>Martinez-Mullins-South</v>
      </c>
      <c r="L597" t="s">
        <v>1742</v>
      </c>
      <c r="M597" t="s">
        <v>3959</v>
      </c>
      <c r="N597" s="3">
        <v>894.93</v>
      </c>
      <c r="O597" s="4">
        <v>0.05</v>
      </c>
      <c r="P597" t="s">
        <v>1777</v>
      </c>
      <c r="Q597" s="4">
        <v>3400.733999999999</v>
      </c>
    </row>
    <row r="598" spans="1:17" x14ac:dyDescent="0.3">
      <c r="A598" t="s">
        <v>2370</v>
      </c>
      <c r="B598" t="str">
        <f t="shared" si="9"/>
        <v>Q3</v>
      </c>
      <c r="C598" t="str">
        <f>TEXT(Table1[[#This Row],[Order_Date]],"mmmm")</f>
        <v>July</v>
      </c>
      <c r="D598">
        <f>YEAR(Table1[[#This Row],[Order_Date]])</f>
        <v>2025</v>
      </c>
      <c r="E598" s="7">
        <v>45842</v>
      </c>
      <c r="F598" s="2" t="str">
        <f>VLOOKUP(Table1[[#This Row],[Customer_ID]],Customer_Dim!$A$2:$H$501,2,FALSE)</f>
        <v>Christina Garcia</v>
      </c>
      <c r="G598" s="2" t="str">
        <f>_xlfn.XLOOKUP(Table1[[#This Row],[Customer_ID]],Customer_Dim!$A$2:$A$501,Customer_Dim!$E$2:$E$501)</f>
        <v>Clarkeside</v>
      </c>
      <c r="H598" t="s">
        <v>654</v>
      </c>
      <c r="I598" t="str">
        <f>VLOOKUP(Table1[[#This Row],[Product_ID]],Product_Dim!$A$2:$G$101,2,FALSE)</f>
        <v>Essential Oil Diffuser-Home</v>
      </c>
      <c r="J598" t="s">
        <v>1679</v>
      </c>
      <c r="K598" t="str">
        <f>VLOOKUP(Table1[[#This Row],[Store_ID]],Store_Dim!$A$3:$D$22,2,FALSE)</f>
        <v>Bean, Jones and Park-West</v>
      </c>
      <c r="L598" t="s">
        <v>1744</v>
      </c>
      <c r="M598" t="s">
        <v>3959</v>
      </c>
      <c r="N598" s="3">
        <v>870.18</v>
      </c>
      <c r="O598" s="4">
        <v>0.13</v>
      </c>
      <c r="P598" t="s">
        <v>1777</v>
      </c>
      <c r="Q598" s="4">
        <v>3028.2264</v>
      </c>
    </row>
    <row r="599" spans="1:17" x14ac:dyDescent="0.3">
      <c r="A599" t="s">
        <v>2371</v>
      </c>
      <c r="B599" t="str">
        <f t="shared" si="9"/>
        <v>Q1</v>
      </c>
      <c r="C599" t="str">
        <f>TEXT(Table1[[#This Row],[Order_Date]],"mmmm")</f>
        <v>March</v>
      </c>
      <c r="D599">
        <f>YEAR(Table1[[#This Row],[Order_Date]])</f>
        <v>2024</v>
      </c>
      <c r="E599" s="7">
        <v>45382</v>
      </c>
      <c r="F599" s="2" t="str">
        <f>VLOOKUP(Table1[[#This Row],[Customer_ID]],Customer_Dim!$A$2:$H$501,2,FALSE)</f>
        <v>Stephen Fowler</v>
      </c>
      <c r="G599" s="2" t="str">
        <f>_xlfn.XLOOKUP(Table1[[#This Row],[Customer_ID]],Customer_Dim!$A$2:$A$501,Customer_Dim!$E$2:$E$501)</f>
        <v>Port Mariastad</v>
      </c>
      <c r="H599" t="s">
        <v>876</v>
      </c>
      <c r="I599" t="str">
        <f>VLOOKUP(Table1[[#This Row],[Product_ID]],Product_Dim!$A$2:$G$101,2,FALSE)</f>
        <v>Matte Lipstick Set-Beauty</v>
      </c>
      <c r="J599" t="s">
        <v>1651</v>
      </c>
      <c r="K599" t="str">
        <f>VLOOKUP(Table1[[#This Row],[Store_ID]],Store_Dim!$A$3:$D$22,2,FALSE)</f>
        <v>Black-Horn-South</v>
      </c>
      <c r="L599" t="s">
        <v>1730</v>
      </c>
      <c r="M599" t="s">
        <v>3960</v>
      </c>
      <c r="N599" s="3">
        <v>552.72</v>
      </c>
      <c r="O599" s="4">
        <v>0.06</v>
      </c>
      <c r="P599" t="s">
        <v>1774</v>
      </c>
      <c r="Q599" s="4">
        <v>1039.1135999999999</v>
      </c>
    </row>
    <row r="600" spans="1:17" x14ac:dyDescent="0.3">
      <c r="A600" t="s">
        <v>2372</v>
      </c>
      <c r="B600" t="str">
        <f t="shared" si="9"/>
        <v>Q4</v>
      </c>
      <c r="C600" t="str">
        <f>TEXT(Table1[[#This Row],[Order_Date]],"mmmm")</f>
        <v>November</v>
      </c>
      <c r="D600">
        <f>YEAR(Table1[[#This Row],[Order_Date]])</f>
        <v>2023</v>
      </c>
      <c r="E600" s="7">
        <v>45236</v>
      </c>
      <c r="F600" s="2" t="str">
        <f>VLOOKUP(Table1[[#This Row],[Customer_ID]],Customer_Dim!$A$2:$H$501,2,FALSE)</f>
        <v>Mary Russell</v>
      </c>
      <c r="G600" s="2" t="str">
        <f>_xlfn.XLOOKUP(Table1[[#This Row],[Customer_ID]],Customer_Dim!$A$2:$A$501,Customer_Dim!$E$2:$E$501)</f>
        <v>South Regina</v>
      </c>
      <c r="H600" t="s">
        <v>782</v>
      </c>
      <c r="I600" t="str">
        <f>VLOOKUP(Table1[[#This Row],[Product_ID]],Product_Dim!$A$2:$G$101,2,FALSE)</f>
        <v>Portable Power Bank-Electronics</v>
      </c>
      <c r="J600" t="s">
        <v>1601</v>
      </c>
      <c r="K600" t="str">
        <f>VLOOKUP(Table1[[#This Row],[Store_ID]],Store_Dim!$A$3:$D$22,2,FALSE)</f>
        <v>Bean, Jones and Park-West</v>
      </c>
      <c r="L600" t="s">
        <v>1744</v>
      </c>
      <c r="M600" t="s">
        <v>3958</v>
      </c>
      <c r="N600" s="3">
        <v>700.43</v>
      </c>
      <c r="O600" s="4">
        <v>0.01</v>
      </c>
      <c r="P600" t="s">
        <v>1777</v>
      </c>
      <c r="Q600" s="4">
        <v>2080.2770999999998</v>
      </c>
    </row>
    <row r="601" spans="1:17" x14ac:dyDescent="0.3">
      <c r="A601" t="s">
        <v>2373</v>
      </c>
      <c r="B601" t="str">
        <f t="shared" si="9"/>
        <v>Q2</v>
      </c>
      <c r="C601" t="str">
        <f>TEXT(Table1[[#This Row],[Order_Date]],"mmmm")</f>
        <v>May</v>
      </c>
      <c r="D601">
        <f>YEAR(Table1[[#This Row],[Order_Date]])</f>
        <v>2025</v>
      </c>
      <c r="E601" s="7">
        <v>45806</v>
      </c>
      <c r="F601" s="2" t="str">
        <f>VLOOKUP(Table1[[#This Row],[Customer_ID]],Customer_Dim!$A$2:$H$501,2,FALSE)</f>
        <v>Mrs. Susan Buckley</v>
      </c>
      <c r="G601" s="2" t="str">
        <f>_xlfn.XLOOKUP(Table1[[#This Row],[Customer_ID]],Customer_Dim!$A$2:$A$501,Customer_Dim!$E$2:$E$501)</f>
        <v>Stevensbury</v>
      </c>
      <c r="H601" t="s">
        <v>1054</v>
      </c>
      <c r="I601" t="str">
        <f>VLOOKUP(Table1[[#This Row],[Product_ID]],Product_Dim!$A$2:$G$101,2,FALSE)</f>
        <v>Adjustable Dumbbell Set-Sports</v>
      </c>
      <c r="J601" t="s">
        <v>1541</v>
      </c>
      <c r="K601" t="str">
        <f>VLOOKUP(Table1[[#This Row],[Store_ID]],Store_Dim!$A$3:$D$22,2,FALSE)</f>
        <v>Black-Horn-South</v>
      </c>
      <c r="L601" t="s">
        <v>1730</v>
      </c>
      <c r="M601" t="s">
        <v>3960</v>
      </c>
      <c r="N601" s="3">
        <v>823.03</v>
      </c>
      <c r="O601" s="4">
        <v>0.18</v>
      </c>
      <c r="P601" t="s">
        <v>1774</v>
      </c>
      <c r="Q601" s="4">
        <v>1349.7692</v>
      </c>
    </row>
    <row r="602" spans="1:17" x14ac:dyDescent="0.3">
      <c r="A602" t="s">
        <v>2374</v>
      </c>
      <c r="B602" t="str">
        <f t="shared" si="9"/>
        <v>Q2</v>
      </c>
      <c r="C602" t="str">
        <f>TEXT(Table1[[#This Row],[Order_Date]],"mmmm")</f>
        <v>April</v>
      </c>
      <c r="D602">
        <f>YEAR(Table1[[#This Row],[Order_Date]])</f>
        <v>2024</v>
      </c>
      <c r="E602" s="7">
        <v>45401</v>
      </c>
      <c r="F602" s="2" t="str">
        <f>VLOOKUP(Table1[[#This Row],[Customer_ID]],Customer_Dim!$A$2:$H$501,2,FALSE)</f>
        <v>Damon Perez</v>
      </c>
      <c r="G602" s="2" t="str">
        <f>_xlfn.XLOOKUP(Table1[[#This Row],[Customer_ID]],Customer_Dim!$A$2:$A$501,Customer_Dim!$E$2:$E$501)</f>
        <v>Jasonton</v>
      </c>
      <c r="H602" t="s">
        <v>808</v>
      </c>
      <c r="I602" t="str">
        <f>VLOOKUP(Table1[[#This Row],[Product_ID]],Product_Dim!$A$2:$G$101,2,FALSE)</f>
        <v>Microwave Oven-Home</v>
      </c>
      <c r="J602" t="s">
        <v>1707</v>
      </c>
      <c r="K602" t="str">
        <f>VLOOKUP(Table1[[#This Row],[Store_ID]],Store_Dim!$A$3:$D$22,2,FALSE)</f>
        <v>Benson-Elliott-East</v>
      </c>
      <c r="L602" t="s">
        <v>1740</v>
      </c>
      <c r="M602" t="s">
        <v>3957</v>
      </c>
      <c r="N602" s="3">
        <v>117.37</v>
      </c>
      <c r="O602" s="4">
        <v>0.21</v>
      </c>
      <c r="P602" t="s">
        <v>1772</v>
      </c>
      <c r="Q602" s="4">
        <v>92.722300000000004</v>
      </c>
    </row>
    <row r="603" spans="1:17" x14ac:dyDescent="0.3">
      <c r="A603" t="s">
        <v>2375</v>
      </c>
      <c r="B603" t="str">
        <f t="shared" si="9"/>
        <v>Q1</v>
      </c>
      <c r="C603" t="str">
        <f>TEXT(Table1[[#This Row],[Order_Date]],"mmmm")</f>
        <v>February</v>
      </c>
      <c r="D603">
        <f>YEAR(Table1[[#This Row],[Order_Date]])</f>
        <v>2025</v>
      </c>
      <c r="E603" s="7">
        <v>45716</v>
      </c>
      <c r="F603" s="2" t="str">
        <f>VLOOKUP(Table1[[#This Row],[Customer_ID]],Customer_Dim!$A$2:$H$501,2,FALSE)</f>
        <v>Christopher Lester</v>
      </c>
      <c r="G603" s="2" t="str">
        <f>_xlfn.XLOOKUP(Table1[[#This Row],[Customer_ID]],Customer_Dim!$A$2:$A$501,Customer_Dim!$E$2:$E$501)</f>
        <v>South Jenniferville</v>
      </c>
      <c r="H603" t="s">
        <v>364</v>
      </c>
      <c r="I603" t="str">
        <f>VLOOKUP(Table1[[#This Row],[Product_ID]],Product_Dim!$A$2:$G$101,2,FALSE)</f>
        <v>Premium Blanket Throw-Home</v>
      </c>
      <c r="J603" t="s">
        <v>1635</v>
      </c>
      <c r="K603" t="str">
        <f>VLOOKUP(Table1[[#This Row],[Store_ID]],Store_Dim!$A$3:$D$22,2,FALSE)</f>
        <v>Martinez, Adkins and Johnson-North</v>
      </c>
      <c r="L603" t="s">
        <v>1728</v>
      </c>
      <c r="M603" t="s">
        <v>3959</v>
      </c>
      <c r="N603" s="3">
        <v>165.37</v>
      </c>
      <c r="O603" s="4">
        <v>0.28999999999999998</v>
      </c>
      <c r="P603" t="s">
        <v>1772</v>
      </c>
      <c r="Q603" s="4">
        <v>469.6508</v>
      </c>
    </row>
    <row r="604" spans="1:17" x14ac:dyDescent="0.3">
      <c r="A604" t="s">
        <v>2376</v>
      </c>
      <c r="B604" t="str">
        <f t="shared" si="9"/>
        <v>Q1</v>
      </c>
      <c r="C604" t="str">
        <f>TEXT(Table1[[#This Row],[Order_Date]],"mmmm")</f>
        <v>March</v>
      </c>
      <c r="D604">
        <f>YEAR(Table1[[#This Row],[Order_Date]])</f>
        <v>2025</v>
      </c>
      <c r="E604" s="7">
        <v>45718</v>
      </c>
      <c r="F604" s="2" t="str">
        <f>VLOOKUP(Table1[[#This Row],[Customer_ID]],Customer_Dim!$A$2:$H$501,2,FALSE)</f>
        <v>Frank Stewart</v>
      </c>
      <c r="G604" s="2" t="str">
        <f>_xlfn.XLOOKUP(Table1[[#This Row],[Customer_ID]],Customer_Dim!$A$2:$A$501,Customer_Dim!$E$2:$E$501)</f>
        <v>Fischerborough</v>
      </c>
      <c r="H604" t="s">
        <v>1168</v>
      </c>
      <c r="I604" t="str">
        <f>VLOOKUP(Table1[[#This Row],[Product_ID]],Product_Dim!$A$2:$G$101,2,FALSE)</f>
        <v>Herbal Face Moisturizer-Beauty</v>
      </c>
      <c r="J604" t="s">
        <v>1535</v>
      </c>
      <c r="K604" t="str">
        <f>VLOOKUP(Table1[[#This Row],[Store_ID]],Store_Dim!$A$3:$D$22,2,FALSE)</f>
        <v>Hill, Wagner and Ballard-East</v>
      </c>
      <c r="L604" t="s">
        <v>1748</v>
      </c>
      <c r="M604" t="s">
        <v>3958</v>
      </c>
      <c r="N604" s="3">
        <v>483.06</v>
      </c>
      <c r="O604" s="4">
        <v>0.05</v>
      </c>
      <c r="P604" t="s">
        <v>1772</v>
      </c>
      <c r="Q604" s="4">
        <v>1376.721</v>
      </c>
    </row>
    <row r="605" spans="1:17" x14ac:dyDescent="0.3">
      <c r="A605" t="s">
        <v>2377</v>
      </c>
      <c r="B605" t="str">
        <f t="shared" si="9"/>
        <v>Q1</v>
      </c>
      <c r="C605" t="str">
        <f>TEXT(Table1[[#This Row],[Order_Date]],"mmmm")</f>
        <v>March</v>
      </c>
      <c r="D605">
        <f>YEAR(Table1[[#This Row],[Order_Date]])</f>
        <v>2024</v>
      </c>
      <c r="E605" s="7">
        <v>45379</v>
      </c>
      <c r="F605" s="2" t="str">
        <f>VLOOKUP(Table1[[#This Row],[Customer_ID]],Customer_Dim!$A$2:$H$501,2,FALSE)</f>
        <v>Gloria Taylor</v>
      </c>
      <c r="G605" s="2" t="str">
        <f>_xlfn.XLOOKUP(Table1[[#This Row],[Customer_ID]],Customer_Dim!$A$2:$A$501,Customer_Dim!$E$2:$E$501)</f>
        <v>North Daniel</v>
      </c>
      <c r="H605" t="s">
        <v>920</v>
      </c>
      <c r="I605" t="str">
        <f>VLOOKUP(Table1[[#This Row],[Product_ID]],Product_Dim!$A$2:$G$101,2,FALSE)</f>
        <v>Badminton Racket Set-Sports</v>
      </c>
      <c r="J605" t="s">
        <v>1685</v>
      </c>
      <c r="K605" t="str">
        <f>VLOOKUP(Table1[[#This Row],[Store_ID]],Store_Dim!$A$3:$D$22,2,FALSE)</f>
        <v>Martinez-Mullins-South</v>
      </c>
      <c r="L605" t="s">
        <v>1742</v>
      </c>
      <c r="M605" t="s">
        <v>3959</v>
      </c>
      <c r="N605" s="3">
        <v>262.05</v>
      </c>
      <c r="O605" s="4">
        <v>0.24</v>
      </c>
      <c r="P605" t="s">
        <v>1774</v>
      </c>
      <c r="Q605" s="4">
        <v>796.63200000000006</v>
      </c>
    </row>
    <row r="606" spans="1:17" x14ac:dyDescent="0.3">
      <c r="A606" t="s">
        <v>2378</v>
      </c>
      <c r="B606" t="str">
        <f t="shared" si="9"/>
        <v>Q4</v>
      </c>
      <c r="C606" t="str">
        <f>TEXT(Table1[[#This Row],[Order_Date]],"mmmm")</f>
        <v>December</v>
      </c>
      <c r="D606">
        <f>YEAR(Table1[[#This Row],[Order_Date]])</f>
        <v>2024</v>
      </c>
      <c r="E606" s="7">
        <v>45635</v>
      </c>
      <c r="F606" s="2" t="str">
        <f>VLOOKUP(Table1[[#This Row],[Customer_ID]],Customer_Dim!$A$2:$H$501,2,FALSE)</f>
        <v>Samantha Lee</v>
      </c>
      <c r="G606" s="2" t="str">
        <f>_xlfn.XLOOKUP(Table1[[#This Row],[Customer_ID]],Customer_Dim!$A$2:$A$501,Customer_Dim!$E$2:$E$501)</f>
        <v>Port Anthony</v>
      </c>
      <c r="H606" t="s">
        <v>1412</v>
      </c>
      <c r="I606" t="str">
        <f>VLOOKUP(Table1[[#This Row],[Product_ID]],Product_Dim!$A$2:$G$101,2,FALSE)</f>
        <v>Decorative Wall Mirror-Home</v>
      </c>
      <c r="J606" t="s">
        <v>1551</v>
      </c>
      <c r="K606" t="str">
        <f>VLOOKUP(Table1[[#This Row],[Store_ID]],Store_Dim!$A$3:$D$22,2,FALSE)</f>
        <v>Mcdonald Inc-South</v>
      </c>
      <c r="L606" t="s">
        <v>1754</v>
      </c>
      <c r="M606" t="s">
        <v>3958</v>
      </c>
      <c r="N606" s="3">
        <v>970.89</v>
      </c>
      <c r="O606" s="4">
        <v>0.11</v>
      </c>
      <c r="P606" t="s">
        <v>1777</v>
      </c>
      <c r="Q606" s="4">
        <v>2592.2763</v>
      </c>
    </row>
    <row r="607" spans="1:17" x14ac:dyDescent="0.3">
      <c r="A607" t="s">
        <v>2379</v>
      </c>
      <c r="B607" t="str">
        <f t="shared" si="9"/>
        <v>Q4</v>
      </c>
      <c r="C607" t="str">
        <f>TEXT(Table1[[#This Row],[Order_Date]],"mmmm")</f>
        <v>October</v>
      </c>
      <c r="D607">
        <f>YEAR(Table1[[#This Row],[Order_Date]])</f>
        <v>2023</v>
      </c>
      <c r="E607" s="7">
        <v>45222</v>
      </c>
      <c r="F607" s="2" t="str">
        <f>VLOOKUP(Table1[[#This Row],[Customer_ID]],Customer_Dim!$A$2:$H$501,2,FALSE)</f>
        <v>Kathryn Garcia</v>
      </c>
      <c r="G607" s="2" t="str">
        <f>_xlfn.XLOOKUP(Table1[[#This Row],[Customer_ID]],Customer_Dim!$A$2:$A$501,Customer_Dim!$E$2:$E$501)</f>
        <v>Morrismouth</v>
      </c>
      <c r="H607" t="s">
        <v>696</v>
      </c>
      <c r="I607" t="str">
        <f>VLOOKUP(Table1[[#This Row],[Product_ID]],Product_Dim!$A$2:$G$101,2,FALSE)</f>
        <v>Professional Jump Rope-Sports</v>
      </c>
      <c r="J607" t="s">
        <v>1667</v>
      </c>
      <c r="K607" t="str">
        <f>VLOOKUP(Table1[[#This Row],[Store_ID]],Store_Dim!$A$3:$D$22,2,FALSE)</f>
        <v>Rivera-Warner-East</v>
      </c>
      <c r="L607" t="s">
        <v>1725</v>
      </c>
      <c r="M607" t="s">
        <v>3957</v>
      </c>
      <c r="N607" s="3">
        <v>61.11</v>
      </c>
      <c r="O607" s="4">
        <v>0.1</v>
      </c>
      <c r="P607" t="s">
        <v>1774</v>
      </c>
      <c r="Q607" s="4">
        <v>54.999000000000002</v>
      </c>
    </row>
    <row r="608" spans="1:17" x14ac:dyDescent="0.3">
      <c r="A608" t="s">
        <v>2380</v>
      </c>
      <c r="B608" t="str">
        <f t="shared" si="9"/>
        <v>Q3</v>
      </c>
      <c r="C608" t="str">
        <f>TEXT(Table1[[#This Row],[Order_Date]],"mmmm")</f>
        <v>September</v>
      </c>
      <c r="D608">
        <f>YEAR(Table1[[#This Row],[Order_Date]])</f>
        <v>2024</v>
      </c>
      <c r="E608" s="7">
        <v>45555</v>
      </c>
      <c r="F608" s="2" t="str">
        <f>VLOOKUP(Table1[[#This Row],[Customer_ID]],Customer_Dim!$A$2:$H$501,2,FALSE)</f>
        <v>David Arnold</v>
      </c>
      <c r="G608" s="2" t="str">
        <f>_xlfn.XLOOKUP(Table1[[#This Row],[Customer_ID]],Customer_Dim!$A$2:$A$501,Customer_Dim!$E$2:$E$501)</f>
        <v>East Jennifer</v>
      </c>
      <c r="H608" t="s">
        <v>121</v>
      </c>
      <c r="I608" t="str">
        <f>VLOOKUP(Table1[[#This Row],[Product_ID]],Product_Dim!$A$2:$G$101,2,FALSE)</f>
        <v>Decorative Floor Vase-Home</v>
      </c>
      <c r="J608" t="s">
        <v>1577</v>
      </c>
      <c r="K608" t="str">
        <f>VLOOKUP(Table1[[#This Row],[Store_ID]],Store_Dim!$A$3:$D$22,2,FALSE)</f>
        <v>Bean, Jones and Park-West</v>
      </c>
      <c r="L608" t="s">
        <v>1744</v>
      </c>
      <c r="M608" t="s">
        <v>3958</v>
      </c>
      <c r="N608" s="3">
        <v>827.88</v>
      </c>
      <c r="O608" s="4">
        <v>0.19</v>
      </c>
      <c r="P608" t="s">
        <v>1774</v>
      </c>
      <c r="Q608" s="4">
        <v>2011.7483999999999</v>
      </c>
    </row>
    <row r="609" spans="1:17" x14ac:dyDescent="0.3">
      <c r="A609" t="s">
        <v>2381</v>
      </c>
      <c r="B609" t="str">
        <f t="shared" si="9"/>
        <v>Q4</v>
      </c>
      <c r="C609" t="str">
        <f>TEXT(Table1[[#This Row],[Order_Date]],"mmmm")</f>
        <v>October</v>
      </c>
      <c r="D609">
        <f>YEAR(Table1[[#This Row],[Order_Date]])</f>
        <v>2024</v>
      </c>
      <c r="E609" s="7">
        <v>45583</v>
      </c>
      <c r="F609" s="2" t="str">
        <f>VLOOKUP(Table1[[#This Row],[Customer_ID]],Customer_Dim!$A$2:$H$501,2,FALSE)</f>
        <v>Kimberly Roberts</v>
      </c>
      <c r="G609" s="2" t="str">
        <f>_xlfn.XLOOKUP(Table1[[#This Row],[Customer_ID]],Customer_Dim!$A$2:$A$501,Customer_Dim!$E$2:$E$501)</f>
        <v>Josephchester</v>
      </c>
      <c r="H609" t="s">
        <v>1318</v>
      </c>
      <c r="I609" t="str">
        <f>VLOOKUP(Table1[[#This Row],[Product_ID]],Product_Dim!$A$2:$G$101,2,FALSE)</f>
        <v>LED Bedside Lamp-Home</v>
      </c>
      <c r="J609" t="s">
        <v>1697</v>
      </c>
      <c r="K609" t="str">
        <f>VLOOKUP(Table1[[#This Row],[Store_ID]],Store_Dim!$A$3:$D$22,2,FALSE)</f>
        <v>Gardner, Humphrey and Contreras-East</v>
      </c>
      <c r="L609" t="s">
        <v>1753</v>
      </c>
      <c r="M609" t="s">
        <v>3958</v>
      </c>
      <c r="N609" s="3">
        <v>926.85</v>
      </c>
      <c r="O609" s="4">
        <v>0.18</v>
      </c>
      <c r="P609" t="s">
        <v>1777</v>
      </c>
      <c r="Q609" s="4">
        <v>2280.0509999999999</v>
      </c>
    </row>
    <row r="610" spans="1:17" x14ac:dyDescent="0.3">
      <c r="A610" t="s">
        <v>2382</v>
      </c>
      <c r="B610" t="str">
        <f t="shared" si="9"/>
        <v>Q1</v>
      </c>
      <c r="C610" t="str">
        <f>TEXT(Table1[[#This Row],[Order_Date]],"mmmm")</f>
        <v>January</v>
      </c>
      <c r="D610">
        <f>YEAR(Table1[[#This Row],[Order_Date]])</f>
        <v>2025</v>
      </c>
      <c r="E610" s="7">
        <v>45662</v>
      </c>
      <c r="F610" s="2" t="str">
        <f>VLOOKUP(Table1[[#This Row],[Customer_ID]],Customer_Dim!$A$2:$H$501,2,FALSE)</f>
        <v>Tiffany Williams</v>
      </c>
      <c r="G610" s="2" t="str">
        <f>_xlfn.XLOOKUP(Table1[[#This Row],[Customer_ID]],Customer_Dim!$A$2:$A$501,Customer_Dim!$E$2:$E$501)</f>
        <v>Richardsport</v>
      </c>
      <c r="H610" t="s">
        <v>989</v>
      </c>
      <c r="I610" t="str">
        <f>VLOOKUP(Table1[[#This Row],[Product_ID]],Product_Dim!$A$2:$G$101,2,FALSE)</f>
        <v>Ceramic Kitchen Bowl Set-Home</v>
      </c>
      <c r="J610" t="s">
        <v>1543</v>
      </c>
      <c r="K610" t="str">
        <f>VLOOKUP(Table1[[#This Row],[Store_ID]],Store_Dim!$A$3:$D$22,2,FALSE)</f>
        <v>Mcdonald Inc-South</v>
      </c>
      <c r="L610" t="s">
        <v>1754</v>
      </c>
      <c r="M610" t="s">
        <v>3957</v>
      </c>
      <c r="N610" s="3">
        <v>874.59</v>
      </c>
      <c r="O610" s="4">
        <v>0.28999999999999998</v>
      </c>
      <c r="P610" t="s">
        <v>1774</v>
      </c>
      <c r="Q610" s="4">
        <v>620.95889999999997</v>
      </c>
    </row>
    <row r="611" spans="1:17" x14ac:dyDescent="0.3">
      <c r="A611" t="s">
        <v>2383</v>
      </c>
      <c r="B611" t="str">
        <f t="shared" si="9"/>
        <v>Q3</v>
      </c>
      <c r="C611" t="str">
        <f>TEXT(Table1[[#This Row],[Order_Date]],"mmmm")</f>
        <v>September</v>
      </c>
      <c r="D611">
        <f>YEAR(Table1[[#This Row],[Order_Date]])</f>
        <v>2025</v>
      </c>
      <c r="E611" s="7">
        <v>45921</v>
      </c>
      <c r="F611" s="2" t="str">
        <f>VLOOKUP(Table1[[#This Row],[Customer_ID]],Customer_Dim!$A$2:$H$501,2,FALSE)</f>
        <v>Manuel Fisher</v>
      </c>
      <c r="G611" s="2" t="str">
        <f>_xlfn.XLOOKUP(Table1[[#This Row],[Customer_ID]],Customer_Dim!$A$2:$A$501,Customer_Dim!$E$2:$E$501)</f>
        <v>Kanebury</v>
      </c>
      <c r="H611" t="s">
        <v>1433</v>
      </c>
      <c r="I611" t="str">
        <f>VLOOKUP(Table1[[#This Row],[Product_ID]],Product_Dim!$A$2:$G$101,2,FALSE)</f>
        <v>4K Home Projector-Electronics</v>
      </c>
      <c r="J611" t="s">
        <v>1553</v>
      </c>
      <c r="K611" t="str">
        <f>VLOOKUP(Table1[[#This Row],[Store_ID]],Store_Dim!$A$3:$D$22,2,FALSE)</f>
        <v>Martinez, Adkins and Johnson-North</v>
      </c>
      <c r="L611" t="s">
        <v>1728</v>
      </c>
      <c r="M611" t="s">
        <v>3959</v>
      </c>
      <c r="N611" s="3">
        <v>479.11</v>
      </c>
      <c r="O611" s="4">
        <v>0.24</v>
      </c>
      <c r="P611" t="s">
        <v>1774</v>
      </c>
      <c r="Q611" s="4">
        <v>1456.4944</v>
      </c>
    </row>
    <row r="612" spans="1:17" x14ac:dyDescent="0.3">
      <c r="A612" t="s">
        <v>2384</v>
      </c>
      <c r="B612" t="str">
        <f t="shared" si="9"/>
        <v>Q3</v>
      </c>
      <c r="C612" t="str">
        <f>TEXT(Table1[[#This Row],[Order_Date]],"mmmm")</f>
        <v>July</v>
      </c>
      <c r="D612">
        <f>YEAR(Table1[[#This Row],[Order_Date]])</f>
        <v>2024</v>
      </c>
      <c r="E612" s="7">
        <v>45490</v>
      </c>
      <c r="F612" s="2" t="str">
        <f>VLOOKUP(Table1[[#This Row],[Customer_ID]],Customer_Dim!$A$2:$H$501,2,FALSE)</f>
        <v>Stuart Johnson</v>
      </c>
      <c r="G612" s="2" t="str">
        <f>_xlfn.XLOOKUP(Table1[[#This Row],[Customer_ID]],Customer_Dim!$A$2:$A$501,Customer_Dim!$E$2:$E$501)</f>
        <v>West Markport</v>
      </c>
      <c r="H612" t="s">
        <v>687</v>
      </c>
      <c r="I612" t="str">
        <f>VLOOKUP(Table1[[#This Row],[Product_ID]],Product_Dim!$A$2:$G$101,2,FALSE)</f>
        <v>Vitamin C Face Serum-Beauty</v>
      </c>
      <c r="J612" t="s">
        <v>1587</v>
      </c>
      <c r="K612" t="str">
        <f>VLOOKUP(Table1[[#This Row],[Store_ID]],Store_Dim!$A$3:$D$22,2,FALSE)</f>
        <v>Holloway Ltd-North</v>
      </c>
      <c r="L612" t="s">
        <v>1759</v>
      </c>
      <c r="M612" t="s">
        <v>3958</v>
      </c>
      <c r="N612" s="3">
        <v>182.91</v>
      </c>
      <c r="O612" s="4">
        <v>0.28999999999999998</v>
      </c>
      <c r="P612" t="s">
        <v>1772</v>
      </c>
      <c r="Q612" s="4">
        <v>389.59829999999999</v>
      </c>
    </row>
    <row r="613" spans="1:17" x14ac:dyDescent="0.3">
      <c r="A613" t="s">
        <v>2385</v>
      </c>
      <c r="B613" t="str">
        <f t="shared" si="9"/>
        <v>Q4</v>
      </c>
      <c r="C613" t="str">
        <f>TEXT(Table1[[#This Row],[Order_Date]],"mmmm")</f>
        <v>December</v>
      </c>
      <c r="D613">
        <f>YEAR(Table1[[#This Row],[Order_Date]])</f>
        <v>2024</v>
      </c>
      <c r="E613" s="7">
        <v>45652</v>
      </c>
      <c r="F613" s="2" t="str">
        <f>VLOOKUP(Table1[[#This Row],[Customer_ID]],Customer_Dim!$A$2:$H$501,2,FALSE)</f>
        <v>Adam Rowland</v>
      </c>
      <c r="G613" s="2" t="str">
        <f>_xlfn.XLOOKUP(Table1[[#This Row],[Customer_ID]],Customer_Dim!$A$2:$A$501,Customer_Dim!$E$2:$E$501)</f>
        <v>Welchview</v>
      </c>
      <c r="H613" t="s">
        <v>858</v>
      </c>
      <c r="I613" t="str">
        <f>VLOOKUP(Table1[[#This Row],[Product_ID]],Product_Dim!$A$2:$G$101,2,FALSE)</f>
        <v>Gaming Mechanical Keyboard-Electronics</v>
      </c>
      <c r="J613" t="s">
        <v>1591</v>
      </c>
      <c r="K613" t="str">
        <f>VLOOKUP(Table1[[#This Row],[Store_ID]],Store_Dim!$A$3:$D$22,2,FALSE)</f>
        <v>Gray Ltd-North</v>
      </c>
      <c r="L613" t="s">
        <v>1738</v>
      </c>
      <c r="M613" t="s">
        <v>3959</v>
      </c>
      <c r="N613" s="3">
        <v>745.51</v>
      </c>
      <c r="O613" s="4">
        <v>0.05</v>
      </c>
      <c r="P613" t="s">
        <v>1772</v>
      </c>
      <c r="Q613" s="4">
        <v>2832.9380000000001</v>
      </c>
    </row>
    <row r="614" spans="1:17" x14ac:dyDescent="0.3">
      <c r="A614" t="s">
        <v>2386</v>
      </c>
      <c r="B614" t="str">
        <f t="shared" si="9"/>
        <v>Q4</v>
      </c>
      <c r="C614" t="str">
        <f>TEXT(Table1[[#This Row],[Order_Date]],"mmmm")</f>
        <v>November</v>
      </c>
      <c r="D614">
        <f>YEAR(Table1[[#This Row],[Order_Date]])</f>
        <v>2024</v>
      </c>
      <c r="E614" s="7">
        <v>45598</v>
      </c>
      <c r="F614" s="2" t="str">
        <f>VLOOKUP(Table1[[#This Row],[Customer_ID]],Customer_Dim!$A$2:$H$501,2,FALSE)</f>
        <v>Bryan Tran</v>
      </c>
      <c r="G614" s="2" t="str">
        <f>_xlfn.XLOOKUP(Table1[[#This Row],[Customer_ID]],Customer_Dim!$A$2:$A$501,Customer_Dim!$E$2:$E$501)</f>
        <v>Kelseybury</v>
      </c>
      <c r="H614" t="s">
        <v>1464</v>
      </c>
      <c r="I614" t="str">
        <f>VLOOKUP(Table1[[#This Row],[Product_ID]],Product_Dim!$A$2:$G$101,2,FALSE)</f>
        <v>Sports Wrist Sweatbands-Sports</v>
      </c>
      <c r="J614" t="s">
        <v>1699</v>
      </c>
      <c r="K614" t="str">
        <f>VLOOKUP(Table1[[#This Row],[Store_ID]],Store_Dim!$A$3:$D$22,2,FALSE)</f>
        <v>Shelton PLC-North</v>
      </c>
      <c r="L614" t="s">
        <v>1755</v>
      </c>
      <c r="M614" t="s">
        <v>3958</v>
      </c>
      <c r="N614" s="3">
        <v>920.61</v>
      </c>
      <c r="O614" s="4">
        <v>0.04</v>
      </c>
      <c r="P614" t="s">
        <v>1772</v>
      </c>
      <c r="Q614" s="4">
        <v>2651.3568</v>
      </c>
    </row>
    <row r="615" spans="1:17" x14ac:dyDescent="0.3">
      <c r="A615" t="s">
        <v>2387</v>
      </c>
      <c r="B615" t="str">
        <f t="shared" si="9"/>
        <v>Q2</v>
      </c>
      <c r="C615" t="str">
        <f>TEXT(Table1[[#This Row],[Order_Date]],"mmmm")</f>
        <v>April</v>
      </c>
      <c r="D615">
        <f>YEAR(Table1[[#This Row],[Order_Date]])</f>
        <v>2025</v>
      </c>
      <c r="E615" s="7">
        <v>45772</v>
      </c>
      <c r="F615" s="2" t="str">
        <f>VLOOKUP(Table1[[#This Row],[Customer_ID]],Customer_Dim!$A$2:$H$501,2,FALSE)</f>
        <v>Bryce Hawkins</v>
      </c>
      <c r="G615" s="2" t="str">
        <f>_xlfn.XLOOKUP(Table1[[#This Row],[Customer_ID]],Customer_Dim!$A$2:$A$501,Customer_Dim!$E$2:$E$501)</f>
        <v>Lake Monique</v>
      </c>
      <c r="H615" t="s">
        <v>1303</v>
      </c>
      <c r="I615" t="str">
        <f>VLOOKUP(Table1[[#This Row],[Product_ID]],Product_Dim!$A$2:$G$101,2,FALSE)</f>
        <v>Women's Ankle Boots-Clothing</v>
      </c>
      <c r="J615" t="s">
        <v>1673</v>
      </c>
      <c r="K615" t="str">
        <f>VLOOKUP(Table1[[#This Row],[Store_ID]],Store_Dim!$A$3:$D$22,2,FALSE)</f>
        <v>Hill, Wagner and Ballard-East</v>
      </c>
      <c r="L615" t="s">
        <v>1748</v>
      </c>
      <c r="M615" t="s">
        <v>3959</v>
      </c>
      <c r="N615" s="3">
        <v>659.03</v>
      </c>
      <c r="O615" s="4">
        <v>0.15</v>
      </c>
      <c r="P615" t="s">
        <v>1772</v>
      </c>
      <c r="Q615" s="4">
        <v>2240.7020000000002</v>
      </c>
    </row>
    <row r="616" spans="1:17" x14ac:dyDescent="0.3">
      <c r="A616" t="s">
        <v>2388</v>
      </c>
      <c r="B616" t="str">
        <f t="shared" si="9"/>
        <v>Q1</v>
      </c>
      <c r="C616" t="str">
        <f>TEXT(Table1[[#This Row],[Order_Date]],"mmmm")</f>
        <v>February</v>
      </c>
      <c r="D616">
        <f>YEAR(Table1[[#This Row],[Order_Date]])</f>
        <v>2024</v>
      </c>
      <c r="E616" s="7">
        <v>45338</v>
      </c>
      <c r="F616" s="2" t="str">
        <f>VLOOKUP(Table1[[#This Row],[Customer_ID]],Customer_Dim!$A$2:$H$501,2,FALSE)</f>
        <v>Kaitlin Brown</v>
      </c>
      <c r="G616" s="2" t="str">
        <f>_xlfn.XLOOKUP(Table1[[#This Row],[Customer_ID]],Customer_Dim!$A$2:$A$501,Customer_Dim!$E$2:$E$501)</f>
        <v>Kellyberg</v>
      </c>
      <c r="H616" t="s">
        <v>1493</v>
      </c>
      <c r="I616" t="str">
        <f>VLOOKUP(Table1[[#This Row],[Product_ID]],Product_Dim!$A$2:$G$101,2,FALSE)</f>
        <v>Adjustable Dumbbell Set-Sports</v>
      </c>
      <c r="J616" t="s">
        <v>1541</v>
      </c>
      <c r="K616" t="str">
        <f>VLOOKUP(Table1[[#This Row],[Store_ID]],Store_Dim!$A$3:$D$22,2,FALSE)</f>
        <v>Black-Horn-South</v>
      </c>
      <c r="L616" t="s">
        <v>1730</v>
      </c>
      <c r="M616" t="s">
        <v>3957</v>
      </c>
      <c r="N616" s="3">
        <v>312.91000000000003</v>
      </c>
      <c r="O616" s="4">
        <v>0.12</v>
      </c>
      <c r="P616" t="s">
        <v>1774</v>
      </c>
      <c r="Q616" s="4">
        <v>275.36079999999998</v>
      </c>
    </row>
    <row r="617" spans="1:17" x14ac:dyDescent="0.3">
      <c r="A617" t="s">
        <v>2389</v>
      </c>
      <c r="B617" t="str">
        <f t="shared" si="9"/>
        <v>Q3</v>
      </c>
      <c r="C617" t="str">
        <f>TEXT(Table1[[#This Row],[Order_Date]],"mmmm")</f>
        <v>August</v>
      </c>
      <c r="D617">
        <f>YEAR(Table1[[#This Row],[Order_Date]])</f>
        <v>2024</v>
      </c>
      <c r="E617" s="7">
        <v>45524</v>
      </c>
      <c r="F617" s="2" t="str">
        <f>VLOOKUP(Table1[[#This Row],[Customer_ID]],Customer_Dim!$A$2:$H$501,2,FALSE)</f>
        <v>Casey Flores</v>
      </c>
      <c r="G617" s="2" t="str">
        <f>_xlfn.XLOOKUP(Table1[[#This Row],[Customer_ID]],Customer_Dim!$A$2:$A$501,Customer_Dim!$E$2:$E$501)</f>
        <v>Lake Michael</v>
      </c>
      <c r="H617" t="s">
        <v>729</v>
      </c>
      <c r="I617" t="str">
        <f>VLOOKUP(Table1[[#This Row],[Product_ID]],Product_Dim!$A$2:$G$101,2,FALSE)</f>
        <v>Hair Strengthening Shampoo-Beauty</v>
      </c>
      <c r="J617" t="s">
        <v>1547</v>
      </c>
      <c r="K617" t="str">
        <f>VLOOKUP(Table1[[#This Row],[Store_ID]],Store_Dim!$A$3:$D$22,2,FALSE)</f>
        <v>Guerrero-Schmitt-East</v>
      </c>
      <c r="L617" t="s">
        <v>1761</v>
      </c>
      <c r="M617" t="s">
        <v>3959</v>
      </c>
      <c r="N617" s="3">
        <v>705.64</v>
      </c>
      <c r="O617" s="4">
        <v>0.11</v>
      </c>
      <c r="P617" t="s">
        <v>1774</v>
      </c>
      <c r="Q617" s="4">
        <v>2512.0783999999999</v>
      </c>
    </row>
    <row r="618" spans="1:17" x14ac:dyDescent="0.3">
      <c r="A618" t="s">
        <v>2390</v>
      </c>
      <c r="B618" t="str">
        <f t="shared" si="9"/>
        <v>Q3</v>
      </c>
      <c r="C618" t="str">
        <f>TEXT(Table1[[#This Row],[Order_Date]],"mmmm")</f>
        <v>July</v>
      </c>
      <c r="D618">
        <f>YEAR(Table1[[#This Row],[Order_Date]])</f>
        <v>2024</v>
      </c>
      <c r="E618" s="7">
        <v>45497</v>
      </c>
      <c r="F618" s="2" t="str">
        <f>VLOOKUP(Table1[[#This Row],[Customer_ID]],Customer_Dim!$A$2:$H$501,2,FALSE)</f>
        <v>Justin Cross</v>
      </c>
      <c r="G618" s="2" t="str">
        <f>_xlfn.XLOOKUP(Table1[[#This Row],[Customer_ID]],Customer_Dim!$A$2:$A$501,Customer_Dim!$E$2:$E$501)</f>
        <v>North Anthonychester</v>
      </c>
      <c r="H618" t="s">
        <v>482</v>
      </c>
      <c r="I618" t="str">
        <f>VLOOKUP(Table1[[#This Row],[Product_ID]],Product_Dim!$A$2:$G$101,2,FALSE)</f>
        <v>Adjustable Dumbbell Set-Sports</v>
      </c>
      <c r="J618" t="s">
        <v>1541</v>
      </c>
      <c r="K618" t="str">
        <f>VLOOKUP(Table1[[#This Row],[Store_ID]],Store_Dim!$A$3:$D$22,2,FALSE)</f>
        <v>Hill, Wagner and Ballard-East</v>
      </c>
      <c r="L618" t="s">
        <v>1748</v>
      </c>
      <c r="M618" t="s">
        <v>3959</v>
      </c>
      <c r="N618" s="3">
        <v>386.41</v>
      </c>
      <c r="O618" s="4">
        <v>0.13</v>
      </c>
      <c r="P618" t="s">
        <v>1777</v>
      </c>
      <c r="Q618" s="4">
        <v>1344.7067999999999</v>
      </c>
    </row>
    <row r="619" spans="1:17" x14ac:dyDescent="0.3">
      <c r="A619" t="s">
        <v>2391</v>
      </c>
      <c r="B619" t="str">
        <f t="shared" si="9"/>
        <v>Q3</v>
      </c>
      <c r="C619" t="str">
        <f>TEXT(Table1[[#This Row],[Order_Date]],"mmmm")</f>
        <v>August</v>
      </c>
      <c r="D619">
        <f>YEAR(Table1[[#This Row],[Order_Date]])</f>
        <v>2024</v>
      </c>
      <c r="E619" s="7">
        <v>45534</v>
      </c>
      <c r="F619" s="2" t="str">
        <f>VLOOKUP(Table1[[#This Row],[Customer_ID]],Customer_Dim!$A$2:$H$501,2,FALSE)</f>
        <v>David Arnold</v>
      </c>
      <c r="G619" s="2" t="str">
        <f>_xlfn.XLOOKUP(Table1[[#This Row],[Customer_ID]],Customer_Dim!$A$2:$A$501,Customer_Dim!$E$2:$E$501)</f>
        <v>East Jennifer</v>
      </c>
      <c r="H619" t="s">
        <v>121</v>
      </c>
      <c r="I619" t="str">
        <f>VLOOKUP(Table1[[#This Row],[Product_ID]],Product_Dim!$A$2:$G$101,2,FALSE)</f>
        <v>Vitamin E Body Lotion-Beauty</v>
      </c>
      <c r="J619" t="s">
        <v>1711</v>
      </c>
      <c r="K619" t="str">
        <f>VLOOKUP(Table1[[#This Row],[Store_ID]],Store_Dim!$A$3:$D$22,2,FALSE)</f>
        <v>Aguirre-Keller-South</v>
      </c>
      <c r="L619" t="s">
        <v>1750</v>
      </c>
      <c r="M619" t="s">
        <v>3958</v>
      </c>
      <c r="N619" s="3">
        <v>265.89</v>
      </c>
      <c r="O619" s="4">
        <v>0.08</v>
      </c>
      <c r="P619" t="s">
        <v>1777</v>
      </c>
      <c r="Q619" s="4">
        <v>733.85640000000001</v>
      </c>
    </row>
    <row r="620" spans="1:17" x14ac:dyDescent="0.3">
      <c r="A620" t="s">
        <v>2392</v>
      </c>
      <c r="B620" t="str">
        <f t="shared" si="9"/>
        <v>Q3</v>
      </c>
      <c r="C620" t="str">
        <f>TEXT(Table1[[#This Row],[Order_Date]],"mmmm")</f>
        <v>September</v>
      </c>
      <c r="D620">
        <f>YEAR(Table1[[#This Row],[Order_Date]])</f>
        <v>2025</v>
      </c>
      <c r="E620" s="7">
        <v>45925</v>
      </c>
      <c r="F620" s="2" t="str">
        <f>VLOOKUP(Table1[[#This Row],[Customer_ID]],Customer_Dim!$A$2:$H$501,2,FALSE)</f>
        <v>Rhonda Morales</v>
      </c>
      <c r="G620" s="2" t="str">
        <f>_xlfn.XLOOKUP(Table1[[#This Row],[Customer_ID]],Customer_Dim!$A$2:$A$501,Customer_Dim!$E$2:$E$501)</f>
        <v>Lake Barryfurt</v>
      </c>
      <c r="H620" t="s">
        <v>272</v>
      </c>
      <c r="I620" t="str">
        <f>VLOOKUP(Table1[[#This Row],[Product_ID]],Product_Dim!$A$2:$G$101,2,FALSE)</f>
        <v>Stainless Steel Cutlery Set-Home</v>
      </c>
      <c r="J620" t="s">
        <v>1583</v>
      </c>
      <c r="K620" t="str">
        <f>VLOOKUP(Table1[[#This Row],[Store_ID]],Store_Dim!$A$3:$D$22,2,FALSE)</f>
        <v>Frederick-Wright-West</v>
      </c>
      <c r="L620" t="s">
        <v>1757</v>
      </c>
      <c r="M620" t="s">
        <v>3957</v>
      </c>
      <c r="N620" s="3">
        <v>703.16</v>
      </c>
      <c r="O620" s="4">
        <v>0.28999999999999998</v>
      </c>
      <c r="P620" t="s">
        <v>1772</v>
      </c>
      <c r="Q620" s="4">
        <v>499.24360000000001</v>
      </c>
    </row>
    <row r="621" spans="1:17" x14ac:dyDescent="0.3">
      <c r="A621" t="s">
        <v>2393</v>
      </c>
      <c r="B621" t="str">
        <f t="shared" si="9"/>
        <v>Q2</v>
      </c>
      <c r="C621" t="str">
        <f>TEXT(Table1[[#This Row],[Order_Date]],"mmmm")</f>
        <v>April</v>
      </c>
      <c r="D621">
        <f>YEAR(Table1[[#This Row],[Order_Date]])</f>
        <v>2025</v>
      </c>
      <c r="E621" s="7">
        <v>45765</v>
      </c>
      <c r="F621" s="2" t="str">
        <f>VLOOKUP(Table1[[#This Row],[Customer_ID]],Customer_Dim!$A$2:$H$501,2,FALSE)</f>
        <v>Debra Mccullough</v>
      </c>
      <c r="G621" s="2" t="str">
        <f>_xlfn.XLOOKUP(Table1[[#This Row],[Customer_ID]],Customer_Dim!$A$2:$A$501,Customer_Dim!$E$2:$E$501)</f>
        <v>Mcdanielfurt</v>
      </c>
      <c r="H621" t="s">
        <v>1436</v>
      </c>
      <c r="I621" t="str">
        <f>VLOOKUP(Table1[[#This Row],[Product_ID]],Product_Dim!$A$2:$G$101,2,FALSE)</f>
        <v>Cricket Bat-Sports</v>
      </c>
      <c r="J621" t="s">
        <v>1717</v>
      </c>
      <c r="K621" t="str">
        <f>VLOOKUP(Table1[[#This Row],[Store_ID]],Store_Dim!$A$3:$D$22,2,FALSE)</f>
        <v>Gardner, Humphrey and Contreras-East</v>
      </c>
      <c r="L621" t="s">
        <v>1753</v>
      </c>
      <c r="M621" t="s">
        <v>3960</v>
      </c>
      <c r="N621" s="3">
        <v>394.5</v>
      </c>
      <c r="O621" s="4">
        <v>0.28999999999999998</v>
      </c>
      <c r="P621" t="s">
        <v>1777</v>
      </c>
      <c r="Q621" s="4">
        <v>560.18999999999994</v>
      </c>
    </row>
    <row r="622" spans="1:17" x14ac:dyDescent="0.3">
      <c r="A622" t="s">
        <v>2394</v>
      </c>
      <c r="B622" t="str">
        <f t="shared" si="9"/>
        <v>Q3</v>
      </c>
      <c r="C622" t="str">
        <f>TEXT(Table1[[#This Row],[Order_Date]],"mmmm")</f>
        <v>August</v>
      </c>
      <c r="D622">
        <f>YEAR(Table1[[#This Row],[Order_Date]])</f>
        <v>2025</v>
      </c>
      <c r="E622" s="7">
        <v>45882</v>
      </c>
      <c r="F622" s="2" t="str">
        <f>VLOOKUP(Table1[[#This Row],[Customer_ID]],Customer_Dim!$A$2:$H$501,2,FALSE)</f>
        <v>Colleen Mccarthy</v>
      </c>
      <c r="G622" s="2" t="str">
        <f>_xlfn.XLOOKUP(Table1[[#This Row],[Customer_ID]],Customer_Dim!$A$2:$A$501,Customer_Dim!$E$2:$E$501)</f>
        <v>North Katherine</v>
      </c>
      <c r="H622" t="s">
        <v>403</v>
      </c>
      <c r="I622" t="str">
        <f>VLOOKUP(Table1[[#This Row],[Product_ID]],Product_Dim!$A$2:$G$101,2,FALSE)</f>
        <v>Cricket Bat-Sports</v>
      </c>
      <c r="J622" t="s">
        <v>1717</v>
      </c>
      <c r="K622" t="str">
        <f>VLOOKUP(Table1[[#This Row],[Store_ID]],Store_Dim!$A$3:$D$22,2,FALSE)</f>
        <v>Martinez-Mullins-South</v>
      </c>
      <c r="L622" t="s">
        <v>1742</v>
      </c>
      <c r="M622" t="s">
        <v>3958</v>
      </c>
      <c r="N622" s="3">
        <v>411.25</v>
      </c>
      <c r="O622" s="4">
        <v>0.05</v>
      </c>
      <c r="P622" t="s">
        <v>1772</v>
      </c>
      <c r="Q622" s="4">
        <v>1172.0625</v>
      </c>
    </row>
    <row r="623" spans="1:17" x14ac:dyDescent="0.3">
      <c r="A623" t="s">
        <v>2395</v>
      </c>
      <c r="B623" t="str">
        <f t="shared" si="9"/>
        <v>Q3</v>
      </c>
      <c r="C623" t="str">
        <f>TEXT(Table1[[#This Row],[Order_Date]],"mmmm")</f>
        <v>September</v>
      </c>
      <c r="D623">
        <f>YEAR(Table1[[#This Row],[Order_Date]])</f>
        <v>2025</v>
      </c>
      <c r="E623" s="7">
        <v>45923</v>
      </c>
      <c r="F623" s="2" t="str">
        <f>VLOOKUP(Table1[[#This Row],[Customer_ID]],Customer_Dim!$A$2:$H$501,2,FALSE)</f>
        <v xml:space="preserve">   Laura Green</v>
      </c>
      <c r="G623" s="2" t="str">
        <f>_xlfn.XLOOKUP(Table1[[#This Row],[Customer_ID]],Customer_Dim!$A$2:$A$501,Customer_Dim!$E$2:$E$501)</f>
        <v>Westbury</v>
      </c>
      <c r="H623" t="s">
        <v>1095</v>
      </c>
      <c r="I623" t="str">
        <f>VLOOKUP(Table1[[#This Row],[Product_ID]],Product_Dim!$A$2:$G$101,2,FALSE)</f>
        <v>Car Dashboard Phone Holder-Electronics</v>
      </c>
      <c r="J623" t="s">
        <v>1619</v>
      </c>
      <c r="K623" t="str">
        <f>VLOOKUP(Table1[[#This Row],[Store_ID]],Store_Dim!$A$3:$D$22,2,FALSE)</f>
        <v>Black-Horn-South</v>
      </c>
      <c r="L623" t="s">
        <v>1730</v>
      </c>
      <c r="M623" t="s">
        <v>3959</v>
      </c>
      <c r="N623" s="3">
        <v>395.45</v>
      </c>
      <c r="O623" s="4">
        <v>0.01</v>
      </c>
      <c r="P623" t="s">
        <v>1772</v>
      </c>
      <c r="Q623" s="4">
        <v>1565.982</v>
      </c>
    </row>
    <row r="624" spans="1:17" x14ac:dyDescent="0.3">
      <c r="A624" t="s">
        <v>2396</v>
      </c>
      <c r="B624" t="str">
        <f t="shared" si="9"/>
        <v>Q2</v>
      </c>
      <c r="C624" t="str">
        <f>TEXT(Table1[[#This Row],[Order_Date]],"mmmm")</f>
        <v>May</v>
      </c>
      <c r="D624">
        <f>YEAR(Table1[[#This Row],[Order_Date]])</f>
        <v>2024</v>
      </c>
      <c r="E624" s="7">
        <v>45421</v>
      </c>
      <c r="F624" s="2" t="str">
        <f>VLOOKUP(Table1[[#This Row],[Customer_ID]],Customer_Dim!$A$2:$H$501,2,FALSE)</f>
        <v>Thomas Phillips</v>
      </c>
      <c r="G624" s="2" t="str">
        <f>_xlfn.XLOOKUP(Table1[[#This Row],[Customer_ID]],Customer_Dim!$A$2:$A$501,Customer_Dim!$E$2:$E$501)</f>
        <v>Luisfurt</v>
      </c>
      <c r="H624" t="s">
        <v>143</v>
      </c>
      <c r="I624" t="str">
        <f>VLOOKUP(Table1[[#This Row],[Product_ID]],Product_Dim!$A$2:$G$101,2,FALSE)</f>
        <v>Gaming Mouse Pad XL-Electronics</v>
      </c>
      <c r="J624" t="s">
        <v>1703</v>
      </c>
      <c r="K624" t="str">
        <f>VLOOKUP(Table1[[#This Row],[Store_ID]],Store_Dim!$A$3:$D$22,2,FALSE)</f>
        <v>Gray Ltd-North</v>
      </c>
      <c r="L624" t="s">
        <v>1738</v>
      </c>
      <c r="M624" t="s">
        <v>3960</v>
      </c>
      <c r="N624" s="3">
        <v>678.98</v>
      </c>
      <c r="O624" s="4">
        <v>0.23</v>
      </c>
      <c r="P624" t="s">
        <v>1772</v>
      </c>
      <c r="Q624" s="4">
        <v>1045.6292000000001</v>
      </c>
    </row>
    <row r="625" spans="1:17" x14ac:dyDescent="0.3">
      <c r="A625" t="s">
        <v>2397</v>
      </c>
      <c r="B625" t="str">
        <f t="shared" si="9"/>
        <v>Q4</v>
      </c>
      <c r="C625" t="str">
        <f>TEXT(Table1[[#This Row],[Order_Date]],"mmmm")</f>
        <v>November</v>
      </c>
      <c r="D625">
        <f>YEAR(Table1[[#This Row],[Order_Date]])</f>
        <v>2024</v>
      </c>
      <c r="E625" s="7">
        <v>45608</v>
      </c>
      <c r="F625" s="2" t="str">
        <f>VLOOKUP(Table1[[#This Row],[Customer_ID]],Customer_Dim!$A$2:$H$501,2,FALSE)</f>
        <v>Tonya Burch</v>
      </c>
      <c r="G625" s="2" t="str">
        <f>_xlfn.XLOOKUP(Table1[[#This Row],[Customer_ID]],Customer_Dim!$A$2:$A$501,Customer_Dim!$E$2:$E$501)</f>
        <v>Olsonhaven</v>
      </c>
      <c r="H625" t="s">
        <v>261</v>
      </c>
      <c r="I625" t="str">
        <f>VLOOKUP(Table1[[#This Row],[Product_ID]],Product_Dim!$A$2:$G$101,2,FALSE)</f>
        <v>Decorative Floor Vase-Home</v>
      </c>
      <c r="J625" t="s">
        <v>1577</v>
      </c>
      <c r="K625" t="str">
        <f>VLOOKUP(Table1[[#This Row],[Store_ID]],Store_Dim!$A$3:$D$22,2,FALSE)</f>
        <v>Mcdonald Inc-South</v>
      </c>
      <c r="L625" t="s">
        <v>1754</v>
      </c>
      <c r="M625" t="s">
        <v>3959</v>
      </c>
      <c r="N625" s="3">
        <v>757.71</v>
      </c>
      <c r="O625" s="4">
        <v>0.26</v>
      </c>
      <c r="P625" t="s">
        <v>1777</v>
      </c>
      <c r="Q625" s="4">
        <v>2242.8216000000002</v>
      </c>
    </row>
    <row r="626" spans="1:17" x14ac:dyDescent="0.3">
      <c r="A626" t="s">
        <v>2398</v>
      </c>
      <c r="B626" t="str">
        <f t="shared" si="9"/>
        <v>Q4</v>
      </c>
      <c r="C626" t="str">
        <f>TEXT(Table1[[#This Row],[Order_Date]],"mmmm")</f>
        <v>December</v>
      </c>
      <c r="D626">
        <f>YEAR(Table1[[#This Row],[Order_Date]])</f>
        <v>2024</v>
      </c>
      <c r="E626" s="7">
        <v>45644</v>
      </c>
      <c r="F626" s="2" t="str">
        <f>VLOOKUP(Table1[[#This Row],[Customer_ID]],Customer_Dim!$A$2:$H$501,2,FALSE)</f>
        <v>Alyssa Vargas</v>
      </c>
      <c r="G626" s="2" t="str">
        <f>_xlfn.XLOOKUP(Table1[[#This Row],[Customer_ID]],Customer_Dim!$A$2:$A$501,Customer_Dim!$E$2:$E$501)</f>
        <v>New Kathrynland</v>
      </c>
      <c r="H626" t="s">
        <v>218</v>
      </c>
      <c r="I626" t="str">
        <f>VLOOKUP(Table1[[#This Row],[Product_ID]],Product_Dim!$A$2:$G$101,2,FALSE)</f>
        <v>Vitamin E Body Lotion-Beauty</v>
      </c>
      <c r="J626" t="s">
        <v>1711</v>
      </c>
      <c r="K626" t="str">
        <f>VLOOKUP(Table1[[#This Row],[Store_ID]],Store_Dim!$A$3:$D$22,2,FALSE)</f>
        <v>Alexander Group-South</v>
      </c>
      <c r="L626" t="s">
        <v>1735</v>
      </c>
      <c r="M626" t="s">
        <v>3957</v>
      </c>
      <c r="N626" s="3">
        <v>647.86</v>
      </c>
      <c r="O626" s="4">
        <v>0.05</v>
      </c>
      <c r="P626" t="s">
        <v>1777</v>
      </c>
      <c r="Q626" s="4">
        <v>615.46699999999998</v>
      </c>
    </row>
    <row r="627" spans="1:17" x14ac:dyDescent="0.3">
      <c r="A627" t="s">
        <v>2399</v>
      </c>
      <c r="B627" t="str">
        <f t="shared" si="9"/>
        <v>Q3</v>
      </c>
      <c r="C627" t="str">
        <f>TEXT(Table1[[#This Row],[Order_Date]],"mmmm")</f>
        <v>August</v>
      </c>
      <c r="D627">
        <f>YEAR(Table1[[#This Row],[Order_Date]])</f>
        <v>2024</v>
      </c>
      <c r="E627" s="7">
        <v>45517</v>
      </c>
      <c r="F627" s="2" t="str">
        <f>VLOOKUP(Table1[[#This Row],[Customer_ID]],Customer_Dim!$A$2:$H$501,2,FALSE)</f>
        <v>Matthew Hanna</v>
      </c>
      <c r="G627" s="2" t="str">
        <f>_xlfn.XLOOKUP(Table1[[#This Row],[Customer_ID]],Customer_Dim!$A$2:$A$501,Customer_Dim!$E$2:$E$501)</f>
        <v>Gonzalezbury</v>
      </c>
      <c r="H627" t="s">
        <v>456</v>
      </c>
      <c r="I627" t="str">
        <f>VLOOKUP(Table1[[#This Row],[Product_ID]],Product_Dim!$A$2:$G$101,2,FALSE)</f>
        <v>Hair Strengthening Shampoo-Beauty</v>
      </c>
      <c r="J627" t="s">
        <v>1547</v>
      </c>
      <c r="K627" t="str">
        <f>VLOOKUP(Table1[[#This Row],[Store_ID]],Store_Dim!$A$3:$D$22,2,FALSE)</f>
        <v>Benson-Elliott-East</v>
      </c>
      <c r="L627" t="s">
        <v>1740</v>
      </c>
      <c r="M627" t="s">
        <v>3960</v>
      </c>
      <c r="N627" s="3">
        <v>179.64</v>
      </c>
      <c r="O627" s="4">
        <v>0.1</v>
      </c>
      <c r="P627" t="s">
        <v>1774</v>
      </c>
      <c r="Q627" s="4">
        <v>323.35199999999998</v>
      </c>
    </row>
    <row r="628" spans="1:17" x14ac:dyDescent="0.3">
      <c r="A628" t="s">
        <v>2400</v>
      </c>
      <c r="B628" t="str">
        <f t="shared" si="9"/>
        <v>Q3</v>
      </c>
      <c r="C628" t="str">
        <f>TEXT(Table1[[#This Row],[Order_Date]],"mmmm")</f>
        <v>September</v>
      </c>
      <c r="D628">
        <f>YEAR(Table1[[#This Row],[Order_Date]])</f>
        <v>2024</v>
      </c>
      <c r="E628" s="7">
        <v>45545</v>
      </c>
      <c r="F628" s="2" t="str">
        <f>VLOOKUP(Table1[[#This Row],[Customer_ID]],Customer_Dim!$A$2:$H$501,2,FALSE)</f>
        <v>Alexander Byrd</v>
      </c>
      <c r="G628" s="2" t="str">
        <f>_xlfn.XLOOKUP(Table1[[#This Row],[Customer_ID]],Customer_Dim!$A$2:$A$501,Customer_Dim!$E$2:$E$501)</f>
        <v>Parkerview</v>
      </c>
      <c r="H628" t="s">
        <v>1222</v>
      </c>
      <c r="I628" t="str">
        <f>VLOOKUP(Table1[[#This Row],[Product_ID]],Product_Dim!$A$2:$G$101,2,FALSE)</f>
        <v>Laptop Cooling Pad-Electronics</v>
      </c>
      <c r="J628" t="s">
        <v>1647</v>
      </c>
      <c r="K628" t="str">
        <f>VLOOKUP(Table1[[#This Row],[Store_ID]],Store_Dim!$A$3:$D$22,2,FALSE)</f>
        <v>Alexander Group-South</v>
      </c>
      <c r="L628" t="s">
        <v>1735</v>
      </c>
      <c r="M628" t="s">
        <v>3958</v>
      </c>
      <c r="N628" s="3">
        <v>392.65</v>
      </c>
      <c r="O628" s="4">
        <v>0.17</v>
      </c>
      <c r="P628" t="s">
        <v>1774</v>
      </c>
      <c r="Q628" s="4">
        <v>977.69849999999985</v>
      </c>
    </row>
    <row r="629" spans="1:17" x14ac:dyDescent="0.3">
      <c r="A629" t="s">
        <v>2401</v>
      </c>
      <c r="B629" t="str">
        <f t="shared" si="9"/>
        <v>Q3</v>
      </c>
      <c r="C629" t="str">
        <f>TEXT(Table1[[#This Row],[Order_Date]],"mmmm")</f>
        <v>September</v>
      </c>
      <c r="D629">
        <f>YEAR(Table1[[#This Row],[Order_Date]])</f>
        <v>2024</v>
      </c>
      <c r="E629" s="7">
        <v>45547</v>
      </c>
      <c r="F629" s="2" t="str">
        <f>VLOOKUP(Table1[[#This Row],[Customer_ID]],Customer_Dim!$A$2:$H$501,2,FALSE)</f>
        <v>John Bradford</v>
      </c>
      <c r="G629" s="2" t="str">
        <f>_xlfn.XLOOKUP(Table1[[#This Row],[Customer_ID]],Customer_Dim!$A$2:$A$501,Customer_Dim!$E$2:$E$501)</f>
        <v>Anabury</v>
      </c>
      <c r="H629" t="s">
        <v>576</v>
      </c>
      <c r="I629" t="str">
        <f>VLOOKUP(Table1[[#This Row],[Product_ID]],Product_Dim!$A$2:$G$101,2,FALSE)</f>
        <v>Women's High Heels-Clothing</v>
      </c>
      <c r="J629" t="s">
        <v>1705</v>
      </c>
      <c r="K629" t="str">
        <f>VLOOKUP(Table1[[#This Row],[Store_ID]],Store_Dim!$A$3:$D$22,2,FALSE)</f>
        <v>Frederick-Wright-West</v>
      </c>
      <c r="L629" t="s">
        <v>1757</v>
      </c>
      <c r="M629" t="s">
        <v>3959</v>
      </c>
      <c r="N629" s="3">
        <v>969.55</v>
      </c>
      <c r="O629" s="4">
        <v>0.09</v>
      </c>
      <c r="P629" t="s">
        <v>1777</v>
      </c>
      <c r="Q629" s="4">
        <v>3529.1619999999998</v>
      </c>
    </row>
    <row r="630" spans="1:17" x14ac:dyDescent="0.3">
      <c r="A630" t="s">
        <v>2402</v>
      </c>
      <c r="B630" t="str">
        <f t="shared" si="9"/>
        <v>Q2</v>
      </c>
      <c r="C630" t="str">
        <f>TEXT(Table1[[#This Row],[Order_Date]],"mmmm")</f>
        <v>May</v>
      </c>
      <c r="D630">
        <f>YEAR(Table1[[#This Row],[Order_Date]])</f>
        <v>2024</v>
      </c>
      <c r="E630" s="7">
        <v>45433</v>
      </c>
      <c r="F630" s="2" t="str">
        <f>VLOOKUP(Table1[[#This Row],[Customer_ID]],Customer_Dim!$A$2:$H$501,2,FALSE)</f>
        <v>Beth Martin</v>
      </c>
      <c r="G630" s="2" t="str">
        <f>_xlfn.XLOOKUP(Table1[[#This Row],[Customer_ID]],Customer_Dim!$A$2:$A$501,Customer_Dim!$E$2:$E$501)</f>
        <v>Burkefurt</v>
      </c>
      <c r="H630" t="s">
        <v>1409</v>
      </c>
      <c r="I630" t="str">
        <f>VLOOKUP(Table1[[#This Row],[Product_ID]],Product_Dim!$A$2:$G$101,2,FALSE)</f>
        <v>Bluetooth Car Audio System-Electronics</v>
      </c>
      <c r="J630" t="s">
        <v>1671</v>
      </c>
      <c r="K630" t="str">
        <f>VLOOKUP(Table1[[#This Row],[Store_ID]],Store_Dim!$A$3:$D$22,2,FALSE)</f>
        <v>Thomas, Bridges and Harris-North</v>
      </c>
      <c r="L630" t="s">
        <v>1751</v>
      </c>
      <c r="M630" t="s">
        <v>3958</v>
      </c>
      <c r="N630" s="3">
        <v>322.94</v>
      </c>
      <c r="O630" s="4">
        <v>0.01</v>
      </c>
      <c r="P630" t="s">
        <v>1772</v>
      </c>
      <c r="Q630" s="4">
        <v>959.13179999999988</v>
      </c>
    </row>
    <row r="631" spans="1:17" x14ac:dyDescent="0.3">
      <c r="A631" t="s">
        <v>2403</v>
      </c>
      <c r="B631" t="str">
        <f t="shared" si="9"/>
        <v>Q2</v>
      </c>
      <c r="C631" t="str">
        <f>TEXT(Table1[[#This Row],[Order_Date]],"mmmm")</f>
        <v>May</v>
      </c>
      <c r="D631">
        <f>YEAR(Table1[[#This Row],[Order_Date]])</f>
        <v>2025</v>
      </c>
      <c r="E631" s="7">
        <v>45792</v>
      </c>
      <c r="F631" s="2" t="str">
        <f>VLOOKUP(Table1[[#This Row],[Customer_ID]],Customer_Dim!$A$2:$H$501,2,FALSE)</f>
        <v>Joshua Smith Dvm</v>
      </c>
      <c r="G631" s="2" t="str">
        <f>_xlfn.XLOOKUP(Table1[[#This Row],[Customer_ID]],Customer_Dim!$A$2:$A$501,Customer_Dim!$E$2:$E$501)</f>
        <v>Melvinton</v>
      </c>
      <c r="H631" t="s">
        <v>1121</v>
      </c>
      <c r="I631" t="str">
        <f>VLOOKUP(Table1[[#This Row],[Product_ID]],Product_Dim!$A$2:$G$101,2,FALSE)</f>
        <v>Hydrating Face Cleanser-Beauty</v>
      </c>
      <c r="J631" t="s">
        <v>1689</v>
      </c>
      <c r="K631" t="str">
        <f>VLOOKUP(Table1[[#This Row],[Store_ID]],Store_Dim!$A$3:$D$22,2,FALSE)</f>
        <v>Rivera-Warner-East</v>
      </c>
      <c r="L631" t="s">
        <v>1725</v>
      </c>
      <c r="M631" t="s">
        <v>3957</v>
      </c>
      <c r="N631" s="3">
        <v>92.83</v>
      </c>
      <c r="O631" s="4">
        <v>0.26</v>
      </c>
      <c r="P631" t="s">
        <v>1774</v>
      </c>
      <c r="Q631" s="4">
        <v>68.694199999999995</v>
      </c>
    </row>
    <row r="632" spans="1:17" x14ac:dyDescent="0.3">
      <c r="A632" t="s">
        <v>2404</v>
      </c>
      <c r="B632" t="str">
        <f t="shared" si="9"/>
        <v>Q2</v>
      </c>
      <c r="C632" t="str">
        <f>TEXT(Table1[[#This Row],[Order_Date]],"mmmm")</f>
        <v>May</v>
      </c>
      <c r="D632">
        <f>YEAR(Table1[[#This Row],[Order_Date]])</f>
        <v>2025</v>
      </c>
      <c r="E632" s="7">
        <v>45804</v>
      </c>
      <c r="F632" s="2" t="str">
        <f>VLOOKUP(Table1[[#This Row],[Customer_ID]],Customer_Dim!$A$2:$H$501,2,FALSE)</f>
        <v>Dr. Tamara White Md</v>
      </c>
      <c r="G632" s="2" t="str">
        <f>_xlfn.XLOOKUP(Table1[[#This Row],[Customer_ID]],Customer_Dim!$A$2:$A$501,Customer_Dim!$E$2:$E$501)</f>
        <v>New Benjamin</v>
      </c>
      <c r="H632" t="s">
        <v>1290</v>
      </c>
      <c r="I632" t="str">
        <f>VLOOKUP(Table1[[#This Row],[Product_ID]],Product_Dim!$A$2:$G$101,2,FALSE)</f>
        <v>Wireless Bluetooth Earbuds-Electronics</v>
      </c>
      <c r="J632" t="s">
        <v>1539</v>
      </c>
      <c r="K632" t="str">
        <f>VLOOKUP(Table1[[#This Row],[Store_ID]],Store_Dim!$A$3:$D$22,2,FALSE)</f>
        <v>Johnson-Wright-North</v>
      </c>
      <c r="L632" t="s">
        <v>1733</v>
      </c>
      <c r="M632" t="s">
        <v>3959</v>
      </c>
      <c r="N632" s="3">
        <v>432.29</v>
      </c>
      <c r="O632" s="4">
        <v>0.16</v>
      </c>
      <c r="P632" t="s">
        <v>1777</v>
      </c>
      <c r="Q632" s="4">
        <v>1452.4944</v>
      </c>
    </row>
    <row r="633" spans="1:17" x14ac:dyDescent="0.3">
      <c r="A633" t="s">
        <v>2405</v>
      </c>
      <c r="B633" t="str">
        <f t="shared" si="9"/>
        <v>Q1</v>
      </c>
      <c r="C633" t="str">
        <f>TEXT(Table1[[#This Row],[Order_Date]],"mmmm")</f>
        <v>January</v>
      </c>
      <c r="D633">
        <f>YEAR(Table1[[#This Row],[Order_Date]])</f>
        <v>2024</v>
      </c>
      <c r="E633" s="7">
        <v>45311</v>
      </c>
      <c r="F633" s="2" t="str">
        <f>VLOOKUP(Table1[[#This Row],[Customer_ID]],Customer_Dim!$A$2:$H$501,2,FALSE)</f>
        <v>Jennifer Garcia</v>
      </c>
      <c r="G633" s="2" t="str">
        <f>_xlfn.XLOOKUP(Table1[[#This Row],[Customer_ID]],Customer_Dim!$A$2:$A$501,Customer_Dim!$E$2:$E$501)</f>
        <v>New Sean</v>
      </c>
      <c r="H633" t="s">
        <v>289</v>
      </c>
      <c r="I633" t="str">
        <f>VLOOKUP(Table1[[#This Row],[Product_ID]],Product_Dim!$A$2:$G$101,2,FALSE)</f>
        <v>Portable Power Bank-Electronics</v>
      </c>
      <c r="J633" t="s">
        <v>1601</v>
      </c>
      <c r="K633" t="str">
        <f>VLOOKUP(Table1[[#This Row],[Store_ID]],Store_Dim!$A$3:$D$22,2,FALSE)</f>
        <v>Gardner, Humphrey and Contreras-East</v>
      </c>
      <c r="L633" t="s">
        <v>1753</v>
      </c>
      <c r="M633" t="s">
        <v>3960</v>
      </c>
      <c r="N633" s="3">
        <v>925.78</v>
      </c>
      <c r="O633" s="4">
        <v>0.14000000000000001</v>
      </c>
      <c r="P633" t="s">
        <v>1777</v>
      </c>
      <c r="Q633" s="4">
        <v>1592.3416</v>
      </c>
    </row>
    <row r="634" spans="1:17" x14ac:dyDescent="0.3">
      <c r="A634" t="s">
        <v>2406</v>
      </c>
      <c r="B634" t="str">
        <f t="shared" si="9"/>
        <v>Q4</v>
      </c>
      <c r="C634" t="str">
        <f>TEXT(Table1[[#This Row],[Order_Date]],"mmmm")</f>
        <v>November</v>
      </c>
      <c r="D634">
        <f>YEAR(Table1[[#This Row],[Order_Date]])</f>
        <v>2024</v>
      </c>
      <c r="E634" s="7">
        <v>45605</v>
      </c>
      <c r="F634" s="2" t="str">
        <f>VLOOKUP(Table1[[#This Row],[Customer_ID]],Customer_Dim!$A$2:$H$501,2,FALSE)</f>
        <v>Andrea Harris</v>
      </c>
      <c r="G634" s="2" t="str">
        <f>_xlfn.XLOOKUP(Table1[[#This Row],[Customer_ID]],Customer_Dim!$A$2:$A$501,Customer_Dim!$E$2:$E$501)</f>
        <v>West Kelseyberg</v>
      </c>
      <c r="H634" t="s">
        <v>1453</v>
      </c>
      <c r="I634" t="str">
        <f>VLOOKUP(Table1[[#This Row],[Product_ID]],Product_Dim!$A$2:$G$101,2,FALSE)</f>
        <v>Women's Scarf Set-Clothing</v>
      </c>
      <c r="J634" t="s">
        <v>1573</v>
      </c>
      <c r="K634" t="str">
        <f>VLOOKUP(Table1[[#This Row],[Store_ID]],Store_Dim!$A$3:$D$22,2,FALSE)</f>
        <v>Aguirre-Keller-South</v>
      </c>
      <c r="L634" t="s">
        <v>1750</v>
      </c>
      <c r="M634" t="s">
        <v>3960</v>
      </c>
      <c r="N634" s="3">
        <v>151.47</v>
      </c>
      <c r="O634" s="4">
        <v>0.21</v>
      </c>
      <c r="P634" t="s">
        <v>1774</v>
      </c>
      <c r="Q634" s="4">
        <v>239.32259999999999</v>
      </c>
    </row>
    <row r="635" spans="1:17" x14ac:dyDescent="0.3">
      <c r="A635" t="s">
        <v>2407</v>
      </c>
      <c r="B635" t="str">
        <f t="shared" si="9"/>
        <v>Q1</v>
      </c>
      <c r="C635" t="str">
        <f>TEXT(Table1[[#This Row],[Order_Date]],"mmmm")</f>
        <v>February</v>
      </c>
      <c r="D635">
        <f>YEAR(Table1[[#This Row],[Order_Date]])</f>
        <v>2024</v>
      </c>
      <c r="E635" s="7">
        <v>45338</v>
      </c>
      <c r="F635" s="2" t="str">
        <f>VLOOKUP(Table1[[#This Row],[Customer_ID]],Customer_Dim!$A$2:$H$501,2,FALSE)</f>
        <v>William Cortez</v>
      </c>
      <c r="G635" s="2" t="str">
        <f>_xlfn.XLOOKUP(Table1[[#This Row],[Customer_ID]],Customer_Dim!$A$2:$A$501,Customer_Dim!$E$2:$E$501)</f>
        <v>Port Hannahport</v>
      </c>
      <c r="H635" t="s">
        <v>1373</v>
      </c>
      <c r="I635" t="str">
        <f>VLOOKUP(Table1[[#This Row],[Product_ID]],Product_Dim!$A$2:$G$101,2,FALSE)</f>
        <v>Hydrating Face Cleanser-Beauty</v>
      </c>
      <c r="J635" t="s">
        <v>1689</v>
      </c>
      <c r="K635" t="str">
        <f>VLOOKUP(Table1[[#This Row],[Store_ID]],Store_Dim!$A$3:$D$22,2,FALSE)</f>
        <v>Hill, Wagner and Ballard-East</v>
      </c>
      <c r="L635" t="s">
        <v>1748</v>
      </c>
      <c r="M635" t="s">
        <v>3957</v>
      </c>
      <c r="N635" s="3">
        <v>343.05</v>
      </c>
      <c r="O635" s="4">
        <v>0.28000000000000003</v>
      </c>
      <c r="P635" t="s">
        <v>1774</v>
      </c>
      <c r="Q635" s="4">
        <v>246.99600000000001</v>
      </c>
    </row>
    <row r="636" spans="1:17" x14ac:dyDescent="0.3">
      <c r="A636" t="s">
        <v>2408</v>
      </c>
      <c r="B636" t="str">
        <f t="shared" si="9"/>
        <v>Q4</v>
      </c>
      <c r="C636" t="str">
        <f>TEXT(Table1[[#This Row],[Order_Date]],"mmmm")</f>
        <v>December</v>
      </c>
      <c r="D636">
        <f>YEAR(Table1[[#This Row],[Order_Date]])</f>
        <v>2024</v>
      </c>
      <c r="E636" s="7">
        <v>45642</v>
      </c>
      <c r="F636" s="2" t="str">
        <f>VLOOKUP(Table1[[#This Row],[Customer_ID]],Customer_Dim!$A$2:$H$501,2,FALSE)</f>
        <v>Cody Diaz</v>
      </c>
      <c r="G636" s="2" t="str">
        <f>_xlfn.XLOOKUP(Table1[[#This Row],[Customer_ID]],Customer_Dim!$A$2:$A$501,Customer_Dim!$E$2:$E$501)</f>
        <v>South Aaronside</v>
      </c>
      <c r="H636" t="s">
        <v>241</v>
      </c>
      <c r="I636" t="str">
        <f>VLOOKUP(Table1[[#This Row],[Product_ID]],Product_Dim!$A$2:$G$101,2,FALSE)</f>
        <v>Soccer Training Cone Set-Sports</v>
      </c>
      <c r="J636" t="s">
        <v>1557</v>
      </c>
      <c r="K636" t="str">
        <f>VLOOKUP(Table1[[#This Row],[Store_ID]],Store_Dim!$A$3:$D$22,2,FALSE)</f>
        <v>Alexander Group-South</v>
      </c>
      <c r="L636" t="s">
        <v>1735</v>
      </c>
      <c r="M636" t="s">
        <v>3957</v>
      </c>
      <c r="N636" s="3">
        <v>373.06</v>
      </c>
      <c r="O636" s="4">
        <v>0.11</v>
      </c>
      <c r="P636" t="s">
        <v>1774</v>
      </c>
      <c r="Q636" s="4">
        <v>332.02339999999998</v>
      </c>
    </row>
    <row r="637" spans="1:17" x14ac:dyDescent="0.3">
      <c r="A637" t="s">
        <v>2409</v>
      </c>
      <c r="B637" t="str">
        <f t="shared" si="9"/>
        <v>Q1</v>
      </c>
      <c r="C637" t="str">
        <f>TEXT(Table1[[#This Row],[Order_Date]],"mmmm")</f>
        <v>February</v>
      </c>
      <c r="D637">
        <f>YEAR(Table1[[#This Row],[Order_Date]])</f>
        <v>2025</v>
      </c>
      <c r="E637" s="7">
        <v>45693</v>
      </c>
      <c r="F637" s="2" t="str">
        <f>VLOOKUP(Table1[[#This Row],[Customer_ID]],Customer_Dim!$A$2:$H$501,2,FALSE)</f>
        <v>Katrina Perez</v>
      </c>
      <c r="G637" s="2" t="str">
        <f>_xlfn.XLOOKUP(Table1[[#This Row],[Customer_ID]],Customer_Dim!$A$2:$A$501,Customer_Dim!$E$2:$E$501)</f>
        <v>West Rebecca</v>
      </c>
      <c r="H637" t="s">
        <v>1264</v>
      </c>
      <c r="I637" t="str">
        <f>VLOOKUP(Table1[[#This Row],[Product_ID]],Product_Dim!$A$2:$G$101,2,FALSE)</f>
        <v>Women's Denim Jeans-Clothing</v>
      </c>
      <c r="J637" t="s">
        <v>1559</v>
      </c>
      <c r="K637" t="str">
        <f>VLOOKUP(Table1[[#This Row],[Store_ID]],Store_Dim!$A$3:$D$22,2,FALSE)</f>
        <v>Shelton PLC-North</v>
      </c>
      <c r="L637" t="s">
        <v>1755</v>
      </c>
      <c r="M637" t="s">
        <v>3957</v>
      </c>
      <c r="N637" s="3">
        <v>124.98</v>
      </c>
      <c r="O637" s="4">
        <v>7.0000000000000007E-2</v>
      </c>
      <c r="P637" t="s">
        <v>1777</v>
      </c>
      <c r="Q637" s="4">
        <v>116.23139999999999</v>
      </c>
    </row>
    <row r="638" spans="1:17" x14ac:dyDescent="0.3">
      <c r="A638" t="s">
        <v>2410</v>
      </c>
      <c r="B638" t="str">
        <f t="shared" si="9"/>
        <v>Q2</v>
      </c>
      <c r="C638" t="str">
        <f>TEXT(Table1[[#This Row],[Order_Date]],"mmmm")</f>
        <v>April</v>
      </c>
      <c r="D638">
        <f>YEAR(Table1[[#This Row],[Order_Date]])</f>
        <v>2025</v>
      </c>
      <c r="E638" s="7">
        <v>45763</v>
      </c>
      <c r="F638" s="2" t="str">
        <f>VLOOKUP(Table1[[#This Row],[Customer_ID]],Customer_Dim!$A$2:$H$501,2,FALSE)</f>
        <v>Adam Rowland</v>
      </c>
      <c r="G638" s="2" t="str">
        <f>_xlfn.XLOOKUP(Table1[[#This Row],[Customer_ID]],Customer_Dim!$A$2:$A$501,Customer_Dim!$E$2:$E$501)</f>
        <v>Welchview</v>
      </c>
      <c r="H638" t="s">
        <v>858</v>
      </c>
      <c r="I638" t="str">
        <f>VLOOKUP(Table1[[#This Row],[Product_ID]],Product_Dim!$A$2:$G$101,2,FALSE)</f>
        <v>Shin Guards – Adult-Sports</v>
      </c>
      <c r="J638" t="s">
        <v>1669</v>
      </c>
      <c r="K638" t="str">
        <f>VLOOKUP(Table1[[#This Row],[Store_ID]],Store_Dim!$A$3:$D$22,2,FALSE)</f>
        <v>Mann-Austin-East</v>
      </c>
      <c r="L638" t="s">
        <v>1763</v>
      </c>
      <c r="M638" t="s">
        <v>3959</v>
      </c>
      <c r="N638" s="3">
        <v>221.49</v>
      </c>
      <c r="O638" s="4">
        <v>0.26</v>
      </c>
      <c r="P638" t="s">
        <v>1774</v>
      </c>
      <c r="Q638" s="4">
        <v>655.61040000000003</v>
      </c>
    </row>
    <row r="639" spans="1:17" x14ac:dyDescent="0.3">
      <c r="A639" t="s">
        <v>2411</v>
      </c>
      <c r="B639" t="str">
        <f t="shared" si="9"/>
        <v>Q4</v>
      </c>
      <c r="C639" t="str">
        <f>TEXT(Table1[[#This Row],[Order_Date]],"mmmm")</f>
        <v>October</v>
      </c>
      <c r="D639">
        <f>YEAR(Table1[[#This Row],[Order_Date]])</f>
        <v>2024</v>
      </c>
      <c r="E639" s="7">
        <v>45572</v>
      </c>
      <c r="F639" s="2" t="str">
        <f>VLOOKUP(Table1[[#This Row],[Customer_ID]],Customer_Dim!$A$2:$H$501,2,FALSE)</f>
        <v>Christopher Garcia Dds</v>
      </c>
      <c r="G639" s="2" t="str">
        <f>_xlfn.XLOOKUP(Table1[[#This Row],[Customer_ID]],Customer_Dim!$A$2:$A$501,Customer_Dim!$E$2:$E$501)</f>
        <v>New Joseph</v>
      </c>
      <c r="H639" t="s">
        <v>560</v>
      </c>
      <c r="I639" t="str">
        <f>VLOOKUP(Table1[[#This Row],[Product_ID]],Product_Dim!$A$2:$G$101,2,FALSE)</f>
        <v>Men's Formal Shirt-Clothing</v>
      </c>
      <c r="J639" t="s">
        <v>1569</v>
      </c>
      <c r="K639" t="str">
        <f>VLOOKUP(Table1[[#This Row],[Store_ID]],Store_Dim!$A$3:$D$22,2,FALSE)</f>
        <v>Shelton PLC-North</v>
      </c>
      <c r="L639" t="s">
        <v>1755</v>
      </c>
      <c r="M639" t="s">
        <v>3957</v>
      </c>
      <c r="N639" s="3">
        <v>563.32000000000005</v>
      </c>
      <c r="O639" s="4">
        <v>0.01</v>
      </c>
      <c r="P639" t="s">
        <v>1774</v>
      </c>
      <c r="Q639" s="4">
        <v>557.68680000000006</v>
      </c>
    </row>
    <row r="640" spans="1:17" x14ac:dyDescent="0.3">
      <c r="A640" t="s">
        <v>2412</v>
      </c>
      <c r="B640" t="str">
        <f t="shared" si="9"/>
        <v>Q1</v>
      </c>
      <c r="C640" t="str">
        <f>TEXT(Table1[[#This Row],[Order_Date]],"mmmm")</f>
        <v>February</v>
      </c>
      <c r="D640">
        <f>YEAR(Table1[[#This Row],[Order_Date]])</f>
        <v>2024</v>
      </c>
      <c r="E640" s="7">
        <v>45338</v>
      </c>
      <c r="F640" s="2" t="str">
        <f>VLOOKUP(Table1[[#This Row],[Customer_ID]],Customer_Dim!$A$2:$H$501,2,FALSE)</f>
        <v>Daniel Bell</v>
      </c>
      <c r="G640" s="2" t="str">
        <f>_xlfn.XLOOKUP(Table1[[#This Row],[Customer_ID]],Customer_Dim!$A$2:$A$501,Customer_Dim!$E$2:$E$501)</f>
        <v>Deniseberg</v>
      </c>
      <c r="H640" t="s">
        <v>1204</v>
      </c>
      <c r="I640" t="str">
        <f>VLOOKUP(Table1[[#This Row],[Product_ID]],Product_Dim!$A$2:$G$101,2,FALSE)</f>
        <v>HD Smart TV Stick-Electronics</v>
      </c>
      <c r="J640" t="s">
        <v>1545</v>
      </c>
      <c r="K640" t="str">
        <f>VLOOKUP(Table1[[#This Row],[Store_ID]],Store_Dim!$A$3:$D$22,2,FALSE)</f>
        <v>Rivera-Warner-East</v>
      </c>
      <c r="L640" t="s">
        <v>1725</v>
      </c>
      <c r="M640" t="s">
        <v>3957</v>
      </c>
      <c r="N640" s="3">
        <v>362.93</v>
      </c>
      <c r="O640" s="4">
        <v>0.27</v>
      </c>
      <c r="P640" t="s">
        <v>1772</v>
      </c>
      <c r="Q640" s="4">
        <v>264.93889999999999</v>
      </c>
    </row>
    <row r="641" spans="1:17" x14ac:dyDescent="0.3">
      <c r="A641" t="s">
        <v>2413</v>
      </c>
      <c r="B641" t="str">
        <f t="shared" si="9"/>
        <v>Q1</v>
      </c>
      <c r="C641" t="str">
        <f>TEXT(Table1[[#This Row],[Order_Date]],"mmmm")</f>
        <v>March</v>
      </c>
      <c r="D641">
        <f>YEAR(Table1[[#This Row],[Order_Date]])</f>
        <v>2024</v>
      </c>
      <c r="E641" s="7">
        <v>45373</v>
      </c>
      <c r="F641" s="2" t="str">
        <f>VLOOKUP(Table1[[#This Row],[Customer_ID]],Customer_Dim!$A$2:$H$501,2,FALSE)</f>
        <v>John Jones</v>
      </c>
      <c r="G641" s="2" t="str">
        <f>_xlfn.XLOOKUP(Table1[[#This Row],[Customer_ID]],Customer_Dim!$A$2:$A$501,Customer_Dim!$E$2:$E$501)</f>
        <v>North Michaelborough</v>
      </c>
      <c r="H641" t="s">
        <v>1045</v>
      </c>
      <c r="I641" t="str">
        <f>VLOOKUP(Table1[[#This Row],[Product_ID]],Product_Dim!$A$2:$G$101,2,FALSE)</f>
        <v>HD Smart TV Stick-Electronics</v>
      </c>
      <c r="J641" t="s">
        <v>1545</v>
      </c>
      <c r="K641" t="str">
        <f>VLOOKUP(Table1[[#This Row],[Store_ID]],Store_Dim!$A$3:$D$22,2,FALSE)</f>
        <v>Shelton PLC-North</v>
      </c>
      <c r="L641" t="s">
        <v>1755</v>
      </c>
      <c r="M641" t="s">
        <v>3959</v>
      </c>
      <c r="N641" s="3">
        <v>369.22</v>
      </c>
      <c r="O641" s="4">
        <v>0.18</v>
      </c>
      <c r="P641" t="s">
        <v>1777</v>
      </c>
      <c r="Q641" s="4">
        <v>1211.0416</v>
      </c>
    </row>
    <row r="642" spans="1:17" x14ac:dyDescent="0.3">
      <c r="A642" t="s">
        <v>2414</v>
      </c>
      <c r="B642" t="str">
        <f t="shared" ref="B642:B705" si="10">"Q" &amp;ROUNDUP(MONTH(E642)/3,0)</f>
        <v>Q4</v>
      </c>
      <c r="C642" t="str">
        <f>TEXT(Table1[[#This Row],[Order_Date]],"mmmm")</f>
        <v>October</v>
      </c>
      <c r="D642">
        <f>YEAR(Table1[[#This Row],[Order_Date]])</f>
        <v>2024</v>
      </c>
      <c r="E642" s="7">
        <v>45590</v>
      </c>
      <c r="F642" s="2" t="str">
        <f>VLOOKUP(Table1[[#This Row],[Customer_ID]],Customer_Dim!$A$2:$H$501,2,FALSE)</f>
        <v>Jackie Thompson</v>
      </c>
      <c r="G642" s="2" t="str">
        <f>_xlfn.XLOOKUP(Table1[[#This Row],[Customer_ID]],Customer_Dim!$A$2:$A$501,Customer_Dim!$E$2:$E$501)</f>
        <v>South Edwin</v>
      </c>
      <c r="H642" t="s">
        <v>1261</v>
      </c>
      <c r="I642" t="str">
        <f>VLOOKUP(Table1[[#This Row],[Product_ID]],Product_Dim!$A$2:$G$101,2,FALSE)</f>
        <v>Women's Formal Blazer-Clothing</v>
      </c>
      <c r="J642" t="s">
        <v>1715</v>
      </c>
      <c r="K642" t="str">
        <f>VLOOKUP(Table1[[#This Row],[Store_ID]],Store_Dim!$A$3:$D$22,2,FALSE)</f>
        <v>Mcdonald Inc-South</v>
      </c>
      <c r="L642" t="s">
        <v>1754</v>
      </c>
      <c r="M642" t="s">
        <v>3958</v>
      </c>
      <c r="N642" s="3">
        <v>950.83</v>
      </c>
      <c r="O642" s="4">
        <v>0.06</v>
      </c>
      <c r="P642" t="s">
        <v>1774</v>
      </c>
      <c r="Q642" s="4">
        <v>2681.3406</v>
      </c>
    </row>
    <row r="643" spans="1:17" x14ac:dyDescent="0.3">
      <c r="A643" t="s">
        <v>2415</v>
      </c>
      <c r="B643" t="str">
        <f t="shared" si="10"/>
        <v>Q1</v>
      </c>
      <c r="C643" t="str">
        <f>TEXT(Table1[[#This Row],[Order_Date]],"mmmm")</f>
        <v>March</v>
      </c>
      <c r="D643">
        <f>YEAR(Table1[[#This Row],[Order_Date]])</f>
        <v>2024</v>
      </c>
      <c r="E643" s="7">
        <v>45365</v>
      </c>
      <c r="F643" s="2" t="str">
        <f>VLOOKUP(Table1[[#This Row],[Customer_ID]],Customer_Dim!$A$2:$H$501,2,FALSE)</f>
        <v>Carlos Skinner</v>
      </c>
      <c r="G643" s="2" t="str">
        <f>_xlfn.XLOOKUP(Table1[[#This Row],[Customer_ID]],Customer_Dim!$A$2:$A$501,Customer_Dim!$E$2:$E$501)</f>
        <v>Dwaynemouth</v>
      </c>
      <c r="H643" t="s">
        <v>479</v>
      </c>
      <c r="I643" t="str">
        <f>VLOOKUP(Table1[[#This Row],[Product_ID]],Product_Dim!$A$2:$G$101,2,FALSE)</f>
        <v>Men's Casual Sneakers-Clothing</v>
      </c>
      <c r="J643" t="s">
        <v>1597</v>
      </c>
      <c r="K643" t="str">
        <f>VLOOKUP(Table1[[#This Row],[Store_ID]],Store_Dim!$A$3:$D$22,2,FALSE)</f>
        <v>Gardner, Humphrey and Contreras-East</v>
      </c>
      <c r="L643" t="s">
        <v>1753</v>
      </c>
      <c r="M643" t="s">
        <v>3958</v>
      </c>
      <c r="N643" s="3">
        <v>338.79</v>
      </c>
      <c r="O643" s="4">
        <v>0.01</v>
      </c>
      <c r="P643" t="s">
        <v>1772</v>
      </c>
      <c r="Q643" s="4">
        <v>1006.2063000000001</v>
      </c>
    </row>
    <row r="644" spans="1:17" x14ac:dyDescent="0.3">
      <c r="A644" t="s">
        <v>2416</v>
      </c>
      <c r="B644" t="str">
        <f t="shared" si="10"/>
        <v>Q1</v>
      </c>
      <c r="C644" t="str">
        <f>TEXT(Table1[[#This Row],[Order_Date]],"mmmm")</f>
        <v>February</v>
      </c>
      <c r="D644">
        <f>YEAR(Table1[[#This Row],[Order_Date]])</f>
        <v>2025</v>
      </c>
      <c r="E644" s="7">
        <v>45711</v>
      </c>
      <c r="F644" s="2" t="str">
        <f>VLOOKUP(Table1[[#This Row],[Customer_ID]],Customer_Dim!$A$2:$H$501,2,FALSE)</f>
        <v>Edward Rivera</v>
      </c>
      <c r="G644" s="2" t="str">
        <f>_xlfn.XLOOKUP(Table1[[#This Row],[Customer_ID]],Customer_Dim!$A$2:$A$501,Customer_Dim!$E$2:$E$501)</f>
        <v>Chungmouth</v>
      </c>
      <c r="H644" t="s">
        <v>488</v>
      </c>
      <c r="I644" t="str">
        <f>VLOOKUP(Table1[[#This Row],[Product_ID]],Product_Dim!$A$2:$G$101,2,FALSE)</f>
        <v>Gaming Mouse Pad XL-Electronics</v>
      </c>
      <c r="J644" t="s">
        <v>1703</v>
      </c>
      <c r="K644" t="str">
        <f>VLOOKUP(Table1[[#This Row],[Store_ID]],Store_Dim!$A$3:$D$22,2,FALSE)</f>
        <v>Martinez, Adkins and Johnson-North</v>
      </c>
      <c r="L644" t="s">
        <v>1728</v>
      </c>
      <c r="M644" t="s">
        <v>3958</v>
      </c>
      <c r="N644" s="3">
        <v>853.32</v>
      </c>
      <c r="O644" s="4">
        <v>7.0000000000000007E-2</v>
      </c>
      <c r="P644" t="s">
        <v>1777</v>
      </c>
      <c r="Q644" s="4">
        <v>2380.7628</v>
      </c>
    </row>
    <row r="645" spans="1:17" x14ac:dyDescent="0.3">
      <c r="A645" t="s">
        <v>2417</v>
      </c>
      <c r="B645" t="str">
        <f t="shared" si="10"/>
        <v>Q4</v>
      </c>
      <c r="C645" t="str">
        <f>TEXT(Table1[[#This Row],[Order_Date]],"mmmm")</f>
        <v>October</v>
      </c>
      <c r="D645">
        <f>YEAR(Table1[[#This Row],[Order_Date]])</f>
        <v>2024</v>
      </c>
      <c r="E645" s="7">
        <v>45586</v>
      </c>
      <c r="F645" s="2" t="str">
        <f>VLOOKUP(Table1[[#This Row],[Customer_ID]],Customer_Dim!$A$2:$H$501,2,FALSE)</f>
        <v>Denise Griffin</v>
      </c>
      <c r="G645" s="2" t="str">
        <f>_xlfn.XLOOKUP(Table1[[#This Row],[Customer_ID]],Customer_Dim!$A$2:$A$501,Customer_Dim!$E$2:$E$501)</f>
        <v>West Markhaven</v>
      </c>
      <c r="H645" t="s">
        <v>497</v>
      </c>
      <c r="I645" t="str">
        <f>VLOOKUP(Table1[[#This Row],[Product_ID]],Product_Dim!$A$2:$G$101,2,FALSE)</f>
        <v>Wireless Mouse-Electronics</v>
      </c>
      <c r="J645" t="s">
        <v>1675</v>
      </c>
      <c r="K645" t="str">
        <f>VLOOKUP(Table1[[#This Row],[Store_ID]],Store_Dim!$A$3:$D$22,2,FALSE)</f>
        <v>Benson-Elliott-East</v>
      </c>
      <c r="L645" t="s">
        <v>1740</v>
      </c>
      <c r="M645" t="s">
        <v>3958</v>
      </c>
      <c r="N645" s="3">
        <v>89.78</v>
      </c>
      <c r="O645" s="4">
        <v>0.2</v>
      </c>
      <c r="P645" t="s">
        <v>1777</v>
      </c>
      <c r="Q645" s="4">
        <v>215.47200000000001</v>
      </c>
    </row>
    <row r="646" spans="1:17" x14ac:dyDescent="0.3">
      <c r="A646" t="s">
        <v>2418</v>
      </c>
      <c r="B646" t="str">
        <f t="shared" si="10"/>
        <v>Q1</v>
      </c>
      <c r="C646" t="str">
        <f>TEXT(Table1[[#This Row],[Order_Date]],"mmmm")</f>
        <v>February</v>
      </c>
      <c r="D646">
        <f>YEAR(Table1[[#This Row],[Order_Date]])</f>
        <v>2024</v>
      </c>
      <c r="E646" s="7">
        <v>45334</v>
      </c>
      <c r="F646" s="2" t="str">
        <f>VLOOKUP(Table1[[#This Row],[Customer_ID]],Customer_Dim!$A$2:$H$501,2,FALSE)</f>
        <v>Todd Poole</v>
      </c>
      <c r="G646" s="2" t="str">
        <f>_xlfn.XLOOKUP(Table1[[#This Row],[Customer_ID]],Customer_Dim!$A$2:$A$501,Customer_Dim!$E$2:$E$501)</f>
        <v>Johnsonshire</v>
      </c>
      <c r="H646" t="s">
        <v>622</v>
      </c>
      <c r="I646" t="str">
        <f>VLOOKUP(Table1[[#This Row],[Product_ID]],Product_Dim!$A$2:$G$101,2,FALSE)</f>
        <v>Ceramic Plant Pot-Home</v>
      </c>
      <c r="J646" t="s">
        <v>1633</v>
      </c>
      <c r="K646" t="str">
        <f>VLOOKUP(Table1[[#This Row],[Store_ID]],Store_Dim!$A$3:$D$22,2,FALSE)</f>
        <v>Martinez, Adkins and Johnson-North</v>
      </c>
      <c r="L646" t="s">
        <v>1728</v>
      </c>
      <c r="M646" t="s">
        <v>3957</v>
      </c>
      <c r="N646" s="3">
        <v>172.04</v>
      </c>
      <c r="O646" s="4">
        <v>0.04</v>
      </c>
      <c r="P646" t="s">
        <v>1774</v>
      </c>
      <c r="Q646" s="4">
        <v>165.1584</v>
      </c>
    </row>
    <row r="647" spans="1:17" x14ac:dyDescent="0.3">
      <c r="A647" t="s">
        <v>2419</v>
      </c>
      <c r="B647" t="str">
        <f t="shared" si="10"/>
        <v>Q1</v>
      </c>
      <c r="C647" t="str">
        <f>TEXT(Table1[[#This Row],[Order_Date]],"mmmm")</f>
        <v>February</v>
      </c>
      <c r="D647">
        <f>YEAR(Table1[[#This Row],[Order_Date]])</f>
        <v>2024</v>
      </c>
      <c r="E647" s="7">
        <v>45333</v>
      </c>
      <c r="F647" s="2" t="str">
        <f>VLOOKUP(Table1[[#This Row],[Customer_ID]],Customer_Dim!$A$2:$H$501,2,FALSE)</f>
        <v>Michael Foley</v>
      </c>
      <c r="G647" s="2" t="str">
        <f>_xlfn.XLOOKUP(Table1[[#This Row],[Customer_ID]],Customer_Dim!$A$2:$A$501,Customer_Dim!$E$2:$E$501)</f>
        <v>Oneillfurt</v>
      </c>
      <c r="H647" t="s">
        <v>1424</v>
      </c>
      <c r="I647" t="str">
        <f>VLOOKUP(Table1[[#This Row],[Product_ID]],Product_Dim!$A$2:$G$101,2,FALSE)</f>
        <v>Sports Stopwatch Pro-Sports</v>
      </c>
      <c r="J647" t="s">
        <v>1631</v>
      </c>
      <c r="K647" t="str">
        <f>VLOOKUP(Table1[[#This Row],[Store_ID]],Store_Dim!$A$3:$D$22,2,FALSE)</f>
        <v>Martinez, Adkins and Johnson-North</v>
      </c>
      <c r="L647" t="s">
        <v>1728</v>
      </c>
      <c r="M647" t="s">
        <v>3957</v>
      </c>
      <c r="N647" s="3">
        <v>389.2</v>
      </c>
      <c r="O647" s="4">
        <v>0.05</v>
      </c>
      <c r="P647" t="s">
        <v>1772</v>
      </c>
      <c r="Q647" s="4">
        <v>369.74</v>
      </c>
    </row>
    <row r="648" spans="1:17" x14ac:dyDescent="0.3">
      <c r="A648" t="s">
        <v>2420</v>
      </c>
      <c r="B648" t="str">
        <f t="shared" si="10"/>
        <v>Q2</v>
      </c>
      <c r="C648" t="str">
        <f>TEXT(Table1[[#This Row],[Order_Date]],"mmmm")</f>
        <v>May</v>
      </c>
      <c r="D648">
        <f>YEAR(Table1[[#This Row],[Order_Date]])</f>
        <v>2025</v>
      </c>
      <c r="E648" s="7">
        <v>45778</v>
      </c>
      <c r="F648" s="2" t="str">
        <f>VLOOKUP(Table1[[#This Row],[Customer_ID]],Customer_Dim!$A$2:$H$501,2,FALSE)</f>
        <v>Paul Cox</v>
      </c>
      <c r="G648" s="2" t="str">
        <f>_xlfn.XLOOKUP(Table1[[#This Row],[Customer_ID]],Customer_Dim!$A$2:$A$501,Customer_Dim!$E$2:$E$501)</f>
        <v>East Julie</v>
      </c>
      <c r="H648" t="s">
        <v>1406</v>
      </c>
      <c r="I648" t="str">
        <f>VLOOKUP(Table1[[#This Row],[Product_ID]],Product_Dim!$A$2:$G$101,2,FALSE)</f>
        <v>WiFi Mesh Router-Electronics</v>
      </c>
      <c r="J648" t="s">
        <v>1677</v>
      </c>
      <c r="K648" t="str">
        <f>VLOOKUP(Table1[[#This Row],[Store_ID]],Store_Dim!$A$3:$D$22,2,FALSE)</f>
        <v>Gardner, Humphrey and Contreras-East</v>
      </c>
      <c r="L648" t="s">
        <v>1753</v>
      </c>
      <c r="M648" t="s">
        <v>3958</v>
      </c>
      <c r="N648" s="3">
        <v>865.96</v>
      </c>
      <c r="O648" s="4">
        <v>0.12</v>
      </c>
      <c r="P648" t="s">
        <v>1774</v>
      </c>
      <c r="Q648" s="4">
        <v>2286.1343999999999</v>
      </c>
    </row>
    <row r="649" spans="1:17" x14ac:dyDescent="0.3">
      <c r="A649" t="s">
        <v>2421</v>
      </c>
      <c r="B649" t="str">
        <f t="shared" si="10"/>
        <v>Q4</v>
      </c>
      <c r="C649" t="str">
        <f>TEXT(Table1[[#This Row],[Order_Date]],"mmmm")</f>
        <v>October</v>
      </c>
      <c r="D649">
        <f>YEAR(Table1[[#This Row],[Order_Date]])</f>
        <v>2024</v>
      </c>
      <c r="E649" s="7">
        <v>45592</v>
      </c>
      <c r="F649" s="2" t="str">
        <f>VLOOKUP(Table1[[#This Row],[Customer_ID]],Customer_Dim!$A$2:$H$501,2,FALSE)</f>
        <v>Steve Mclaughlin</v>
      </c>
      <c r="G649" s="2" t="str">
        <f>_xlfn.XLOOKUP(Table1[[#This Row],[Customer_ID]],Customer_Dim!$A$2:$A$501,Customer_Dim!$E$2:$E$501)</f>
        <v>Josephmouth</v>
      </c>
      <c r="H649" t="s">
        <v>557</v>
      </c>
      <c r="I649" t="str">
        <f>VLOOKUP(Table1[[#This Row],[Product_ID]],Product_Dim!$A$2:$G$101,2,FALSE)</f>
        <v>Knee Support Brace-Sports</v>
      </c>
      <c r="J649" t="s">
        <v>1561</v>
      </c>
      <c r="K649" t="str">
        <f>VLOOKUP(Table1[[#This Row],[Store_ID]],Store_Dim!$A$3:$D$22,2,FALSE)</f>
        <v>Martinez, Adkins and Johnson-North</v>
      </c>
      <c r="L649" t="s">
        <v>1728</v>
      </c>
      <c r="M649" t="s">
        <v>3958</v>
      </c>
      <c r="N649" s="3">
        <v>79.95</v>
      </c>
      <c r="O649" s="4">
        <v>0.2</v>
      </c>
      <c r="P649" t="s">
        <v>1777</v>
      </c>
      <c r="Q649" s="4">
        <v>191.88</v>
      </c>
    </row>
    <row r="650" spans="1:17" x14ac:dyDescent="0.3">
      <c r="A650" t="s">
        <v>2422</v>
      </c>
      <c r="B650" t="str">
        <f t="shared" si="10"/>
        <v>Q4</v>
      </c>
      <c r="C650" t="str">
        <f>TEXT(Table1[[#This Row],[Order_Date]],"mmmm")</f>
        <v>November</v>
      </c>
      <c r="D650">
        <f>YEAR(Table1[[#This Row],[Order_Date]])</f>
        <v>2023</v>
      </c>
      <c r="E650" s="7">
        <v>45259</v>
      </c>
      <c r="F650" s="2" t="str">
        <f>VLOOKUP(Table1[[#This Row],[Customer_ID]],Customer_Dim!$A$2:$H$501,2,FALSE)</f>
        <v>Erika Padilla</v>
      </c>
      <c r="G650" s="2" t="str">
        <f>_xlfn.XLOOKUP(Table1[[#This Row],[Customer_ID]],Customer_Dim!$A$2:$A$501,Customer_Dim!$E$2:$E$501)</f>
        <v>Andrewsland</v>
      </c>
      <c r="H650" t="s">
        <v>1177</v>
      </c>
      <c r="I650" t="str">
        <f>VLOOKUP(Table1[[#This Row],[Product_ID]],Product_Dim!$A$2:$G$101,2,FALSE)</f>
        <v>Wireless Bluetooth Speaker-Electronics</v>
      </c>
      <c r="J650" t="s">
        <v>1575</v>
      </c>
      <c r="K650" t="str">
        <f>VLOOKUP(Table1[[#This Row],[Store_ID]],Store_Dim!$A$3:$D$22,2,FALSE)</f>
        <v>Martinez-Mullins-South</v>
      </c>
      <c r="L650" t="s">
        <v>1742</v>
      </c>
      <c r="M650" t="s">
        <v>3957</v>
      </c>
      <c r="N650" s="3">
        <v>566.5</v>
      </c>
      <c r="O650" s="4">
        <v>0.25</v>
      </c>
      <c r="P650" t="s">
        <v>1777</v>
      </c>
      <c r="Q650" s="4">
        <v>424.875</v>
      </c>
    </row>
    <row r="651" spans="1:17" x14ac:dyDescent="0.3">
      <c r="A651" t="s">
        <v>2423</v>
      </c>
      <c r="B651" t="str">
        <f t="shared" si="10"/>
        <v>Q2</v>
      </c>
      <c r="C651" t="str">
        <f>TEXT(Table1[[#This Row],[Order_Date]],"mmmm")</f>
        <v>May</v>
      </c>
      <c r="D651">
        <f>YEAR(Table1[[#This Row],[Order_Date]])</f>
        <v>2025</v>
      </c>
      <c r="E651" s="7">
        <v>45801</v>
      </c>
      <c r="F651" s="2" t="str">
        <f>VLOOKUP(Table1[[#This Row],[Customer_ID]],Customer_Dim!$A$2:$H$501,2,FALSE)</f>
        <v>Cassandra Perez</v>
      </c>
      <c r="G651" s="2" t="str">
        <f>_xlfn.XLOOKUP(Table1[[#This Row],[Customer_ID]],Customer_Dim!$A$2:$A$501,Customer_Dim!$E$2:$E$501)</f>
        <v>Brandonville</v>
      </c>
      <c r="H651" t="s">
        <v>1238</v>
      </c>
      <c r="I651" t="str">
        <f>VLOOKUP(Table1[[#This Row],[Product_ID]],Product_Dim!$A$2:$G$101,2,FALSE)</f>
        <v>Multi-Purpose Storage Box-Home</v>
      </c>
      <c r="J651" t="s">
        <v>1565</v>
      </c>
      <c r="K651" t="str">
        <f>VLOOKUP(Table1[[#This Row],[Store_ID]],Store_Dim!$A$3:$D$22,2,FALSE)</f>
        <v>Rivera-Warner-East</v>
      </c>
      <c r="L651" t="s">
        <v>1725</v>
      </c>
      <c r="M651" t="s">
        <v>3960</v>
      </c>
      <c r="N651" s="3">
        <v>347.95</v>
      </c>
      <c r="O651" s="4">
        <v>0.13</v>
      </c>
      <c r="P651" t="s">
        <v>1777</v>
      </c>
      <c r="Q651" s="4">
        <v>605.43299999999999</v>
      </c>
    </row>
    <row r="652" spans="1:17" x14ac:dyDescent="0.3">
      <c r="A652" t="s">
        <v>2424</v>
      </c>
      <c r="B652" t="str">
        <f t="shared" si="10"/>
        <v>Q1</v>
      </c>
      <c r="C652" t="str">
        <f>TEXT(Table1[[#This Row],[Order_Date]],"mmmm")</f>
        <v>February</v>
      </c>
      <c r="D652">
        <f>YEAR(Table1[[#This Row],[Order_Date]])</f>
        <v>2024</v>
      </c>
      <c r="E652" s="7">
        <v>45347</v>
      </c>
      <c r="F652" s="2" t="str">
        <f>VLOOKUP(Table1[[#This Row],[Customer_ID]],Customer_Dim!$A$2:$H$501,2,FALSE)</f>
        <v>Joan Johnson</v>
      </c>
      <c r="G652" s="2" t="str">
        <f>_xlfn.XLOOKUP(Table1[[#This Row],[Customer_ID]],Customer_Dim!$A$2:$A$501,Customer_Dim!$E$2:$E$501)</f>
        <v>Lake Josephport</v>
      </c>
      <c r="H652" t="s">
        <v>675</v>
      </c>
      <c r="I652" t="str">
        <f>VLOOKUP(Table1[[#This Row],[Product_ID]],Product_Dim!$A$2:$G$101,2,FALSE)</f>
        <v>Womens Cotton Scarf-Clothing</v>
      </c>
      <c r="J652" t="s">
        <v>1639</v>
      </c>
      <c r="K652" t="str">
        <f>VLOOKUP(Table1[[#This Row],[Store_ID]],Store_Dim!$A$3:$D$22,2,FALSE)</f>
        <v>Johnson-Wright-North</v>
      </c>
      <c r="L652" t="s">
        <v>1733</v>
      </c>
      <c r="M652" t="s">
        <v>3960</v>
      </c>
      <c r="N652" s="3">
        <v>250.83</v>
      </c>
      <c r="O652" s="4">
        <v>0.15</v>
      </c>
      <c r="P652" t="s">
        <v>1774</v>
      </c>
      <c r="Q652" s="4">
        <v>426.411</v>
      </c>
    </row>
    <row r="653" spans="1:17" x14ac:dyDescent="0.3">
      <c r="A653" t="s">
        <v>2425</v>
      </c>
      <c r="B653" t="str">
        <f t="shared" si="10"/>
        <v>Q1</v>
      </c>
      <c r="C653" t="str">
        <f>TEXT(Table1[[#This Row],[Order_Date]],"mmmm")</f>
        <v>March</v>
      </c>
      <c r="D653">
        <f>YEAR(Table1[[#This Row],[Order_Date]])</f>
        <v>2025</v>
      </c>
      <c r="E653" s="7">
        <v>45721</v>
      </c>
      <c r="F653" s="2" t="str">
        <f>VLOOKUP(Table1[[#This Row],[Customer_ID]],Customer_Dim!$A$2:$H$501,2,FALSE)</f>
        <v>Denise Griffin</v>
      </c>
      <c r="G653" s="2" t="str">
        <f>_xlfn.XLOOKUP(Table1[[#This Row],[Customer_ID]],Customer_Dim!$A$2:$A$501,Customer_Dim!$E$2:$E$501)</f>
        <v>West Markhaven</v>
      </c>
      <c r="H653" t="s">
        <v>497</v>
      </c>
      <c r="I653" t="str">
        <f>VLOOKUP(Table1[[#This Row],[Product_ID]],Product_Dim!$A$2:$G$101,2,FALSE)</f>
        <v>Hair Repair Oil Treatment-Beauty</v>
      </c>
      <c r="J653" t="s">
        <v>1665</v>
      </c>
      <c r="K653" t="str">
        <f>VLOOKUP(Table1[[#This Row],[Store_ID]],Store_Dim!$A$3:$D$22,2,FALSE)</f>
        <v>Martinez, Adkins and Johnson-North</v>
      </c>
      <c r="L653" t="s">
        <v>1728</v>
      </c>
      <c r="M653" t="s">
        <v>3957</v>
      </c>
      <c r="N653" s="3">
        <v>888.05</v>
      </c>
      <c r="O653" s="4">
        <v>0.2</v>
      </c>
      <c r="P653" t="s">
        <v>1774</v>
      </c>
      <c r="Q653" s="4">
        <v>710.44</v>
      </c>
    </row>
    <row r="654" spans="1:17" x14ac:dyDescent="0.3">
      <c r="A654" t="s">
        <v>2426</v>
      </c>
      <c r="B654" t="str">
        <f t="shared" si="10"/>
        <v>Q3</v>
      </c>
      <c r="C654" t="str">
        <f>TEXT(Table1[[#This Row],[Order_Date]],"mmmm")</f>
        <v>August</v>
      </c>
      <c r="D654">
        <f>YEAR(Table1[[#This Row],[Order_Date]])</f>
        <v>2024</v>
      </c>
      <c r="E654" s="7">
        <v>45531</v>
      </c>
      <c r="F654" s="2" t="str">
        <f>VLOOKUP(Table1[[#This Row],[Customer_ID]],Customer_Dim!$A$2:$H$501,2,FALSE)</f>
        <v>Amber Jackson</v>
      </c>
      <c r="G654" s="2" t="str">
        <f>_xlfn.XLOOKUP(Table1[[#This Row],[Customer_ID]],Customer_Dim!$A$2:$A$501,Customer_Dim!$E$2:$E$501)</f>
        <v>Deborahborough</v>
      </c>
      <c r="H654" t="s">
        <v>36</v>
      </c>
      <c r="I654" t="str">
        <f>VLOOKUP(Table1[[#This Row],[Product_ID]],Product_Dim!$A$2:$G$101,2,FALSE)</f>
        <v>Portable Power Bank-Electronics</v>
      </c>
      <c r="J654" t="s">
        <v>1601</v>
      </c>
      <c r="K654" t="str">
        <f>VLOOKUP(Table1[[#This Row],[Store_ID]],Store_Dim!$A$3:$D$22,2,FALSE)</f>
        <v>Guerrero-Schmitt-East</v>
      </c>
      <c r="L654" t="s">
        <v>1761</v>
      </c>
      <c r="M654" t="s">
        <v>3960</v>
      </c>
      <c r="N654" s="3">
        <v>673.02</v>
      </c>
      <c r="O654" s="4">
        <v>0.11</v>
      </c>
      <c r="P654" t="s">
        <v>1774</v>
      </c>
      <c r="Q654" s="4">
        <v>1197.9756</v>
      </c>
    </row>
    <row r="655" spans="1:17" x14ac:dyDescent="0.3">
      <c r="A655" t="s">
        <v>2427</v>
      </c>
      <c r="B655" t="str">
        <f t="shared" si="10"/>
        <v>Q1</v>
      </c>
      <c r="C655" t="str">
        <f>TEXT(Table1[[#This Row],[Order_Date]],"mmmm")</f>
        <v>February</v>
      </c>
      <c r="D655">
        <f>YEAR(Table1[[#This Row],[Order_Date]])</f>
        <v>2024</v>
      </c>
      <c r="E655" s="7">
        <v>45332</v>
      </c>
      <c r="F655" s="2" t="str">
        <f>VLOOKUP(Table1[[#This Row],[Customer_ID]],Customer_Dim!$A$2:$H$501,2,FALSE)</f>
        <v>Tammy Trevino</v>
      </c>
      <c r="G655" s="2" t="str">
        <f>_xlfn.XLOOKUP(Table1[[#This Row],[Customer_ID]],Customer_Dim!$A$2:$A$501,Customer_Dim!$E$2:$E$501)</f>
        <v>Justinberg</v>
      </c>
      <c r="H655" t="s">
        <v>1346</v>
      </c>
      <c r="I655" t="str">
        <f>VLOOKUP(Table1[[#This Row],[Product_ID]],Product_Dim!$A$2:$G$101,2,FALSE)</f>
        <v>Matte Lipstick Set-Beauty</v>
      </c>
      <c r="J655" t="s">
        <v>1651</v>
      </c>
      <c r="K655" t="str">
        <f>VLOOKUP(Table1[[#This Row],[Store_ID]],Store_Dim!$A$3:$D$22,2,FALSE)</f>
        <v>Johnson-Wright-North</v>
      </c>
      <c r="L655" t="s">
        <v>1733</v>
      </c>
      <c r="M655" t="s">
        <v>3960</v>
      </c>
      <c r="N655" s="3">
        <v>492.62</v>
      </c>
      <c r="O655" s="4">
        <v>0.26</v>
      </c>
      <c r="P655" t="s">
        <v>1777</v>
      </c>
      <c r="Q655" s="4">
        <v>729.07759999999996</v>
      </c>
    </row>
    <row r="656" spans="1:17" x14ac:dyDescent="0.3">
      <c r="A656" t="s">
        <v>2428</v>
      </c>
      <c r="B656" t="str">
        <f t="shared" si="10"/>
        <v>Q1</v>
      </c>
      <c r="C656" t="str">
        <f>TEXT(Table1[[#This Row],[Order_Date]],"mmmm")</f>
        <v>February</v>
      </c>
      <c r="D656">
        <f>YEAR(Table1[[#This Row],[Order_Date]])</f>
        <v>2024</v>
      </c>
      <c r="E656" s="7">
        <v>45344</v>
      </c>
      <c r="F656" s="2" t="str">
        <f>VLOOKUP(Table1[[#This Row],[Customer_ID]],Customer_Dim!$A$2:$H$501,2,FALSE)</f>
        <v>Michele Burke</v>
      </c>
      <c r="G656" s="2" t="str">
        <f>_xlfn.XLOOKUP(Table1[[#This Row],[Customer_ID]],Customer_Dim!$A$2:$A$501,Customer_Dim!$E$2:$E$501)</f>
        <v>Chambersberg</v>
      </c>
      <c r="H656" t="s">
        <v>1162</v>
      </c>
      <c r="I656" t="str">
        <f>VLOOKUP(Table1[[#This Row],[Product_ID]],Product_Dim!$A$2:$G$101,2,FALSE)</f>
        <v>Women's Beanie Hat-Clothing</v>
      </c>
      <c r="J656" t="s">
        <v>1693</v>
      </c>
      <c r="K656" t="str">
        <f>VLOOKUP(Table1[[#This Row],[Store_ID]],Store_Dim!$A$3:$D$22,2,FALSE)</f>
        <v>Johnson-Wright-North</v>
      </c>
      <c r="L656" t="s">
        <v>1733</v>
      </c>
      <c r="M656" t="s">
        <v>3959</v>
      </c>
      <c r="N656" s="3">
        <v>986.93</v>
      </c>
      <c r="O656" s="4">
        <v>0.01</v>
      </c>
      <c r="P656" t="s">
        <v>1772</v>
      </c>
      <c r="Q656" s="4">
        <v>3908.2428</v>
      </c>
    </row>
    <row r="657" spans="1:17" x14ac:dyDescent="0.3">
      <c r="A657" t="s">
        <v>2429</v>
      </c>
      <c r="B657" t="str">
        <f t="shared" si="10"/>
        <v>Q2</v>
      </c>
      <c r="C657" t="str">
        <f>TEXT(Table1[[#This Row],[Order_Date]],"mmmm")</f>
        <v>April</v>
      </c>
      <c r="D657">
        <f>YEAR(Table1[[#This Row],[Order_Date]])</f>
        <v>2024</v>
      </c>
      <c r="E657" s="7">
        <v>45388</v>
      </c>
      <c r="F657" s="2" t="str">
        <f>VLOOKUP(Table1[[#This Row],[Customer_ID]],Customer_Dim!$A$2:$H$501,2,FALSE)</f>
        <v>Dylan Gutierrez</v>
      </c>
      <c r="G657" s="2" t="str">
        <f>_xlfn.XLOOKUP(Table1[[#This Row],[Customer_ID]],Customer_Dim!$A$2:$A$501,Customer_Dim!$E$2:$E$501)</f>
        <v>New Jamesview</v>
      </c>
      <c r="H657" t="s">
        <v>1458</v>
      </c>
      <c r="I657" t="str">
        <f>VLOOKUP(Table1[[#This Row],[Product_ID]],Product_Dim!$A$2:$G$101,2,FALSE)</f>
        <v>Carbon Fiber Tennis Racket-Sports</v>
      </c>
      <c r="J657" t="s">
        <v>1567</v>
      </c>
      <c r="K657" t="str">
        <f>VLOOKUP(Table1[[#This Row],[Store_ID]],Store_Dim!$A$3:$D$22,2,FALSE)</f>
        <v>Thomas, Bridges and Harris-North</v>
      </c>
      <c r="L657" t="s">
        <v>1751</v>
      </c>
      <c r="M657" t="s">
        <v>3959</v>
      </c>
      <c r="N657" s="3">
        <v>411.68</v>
      </c>
      <c r="O657" s="4">
        <v>0.06</v>
      </c>
      <c r="P657" t="s">
        <v>1774</v>
      </c>
      <c r="Q657" s="4">
        <v>1547.9168</v>
      </c>
    </row>
    <row r="658" spans="1:17" x14ac:dyDescent="0.3">
      <c r="A658" t="s">
        <v>2430</v>
      </c>
      <c r="B658" t="str">
        <f t="shared" si="10"/>
        <v>Q2</v>
      </c>
      <c r="C658" t="str">
        <f>TEXT(Table1[[#This Row],[Order_Date]],"mmmm")</f>
        <v>April</v>
      </c>
      <c r="D658">
        <f>YEAR(Table1[[#This Row],[Order_Date]])</f>
        <v>2024</v>
      </c>
      <c r="E658" s="7">
        <v>45397</v>
      </c>
      <c r="F658" s="2" t="str">
        <f>VLOOKUP(Table1[[#This Row],[Customer_ID]],Customer_Dim!$A$2:$H$501,2,FALSE)</f>
        <v>Jordan Wells</v>
      </c>
      <c r="G658" s="2" t="str">
        <f>_xlfn.XLOOKUP(Table1[[#This Row],[Customer_ID]],Customer_Dim!$A$2:$A$501,Customer_Dim!$E$2:$E$501)</f>
        <v xml:space="preserve">Phillipschester   </v>
      </c>
      <c r="H658" t="s">
        <v>705</v>
      </c>
      <c r="I658" t="str">
        <f>VLOOKUP(Table1[[#This Row],[Product_ID]],Product_Dim!$A$2:$G$101,2,FALSE)</f>
        <v>Women's Summer Dress-Clothing</v>
      </c>
      <c r="J658" t="s">
        <v>1595</v>
      </c>
      <c r="K658" t="str">
        <f>VLOOKUP(Table1[[#This Row],[Store_ID]],Store_Dim!$A$3:$D$22,2,FALSE)</f>
        <v>Holloway Ltd-North</v>
      </c>
      <c r="L658" t="s">
        <v>1759</v>
      </c>
      <c r="M658" t="s">
        <v>3960</v>
      </c>
      <c r="N658" s="3">
        <v>637.55999999999995</v>
      </c>
      <c r="O658" s="4">
        <v>0.05</v>
      </c>
      <c r="P658" t="s">
        <v>1777</v>
      </c>
      <c r="Q658" s="4">
        <v>1211.364</v>
      </c>
    </row>
    <row r="659" spans="1:17" x14ac:dyDescent="0.3">
      <c r="A659" t="s">
        <v>2431</v>
      </c>
      <c r="B659" t="str">
        <f t="shared" si="10"/>
        <v>Q4</v>
      </c>
      <c r="C659" t="str">
        <f>TEXT(Table1[[#This Row],[Order_Date]],"mmmm")</f>
        <v>December</v>
      </c>
      <c r="D659">
        <f>YEAR(Table1[[#This Row],[Order_Date]])</f>
        <v>2024</v>
      </c>
      <c r="E659" s="7">
        <v>45633</v>
      </c>
      <c r="F659" s="2" t="str">
        <f>VLOOKUP(Table1[[#This Row],[Customer_ID]],Customer_Dim!$A$2:$H$501,2,FALSE)</f>
        <v>Ashley Cohen</v>
      </c>
      <c r="G659" s="2" t="str">
        <f>_xlfn.XLOOKUP(Table1[[#This Row],[Customer_ID]],Customer_Dim!$A$2:$A$501,Customer_Dim!$E$2:$E$501)</f>
        <v>Lake Kristamouth</v>
      </c>
      <c r="H659" t="s">
        <v>67</v>
      </c>
      <c r="I659" t="str">
        <f>VLOOKUP(Table1[[#This Row],[Product_ID]],Product_Dim!$A$2:$G$101,2,FALSE)</f>
        <v>USB-C Fast Charger-Electronics</v>
      </c>
      <c r="J659" t="s">
        <v>1549</v>
      </c>
      <c r="K659" t="str">
        <f>VLOOKUP(Table1[[#This Row],[Store_ID]],Store_Dim!$A$3:$D$22,2,FALSE)</f>
        <v>Johnson-Wright-North</v>
      </c>
      <c r="L659" t="s">
        <v>1733</v>
      </c>
      <c r="M659" t="s">
        <v>3958</v>
      </c>
      <c r="N659" s="3">
        <v>706.87</v>
      </c>
      <c r="O659" s="4">
        <v>0.27</v>
      </c>
      <c r="P659" t="s">
        <v>1772</v>
      </c>
      <c r="Q659" s="4">
        <v>1548.0453</v>
      </c>
    </row>
    <row r="660" spans="1:17" x14ac:dyDescent="0.3">
      <c r="A660" t="s">
        <v>2432</v>
      </c>
      <c r="B660" t="str">
        <f t="shared" si="10"/>
        <v>Q4</v>
      </c>
      <c r="C660" t="str">
        <f>TEXT(Table1[[#This Row],[Order_Date]],"mmmm")</f>
        <v>December</v>
      </c>
      <c r="D660">
        <f>YEAR(Table1[[#This Row],[Order_Date]])</f>
        <v>2024</v>
      </c>
      <c r="E660" s="7">
        <v>45629</v>
      </c>
      <c r="F660" s="2" t="str">
        <f>VLOOKUP(Table1[[#This Row],[Customer_ID]],Customer_Dim!$A$2:$H$501,2,FALSE)</f>
        <v>Wayne Mcpherson</v>
      </c>
      <c r="G660" s="2" t="str">
        <f>_xlfn.XLOOKUP(Table1[[#This Row],[Customer_ID]],Customer_Dim!$A$2:$A$501,Customer_Dim!$E$2:$E$501)</f>
        <v>Edwardsfort</v>
      </c>
      <c r="H660" t="s">
        <v>205</v>
      </c>
      <c r="I660" t="str">
        <f>VLOOKUP(Table1[[#This Row],[Product_ID]],Product_Dim!$A$2:$G$101,2,FALSE)</f>
        <v>4K Home Projector-Electronics</v>
      </c>
      <c r="J660" t="s">
        <v>1553</v>
      </c>
      <c r="K660" t="str">
        <f>VLOOKUP(Table1[[#This Row],[Store_ID]],Store_Dim!$A$3:$D$22,2,FALSE)</f>
        <v>Benson-Elliott-East</v>
      </c>
      <c r="L660" t="s">
        <v>1740</v>
      </c>
      <c r="M660" t="s">
        <v>3960</v>
      </c>
      <c r="N660" s="3">
        <v>884.48</v>
      </c>
      <c r="O660" s="4">
        <v>0.15164901664145242</v>
      </c>
      <c r="P660" t="s">
        <v>1777</v>
      </c>
      <c r="Q660" s="4">
        <v>1768.96</v>
      </c>
    </row>
    <row r="661" spans="1:17" x14ac:dyDescent="0.3">
      <c r="A661" t="s">
        <v>2433</v>
      </c>
      <c r="B661" t="str">
        <f t="shared" si="10"/>
        <v>Q4</v>
      </c>
      <c r="C661" t="str">
        <f>TEXT(Table1[[#This Row],[Order_Date]],"mmmm")</f>
        <v>December</v>
      </c>
      <c r="D661">
        <f>YEAR(Table1[[#This Row],[Order_Date]])</f>
        <v>2023</v>
      </c>
      <c r="E661" s="7">
        <v>45291</v>
      </c>
      <c r="F661" s="2" t="str">
        <f>VLOOKUP(Table1[[#This Row],[Customer_ID]],Customer_Dim!$A$2:$H$501,2,FALSE)</f>
        <v>Gina Knight</v>
      </c>
      <c r="G661" s="2" t="str">
        <f>_xlfn.XLOOKUP(Table1[[#This Row],[Customer_ID]],Customer_Dim!$A$2:$A$501,Customer_Dim!$E$2:$E$501)</f>
        <v>Lake Roberthaven</v>
      </c>
      <c r="H661" t="s">
        <v>178</v>
      </c>
      <c r="I661" t="str">
        <f>VLOOKUP(Table1[[#This Row],[Product_ID]],Product_Dim!$A$2:$G$101,2,FALSE)</f>
        <v>Microwave Oven-Home</v>
      </c>
      <c r="J661" t="s">
        <v>1707</v>
      </c>
      <c r="K661" t="str">
        <f>VLOOKUP(Table1[[#This Row],[Store_ID]],Store_Dim!$A$3:$D$22,2,FALSE)</f>
        <v>Alexander Group-South</v>
      </c>
      <c r="L661" t="s">
        <v>1735</v>
      </c>
      <c r="M661" t="s">
        <v>3958</v>
      </c>
      <c r="N661" s="3">
        <v>718.23</v>
      </c>
      <c r="O661" s="4">
        <v>0.19</v>
      </c>
      <c r="P661" t="s">
        <v>1774</v>
      </c>
      <c r="Q661" s="4">
        <v>1745.2989</v>
      </c>
    </row>
    <row r="662" spans="1:17" x14ac:dyDescent="0.3">
      <c r="A662" t="s">
        <v>2434</v>
      </c>
      <c r="B662" t="str">
        <f t="shared" si="10"/>
        <v>Q3</v>
      </c>
      <c r="C662" t="str">
        <f>TEXT(Table1[[#This Row],[Order_Date]],"mmmm")</f>
        <v>September</v>
      </c>
      <c r="D662">
        <f>YEAR(Table1[[#This Row],[Order_Date]])</f>
        <v>2025</v>
      </c>
      <c r="E662" s="7">
        <v>45914</v>
      </c>
      <c r="F662" s="2" t="str">
        <f>VLOOKUP(Table1[[#This Row],[Customer_ID]],Customer_Dim!$A$2:$H$501,2,FALSE)</f>
        <v>Wesley Thompson</v>
      </c>
      <c r="G662" s="2" t="str">
        <f>_xlfn.XLOOKUP(Table1[[#This Row],[Customer_ID]],Customer_Dim!$A$2:$A$501,Customer_Dim!$E$2:$E$501)</f>
        <v>East Davidmouth</v>
      </c>
      <c r="H662" t="s">
        <v>589</v>
      </c>
      <c r="I662" t="str">
        <f>VLOOKUP(Table1[[#This Row],[Product_ID]],Product_Dim!$A$2:$G$101,2,FALSE)</f>
        <v>Gaming Mouse Pad XL-Electronics</v>
      </c>
      <c r="J662" t="s">
        <v>1703</v>
      </c>
      <c r="K662" t="str">
        <f>VLOOKUP(Table1[[#This Row],[Store_ID]],Store_Dim!$A$3:$D$22,2,FALSE)</f>
        <v>Guerrero-Schmitt-East</v>
      </c>
      <c r="L662" t="s">
        <v>1761</v>
      </c>
      <c r="M662" t="s">
        <v>3958</v>
      </c>
      <c r="N662" s="3">
        <v>107.44</v>
      </c>
      <c r="O662" s="4">
        <v>0.27</v>
      </c>
      <c r="P662" t="s">
        <v>1774</v>
      </c>
      <c r="Q662" s="4">
        <v>235.2936</v>
      </c>
    </row>
    <row r="663" spans="1:17" x14ac:dyDescent="0.3">
      <c r="A663" t="s">
        <v>2435</v>
      </c>
      <c r="B663" t="str">
        <f t="shared" si="10"/>
        <v>Q1</v>
      </c>
      <c r="C663" t="str">
        <f>TEXT(Table1[[#This Row],[Order_Date]],"mmmm")</f>
        <v>January</v>
      </c>
      <c r="D663">
        <f>YEAR(Table1[[#This Row],[Order_Date]])</f>
        <v>2025</v>
      </c>
      <c r="E663" s="7">
        <v>45673</v>
      </c>
      <c r="F663" s="2" t="str">
        <f>VLOOKUP(Table1[[#This Row],[Customer_ID]],Customer_Dim!$A$2:$H$501,2,FALSE)</f>
        <v>Christopher Sutton</v>
      </c>
      <c r="G663" s="2" t="str">
        <f>_xlfn.XLOOKUP(Table1[[#This Row],[Customer_ID]],Customer_Dim!$A$2:$A$501,Customer_Dim!$E$2:$E$501)</f>
        <v>Deborahberg</v>
      </c>
      <c r="H663" t="s">
        <v>208</v>
      </c>
      <c r="I663" t="str">
        <f>VLOOKUP(Table1[[#This Row],[Product_ID]],Product_Dim!$A$2:$G$101,2,FALSE)</f>
        <v>Men's Winter Jacket-Clothing</v>
      </c>
      <c r="J663" t="s">
        <v>1615</v>
      </c>
      <c r="K663" t="str">
        <f>VLOOKUP(Table1[[#This Row],[Store_ID]],Store_Dim!$A$3:$D$22,2,FALSE)</f>
        <v>Johnson-Wright-North</v>
      </c>
      <c r="L663" t="s">
        <v>1733</v>
      </c>
      <c r="M663" t="s">
        <v>3959</v>
      </c>
      <c r="N663" s="3">
        <v>608.97</v>
      </c>
      <c r="O663" s="4">
        <v>0.14000000000000001</v>
      </c>
      <c r="P663" t="s">
        <v>1777</v>
      </c>
      <c r="Q663" s="4">
        <v>2094.8568</v>
      </c>
    </row>
    <row r="664" spans="1:17" x14ac:dyDescent="0.3">
      <c r="A664" t="s">
        <v>2436</v>
      </c>
      <c r="B664" t="str">
        <f t="shared" si="10"/>
        <v>Q1</v>
      </c>
      <c r="C664" t="str">
        <f>TEXT(Table1[[#This Row],[Order_Date]],"mmmm")</f>
        <v>February</v>
      </c>
      <c r="D664">
        <f>YEAR(Table1[[#This Row],[Order_Date]])</f>
        <v>2025</v>
      </c>
      <c r="E664" s="7">
        <v>45689</v>
      </c>
      <c r="F664" s="2" t="str">
        <f>VLOOKUP(Table1[[#This Row],[Customer_ID]],Customer_Dim!$A$2:$H$501,2,FALSE)</f>
        <v>Ryan Torres</v>
      </c>
      <c r="G664" s="2" t="str">
        <f>_xlfn.XLOOKUP(Table1[[#This Row],[Customer_ID]],Customer_Dim!$A$2:$A$501,Customer_Dim!$E$2:$E$501)</f>
        <v>Guerreroport</v>
      </c>
      <c r="H664" t="s">
        <v>1097</v>
      </c>
      <c r="I664" t="str">
        <f>VLOOKUP(Table1[[#This Row],[Product_ID]],Product_Dim!$A$2:$G$101,2,FALSE)</f>
        <v>Tennis Ball 3-Pack-Sports</v>
      </c>
      <c r="J664" t="s">
        <v>1645</v>
      </c>
      <c r="K664" t="str">
        <f>VLOOKUP(Table1[[#This Row],[Store_ID]],Store_Dim!$A$3:$D$22,2,FALSE)</f>
        <v>Benson-Elliott-East</v>
      </c>
      <c r="L664" t="s">
        <v>1740</v>
      </c>
      <c r="M664" t="s">
        <v>3958</v>
      </c>
      <c r="N664" s="3">
        <v>260.45999999999998</v>
      </c>
      <c r="O664" s="4">
        <v>0.09</v>
      </c>
      <c r="P664" t="s">
        <v>1772</v>
      </c>
      <c r="Q664" s="4">
        <v>711.05579999999986</v>
      </c>
    </row>
    <row r="665" spans="1:17" x14ac:dyDescent="0.3">
      <c r="A665" t="s">
        <v>2437</v>
      </c>
      <c r="B665" t="str">
        <f t="shared" si="10"/>
        <v>Q4</v>
      </c>
      <c r="C665" t="str">
        <f>TEXT(Table1[[#This Row],[Order_Date]],"mmmm")</f>
        <v>December</v>
      </c>
      <c r="D665">
        <f>YEAR(Table1[[#This Row],[Order_Date]])</f>
        <v>2024</v>
      </c>
      <c r="E665" s="7">
        <v>45646</v>
      </c>
      <c r="F665" s="2" t="str">
        <f>VLOOKUP(Table1[[#This Row],[Customer_ID]],Customer_Dim!$A$2:$H$501,2,FALSE)</f>
        <v>Erin Hopkins</v>
      </c>
      <c r="G665" s="2" t="str">
        <f>_xlfn.XLOOKUP(Table1[[#This Row],[Customer_ID]],Customer_Dim!$A$2:$A$501,Customer_Dim!$E$2:$E$501)</f>
        <v>North Sabrina</v>
      </c>
      <c r="H665" t="s">
        <v>420</v>
      </c>
      <c r="I665" t="str">
        <f>VLOOKUP(Table1[[#This Row],[Product_ID]],Product_Dim!$A$2:$G$101,2,FALSE)</f>
        <v>Carbon Fiber Tennis Racket-Sports</v>
      </c>
      <c r="J665" t="s">
        <v>1567</v>
      </c>
      <c r="K665" t="str">
        <f>VLOOKUP(Table1[[#This Row],[Store_ID]],Store_Dim!$A$3:$D$22,2,FALSE)</f>
        <v>Benson-Elliott-East</v>
      </c>
      <c r="L665" t="s">
        <v>1740</v>
      </c>
      <c r="M665" t="s">
        <v>3957</v>
      </c>
      <c r="N665" s="3">
        <v>747.03</v>
      </c>
      <c r="O665" s="4">
        <v>0.01</v>
      </c>
      <c r="P665" t="s">
        <v>1772</v>
      </c>
      <c r="Q665" s="4">
        <v>739.55970000000002</v>
      </c>
    </row>
    <row r="666" spans="1:17" x14ac:dyDescent="0.3">
      <c r="A666" t="s">
        <v>2438</v>
      </c>
      <c r="B666" t="str">
        <f t="shared" si="10"/>
        <v>Q3</v>
      </c>
      <c r="C666" t="str">
        <f>TEXT(Table1[[#This Row],[Order_Date]],"mmmm")</f>
        <v>July</v>
      </c>
      <c r="D666">
        <f>YEAR(Table1[[#This Row],[Order_Date]])</f>
        <v>2024</v>
      </c>
      <c r="E666" s="7">
        <v>45475</v>
      </c>
      <c r="F666" s="2" t="str">
        <f>VLOOKUP(Table1[[#This Row],[Customer_ID]],Customer_Dim!$A$2:$H$501,2,FALSE)</f>
        <v>David Ross</v>
      </c>
      <c r="G666" s="2" t="str">
        <f>_xlfn.XLOOKUP(Table1[[#This Row],[Customer_ID]],Customer_Dim!$A$2:$A$501,Customer_Dim!$E$2:$E$501)</f>
        <v>South Angela</v>
      </c>
      <c r="H666" t="s">
        <v>1243</v>
      </c>
      <c r="I666" t="str">
        <f>VLOOKUP(Table1[[#This Row],[Product_ID]],Product_Dim!$A$2:$G$101,2,FALSE)</f>
        <v>Beard Grooming Kit-Beauty</v>
      </c>
      <c r="J666" t="s">
        <v>1555</v>
      </c>
      <c r="K666" t="str">
        <f>VLOOKUP(Table1[[#This Row],[Store_ID]],Store_Dim!$A$3:$D$22,2,FALSE)</f>
        <v>Bean, Jones and Park-West</v>
      </c>
      <c r="L666" t="s">
        <v>1744</v>
      </c>
      <c r="M666" t="s">
        <v>3959</v>
      </c>
      <c r="N666" s="3">
        <v>700.88</v>
      </c>
      <c r="O666" s="4">
        <v>0.23</v>
      </c>
      <c r="P666" t="s">
        <v>1774</v>
      </c>
      <c r="Q666" s="4">
        <v>2158.7103999999999</v>
      </c>
    </row>
    <row r="667" spans="1:17" x14ac:dyDescent="0.3">
      <c r="A667" t="s">
        <v>2439</v>
      </c>
      <c r="B667" t="str">
        <f t="shared" si="10"/>
        <v>Q2</v>
      </c>
      <c r="C667" t="str">
        <f>TEXT(Table1[[#This Row],[Order_Date]],"mmmm")</f>
        <v>May</v>
      </c>
      <c r="D667">
        <f>YEAR(Table1[[#This Row],[Order_Date]])</f>
        <v>2025</v>
      </c>
      <c r="E667" s="7">
        <v>45781</v>
      </c>
      <c r="F667" s="2" t="str">
        <f>VLOOKUP(Table1[[#This Row],[Customer_ID]],Customer_Dim!$A$2:$H$501,2,FALSE)</f>
        <v>April Mullins</v>
      </c>
      <c r="G667" s="2" t="str">
        <f>_xlfn.XLOOKUP(Table1[[#This Row],[Customer_ID]],Customer_Dim!$A$2:$A$501,Customer_Dim!$E$2:$E$501)</f>
        <v>Dawsonbury</v>
      </c>
      <c r="H667" t="s">
        <v>182</v>
      </c>
      <c r="I667" t="str">
        <f>VLOOKUP(Table1[[#This Row],[Product_ID]],Product_Dim!$A$2:$G$101,2,FALSE)</f>
        <v>Sports Stopwatch Basic-Sports</v>
      </c>
      <c r="J667" t="s">
        <v>1713</v>
      </c>
      <c r="K667" t="str">
        <f>VLOOKUP(Table1[[#This Row],[Store_ID]],Store_Dim!$A$3:$D$22,2,FALSE)</f>
        <v>Mcdonald Inc-South</v>
      </c>
      <c r="L667" t="s">
        <v>1754</v>
      </c>
      <c r="M667" t="s">
        <v>3959</v>
      </c>
      <c r="N667" s="3">
        <v>20.09</v>
      </c>
      <c r="O667" s="4">
        <v>0.16</v>
      </c>
      <c r="P667" t="s">
        <v>1774</v>
      </c>
      <c r="Q667" s="4">
        <v>67.502399999999994</v>
      </c>
    </row>
    <row r="668" spans="1:17" x14ac:dyDescent="0.3">
      <c r="A668" t="s">
        <v>2440</v>
      </c>
      <c r="B668" t="str">
        <f t="shared" si="10"/>
        <v>Q4</v>
      </c>
      <c r="C668" t="str">
        <f>TEXT(Table1[[#This Row],[Order_Date]],"mmmm")</f>
        <v>December</v>
      </c>
      <c r="D668">
        <f>YEAR(Table1[[#This Row],[Order_Date]])</f>
        <v>2024</v>
      </c>
      <c r="E668" s="7">
        <v>45654</v>
      </c>
      <c r="F668" s="2" t="str">
        <f>VLOOKUP(Table1[[#This Row],[Customer_ID]],Customer_Dim!$A$2:$H$501,2,FALSE)</f>
        <v>James Bean</v>
      </c>
      <c r="G668" s="2" t="str">
        <f>_xlfn.XLOOKUP(Table1[[#This Row],[Customer_ID]],Customer_Dim!$A$2:$A$501,Customer_Dim!$E$2:$E$501)</f>
        <v>Stevensonton</v>
      </c>
      <c r="H668" t="s">
        <v>227</v>
      </c>
      <c r="I668" t="str">
        <f>VLOOKUP(Table1[[#This Row],[Product_ID]],Product_Dim!$A$2:$G$101,2,FALSE)</f>
        <v>Men's Casual Sneakers-Clothing</v>
      </c>
      <c r="J668" t="s">
        <v>1597</v>
      </c>
      <c r="K668" t="str">
        <f>VLOOKUP(Table1[[#This Row],[Store_ID]],Store_Dim!$A$3:$D$22,2,FALSE)</f>
        <v>Aguirre-Keller-South</v>
      </c>
      <c r="L668" t="s">
        <v>1750</v>
      </c>
      <c r="M668" t="s">
        <v>3958</v>
      </c>
      <c r="N668" s="3">
        <v>917.64</v>
      </c>
      <c r="O668" s="4">
        <v>0.24</v>
      </c>
      <c r="P668" t="s">
        <v>1774</v>
      </c>
      <c r="Q668" s="4">
        <v>2092.2192</v>
      </c>
    </row>
    <row r="669" spans="1:17" x14ac:dyDescent="0.3">
      <c r="A669" t="s">
        <v>2441</v>
      </c>
      <c r="B669" t="str">
        <f t="shared" si="10"/>
        <v>Q4</v>
      </c>
      <c r="C669" t="str">
        <f>TEXT(Table1[[#This Row],[Order_Date]],"mmmm")</f>
        <v>October</v>
      </c>
      <c r="D669">
        <f>YEAR(Table1[[#This Row],[Order_Date]])</f>
        <v>2024</v>
      </c>
      <c r="E669" s="7">
        <v>45594</v>
      </c>
      <c r="F669" s="2" t="str">
        <f>VLOOKUP(Table1[[#This Row],[Customer_ID]],Customer_Dim!$A$2:$H$501,2,FALSE)</f>
        <v>Sarah Rodgers</v>
      </c>
      <c r="G669" s="2" t="str">
        <f>_xlfn.XLOOKUP(Table1[[#This Row],[Customer_ID]],Customer_Dim!$A$2:$A$501,Customer_Dim!$E$2:$E$501)</f>
        <v>New Julia</v>
      </c>
      <c r="H669" t="s">
        <v>192</v>
      </c>
      <c r="I669" t="str">
        <f>VLOOKUP(Table1[[#This Row],[Product_ID]],Product_Dim!$A$2:$G$101,2,FALSE)</f>
        <v>Multi-Purpose Storage Box-Home</v>
      </c>
      <c r="J669" t="s">
        <v>1565</v>
      </c>
      <c r="K669" t="str">
        <f>VLOOKUP(Table1[[#This Row],[Store_ID]],Store_Dim!$A$3:$D$22,2,FALSE)</f>
        <v>Rivera-Warner-East</v>
      </c>
      <c r="L669" t="s">
        <v>1725</v>
      </c>
      <c r="M669" t="s">
        <v>3957</v>
      </c>
      <c r="N669" s="3">
        <v>242.08</v>
      </c>
      <c r="O669" s="4">
        <v>0.18</v>
      </c>
      <c r="P669" t="s">
        <v>1774</v>
      </c>
      <c r="Q669" s="4">
        <v>198.50559999999999</v>
      </c>
    </row>
    <row r="670" spans="1:17" x14ac:dyDescent="0.3">
      <c r="A670" t="s">
        <v>2442</v>
      </c>
      <c r="B670" t="str">
        <f t="shared" si="10"/>
        <v>Q4</v>
      </c>
      <c r="C670" t="str">
        <f>TEXT(Table1[[#This Row],[Order_Date]],"mmmm")</f>
        <v>October</v>
      </c>
      <c r="D670">
        <f>YEAR(Table1[[#This Row],[Order_Date]])</f>
        <v>2024</v>
      </c>
      <c r="E670" s="7">
        <v>45581</v>
      </c>
      <c r="F670" s="2" t="str">
        <f>VLOOKUP(Table1[[#This Row],[Customer_ID]],Customer_Dim!$A$2:$H$501,2,FALSE)</f>
        <v>Jay Patel</v>
      </c>
      <c r="G670" s="2" t="str">
        <f>_xlfn.XLOOKUP(Table1[[#This Row],[Customer_ID]],Customer_Dim!$A$2:$A$501,Customer_Dim!$E$2:$E$501)</f>
        <v>Morrisbury</v>
      </c>
      <c r="H670" t="s">
        <v>211</v>
      </c>
      <c r="I670" t="str">
        <f>VLOOKUP(Table1[[#This Row],[Product_ID]],Product_Dim!$A$2:$G$101,2,FALSE)</f>
        <v>Organic Sunscreen Lotion-Beauty</v>
      </c>
      <c r="J670" t="s">
        <v>1649</v>
      </c>
      <c r="K670" t="str">
        <f>VLOOKUP(Table1[[#This Row],[Store_ID]],Store_Dim!$A$3:$D$22,2,FALSE)</f>
        <v>Martinez-Mullins-South</v>
      </c>
      <c r="L670" t="s">
        <v>1742</v>
      </c>
      <c r="M670" t="s">
        <v>3957</v>
      </c>
      <c r="N670" s="3">
        <v>536.67999999999995</v>
      </c>
      <c r="O670" s="4">
        <v>0.27</v>
      </c>
      <c r="P670" t="s">
        <v>1772</v>
      </c>
      <c r="Q670" s="4">
        <v>391.77640000000002</v>
      </c>
    </row>
    <row r="671" spans="1:17" x14ac:dyDescent="0.3">
      <c r="A671" t="s">
        <v>2443</v>
      </c>
      <c r="B671" t="str">
        <f t="shared" si="10"/>
        <v>Q2</v>
      </c>
      <c r="C671" t="str">
        <f>TEXT(Table1[[#This Row],[Order_Date]],"mmmm")</f>
        <v>April</v>
      </c>
      <c r="D671">
        <f>YEAR(Table1[[#This Row],[Order_Date]])</f>
        <v>2025</v>
      </c>
      <c r="E671" s="7">
        <v>45748</v>
      </c>
      <c r="F671" s="2" t="str">
        <f>VLOOKUP(Table1[[#This Row],[Customer_ID]],Customer_Dim!$A$2:$H$501,2,FALSE)</f>
        <v>David Patterson</v>
      </c>
      <c r="G671" s="2" t="str">
        <f>_xlfn.XLOOKUP(Table1[[#This Row],[Customer_ID]],Customer_Dim!$A$2:$A$501,Customer_Dim!$E$2:$E$501)</f>
        <v>New Amyport</v>
      </c>
      <c r="H671" t="s">
        <v>333</v>
      </c>
      <c r="I671" t="str">
        <f>VLOOKUP(Table1[[#This Row],[Product_ID]],Product_Dim!$A$2:$G$101,2,FALSE)</f>
        <v>Fabric Sofa Throw Blanket-Home</v>
      </c>
      <c r="J671" t="s">
        <v>1581</v>
      </c>
      <c r="K671" t="str">
        <f>VLOOKUP(Table1[[#This Row],[Store_ID]],Store_Dim!$A$3:$D$22,2,FALSE)</f>
        <v>Alexander Group-South</v>
      </c>
      <c r="L671" t="s">
        <v>1735</v>
      </c>
      <c r="M671" t="s">
        <v>3960</v>
      </c>
      <c r="N671" s="3">
        <v>145.18</v>
      </c>
      <c r="O671" s="4">
        <v>0.26</v>
      </c>
      <c r="P671" t="s">
        <v>1774</v>
      </c>
      <c r="Q671" s="4">
        <v>214.8664</v>
      </c>
    </row>
    <row r="672" spans="1:17" x14ac:dyDescent="0.3">
      <c r="A672" t="s">
        <v>2444</v>
      </c>
      <c r="B672" t="str">
        <f t="shared" si="10"/>
        <v>Q1</v>
      </c>
      <c r="C672" t="str">
        <f>TEXT(Table1[[#This Row],[Order_Date]],"mmmm")</f>
        <v>March</v>
      </c>
      <c r="D672">
        <f>YEAR(Table1[[#This Row],[Order_Date]])</f>
        <v>2024</v>
      </c>
      <c r="E672" s="7">
        <v>45369</v>
      </c>
      <c r="F672" s="2" t="str">
        <f>VLOOKUP(Table1[[#This Row],[Customer_ID]],Customer_Dim!$A$2:$H$501,2,FALSE)</f>
        <v>Lisa Young</v>
      </c>
      <c r="G672" s="2" t="str">
        <f>_xlfn.XLOOKUP(Table1[[#This Row],[Customer_ID]],Customer_Dim!$A$2:$A$501,Customer_Dim!$E$2:$E$501)</f>
        <v>Maybury</v>
      </c>
      <c r="H672" t="s">
        <v>710</v>
      </c>
      <c r="I672" t="str">
        <f>VLOOKUP(Table1[[#This Row],[Product_ID]],Product_Dim!$A$2:$G$101,2,FALSE)</f>
        <v>Smart LED Light Strip-Electronics</v>
      </c>
      <c r="J672" t="s">
        <v>1657</v>
      </c>
      <c r="K672" t="str">
        <f>VLOOKUP(Table1[[#This Row],[Store_ID]],Store_Dim!$A$3:$D$22,2,FALSE)</f>
        <v>Alexander Group-South</v>
      </c>
      <c r="L672" t="s">
        <v>1735</v>
      </c>
      <c r="M672" t="s">
        <v>3960</v>
      </c>
      <c r="N672" s="3">
        <v>132.77000000000001</v>
      </c>
      <c r="O672" s="4">
        <v>0.13</v>
      </c>
      <c r="P672" t="s">
        <v>1777</v>
      </c>
      <c r="Q672" s="4">
        <v>231.0198</v>
      </c>
    </row>
    <row r="673" spans="1:17" x14ac:dyDescent="0.3">
      <c r="A673" t="s">
        <v>2445</v>
      </c>
      <c r="B673" t="str">
        <f t="shared" si="10"/>
        <v>Q1</v>
      </c>
      <c r="C673" t="str">
        <f>TEXT(Table1[[#This Row],[Order_Date]],"mmmm")</f>
        <v>February</v>
      </c>
      <c r="D673">
        <f>YEAR(Table1[[#This Row],[Order_Date]])</f>
        <v>2025</v>
      </c>
      <c r="E673" s="7">
        <v>45701</v>
      </c>
      <c r="F673" s="2" t="str">
        <f>VLOOKUP(Table1[[#This Row],[Customer_ID]],Customer_Dim!$A$2:$H$501,2,FALSE)</f>
        <v>Nathan Hernandez</v>
      </c>
      <c r="G673" s="2" t="str">
        <f>_xlfn.XLOOKUP(Table1[[#This Row],[Customer_ID]],Customer_Dim!$A$2:$A$501,Customer_Dim!$E$2:$E$501)</f>
        <v>New Becky</v>
      </c>
      <c r="H673" t="s">
        <v>63</v>
      </c>
      <c r="I673" t="str">
        <f>VLOOKUP(Table1[[#This Row],[Product_ID]],Product_Dim!$A$2:$G$101,2,FALSE)</f>
        <v>Yoga Exercise Mat-Sports</v>
      </c>
      <c r="J673" t="s">
        <v>1605</v>
      </c>
      <c r="K673" t="str">
        <f>VLOOKUP(Table1[[#This Row],[Store_ID]],Store_Dim!$A$3:$D$22,2,FALSE)</f>
        <v>Moore, Padilla and Butler-South</v>
      </c>
      <c r="L673" t="s">
        <v>1746</v>
      </c>
      <c r="M673" t="s">
        <v>3959</v>
      </c>
      <c r="N673" s="3">
        <v>682.11</v>
      </c>
      <c r="O673" s="4">
        <v>0.14000000000000001</v>
      </c>
      <c r="P673" t="s">
        <v>1772</v>
      </c>
      <c r="Q673" s="4">
        <v>2346.4584</v>
      </c>
    </row>
    <row r="674" spans="1:17" x14ac:dyDescent="0.3">
      <c r="A674" t="s">
        <v>2446</v>
      </c>
      <c r="B674" t="str">
        <f t="shared" si="10"/>
        <v>Q3</v>
      </c>
      <c r="C674" t="str">
        <f>TEXT(Table1[[#This Row],[Order_Date]],"mmmm")</f>
        <v>August</v>
      </c>
      <c r="D674">
        <f>YEAR(Table1[[#This Row],[Order_Date]])</f>
        <v>2024</v>
      </c>
      <c r="E674" s="7">
        <v>45510</v>
      </c>
      <c r="F674" s="2" t="str">
        <f>VLOOKUP(Table1[[#This Row],[Customer_ID]],Customer_Dim!$A$2:$H$501,2,FALSE)</f>
        <v>Eric Lee</v>
      </c>
      <c r="G674" s="2" t="str">
        <f>_xlfn.XLOOKUP(Table1[[#This Row],[Customer_ID]],Customer_Dim!$A$2:$A$501,Customer_Dim!$E$2:$E$501)</f>
        <v>Lake April</v>
      </c>
      <c r="H674" t="s">
        <v>1478</v>
      </c>
      <c r="I674" t="str">
        <f>VLOOKUP(Table1[[#This Row],[Product_ID]],Product_Dim!$A$2:$G$101,2,FALSE)</f>
        <v>Noise-Canceling Headphones-Electronics</v>
      </c>
      <c r="J674" t="s">
        <v>1603</v>
      </c>
      <c r="K674" t="str">
        <f>VLOOKUP(Table1[[#This Row],[Store_ID]],Store_Dim!$A$3:$D$22,2,FALSE)</f>
        <v>Holloway Ltd-North</v>
      </c>
      <c r="L674" t="s">
        <v>1759</v>
      </c>
      <c r="M674" t="s">
        <v>3959</v>
      </c>
      <c r="N674" s="3">
        <v>502.95</v>
      </c>
      <c r="O674" s="4">
        <v>0.14000000000000001</v>
      </c>
      <c r="P674" t="s">
        <v>1777</v>
      </c>
      <c r="Q674" s="4">
        <v>1730.1479999999999</v>
      </c>
    </row>
    <row r="675" spans="1:17" x14ac:dyDescent="0.3">
      <c r="A675" t="s">
        <v>2447</v>
      </c>
      <c r="B675" t="str">
        <f t="shared" si="10"/>
        <v>Q3</v>
      </c>
      <c r="C675" t="str">
        <f>TEXT(Table1[[#This Row],[Order_Date]],"mmmm")</f>
        <v>September</v>
      </c>
      <c r="D675">
        <f>YEAR(Table1[[#This Row],[Order_Date]])</f>
        <v>2024</v>
      </c>
      <c r="E675" s="7">
        <v>45538</v>
      </c>
      <c r="F675" s="2" t="str">
        <f>VLOOKUP(Table1[[#This Row],[Customer_ID]],Customer_Dim!$A$2:$H$501,2,FALSE)</f>
        <v>Nathaniel Hill</v>
      </c>
      <c r="G675" s="2" t="str">
        <f>_xlfn.XLOOKUP(Table1[[#This Row],[Customer_ID]],Customer_Dim!$A$2:$A$501,Customer_Dim!$E$2:$E$501)</f>
        <v>Lake Mark</v>
      </c>
      <c r="H675" t="s">
        <v>746</v>
      </c>
      <c r="I675" t="str">
        <f>VLOOKUP(Table1[[#This Row],[Product_ID]],Product_Dim!$A$2:$G$101,2,FALSE)</f>
        <v>Men's Casual Sneakers-Clothing</v>
      </c>
      <c r="J675" t="s">
        <v>1597</v>
      </c>
      <c r="K675" t="str">
        <f>VLOOKUP(Table1[[#This Row],[Store_ID]],Store_Dim!$A$3:$D$22,2,FALSE)</f>
        <v>Frederick-Wright-West</v>
      </c>
      <c r="L675" t="s">
        <v>1757</v>
      </c>
      <c r="M675" t="s">
        <v>3960</v>
      </c>
      <c r="N675" s="3">
        <v>472.08</v>
      </c>
      <c r="O675" s="4">
        <v>7.0000000000000007E-2</v>
      </c>
      <c r="P675" t="s">
        <v>1772</v>
      </c>
      <c r="Q675" s="4">
        <v>878.0687999999999</v>
      </c>
    </row>
    <row r="676" spans="1:17" x14ac:dyDescent="0.3">
      <c r="A676" t="s">
        <v>2448</v>
      </c>
      <c r="B676" t="str">
        <f t="shared" si="10"/>
        <v>Q1</v>
      </c>
      <c r="C676" t="str">
        <f>TEXT(Table1[[#This Row],[Order_Date]],"mmmm")</f>
        <v>January</v>
      </c>
      <c r="D676">
        <f>YEAR(Table1[[#This Row],[Order_Date]])</f>
        <v>2025</v>
      </c>
      <c r="E676" s="7">
        <v>45665</v>
      </c>
      <c r="F676" s="2" t="str">
        <f>VLOOKUP(Table1[[#This Row],[Customer_ID]],Customer_Dim!$A$2:$H$501,2,FALSE)</f>
        <v>Laura Mathews</v>
      </c>
      <c r="G676" s="2" t="str">
        <f>_xlfn.XLOOKUP(Table1[[#This Row],[Customer_ID]],Customer_Dim!$A$2:$A$501,Customer_Dim!$E$2:$E$501)</f>
        <v>Chambersfurt</v>
      </c>
      <c r="H676" t="s">
        <v>1442</v>
      </c>
      <c r="I676" t="str">
        <f>VLOOKUP(Table1[[#This Row],[Product_ID]],Product_Dim!$A$2:$G$101,2,FALSE)</f>
        <v>Foam Roller-Sports</v>
      </c>
      <c r="J676" t="s">
        <v>1637</v>
      </c>
      <c r="K676" t="str">
        <f>VLOOKUP(Table1[[#This Row],[Store_ID]],Store_Dim!$A$3:$D$22,2,FALSE)</f>
        <v>Holloway Ltd-North</v>
      </c>
      <c r="L676" t="s">
        <v>1759</v>
      </c>
      <c r="M676" t="s">
        <v>3960</v>
      </c>
      <c r="N676" s="3">
        <v>218.11</v>
      </c>
      <c r="O676" s="4">
        <v>0.02</v>
      </c>
      <c r="P676" t="s">
        <v>1777</v>
      </c>
      <c r="Q676" s="4">
        <v>427.49560000000002</v>
      </c>
    </row>
    <row r="677" spans="1:17" x14ac:dyDescent="0.3">
      <c r="A677" t="s">
        <v>2449</v>
      </c>
      <c r="B677" t="str">
        <f t="shared" si="10"/>
        <v>Q3</v>
      </c>
      <c r="C677" t="str">
        <f>TEXT(Table1[[#This Row],[Order_Date]],"mmmm")</f>
        <v>July</v>
      </c>
      <c r="D677">
        <f>YEAR(Table1[[#This Row],[Order_Date]])</f>
        <v>2025</v>
      </c>
      <c r="E677" s="7">
        <v>45859</v>
      </c>
      <c r="F677" s="2" t="str">
        <f>VLOOKUP(Table1[[#This Row],[Customer_ID]],Customer_Dim!$A$2:$H$501,2,FALSE)</f>
        <v>Jay Patel</v>
      </c>
      <c r="G677" s="2" t="str">
        <f>_xlfn.XLOOKUP(Table1[[#This Row],[Customer_ID]],Customer_Dim!$A$2:$A$501,Customer_Dim!$E$2:$E$501)</f>
        <v>Morrisbury</v>
      </c>
      <c r="H677" t="s">
        <v>211</v>
      </c>
      <c r="I677" t="str">
        <f>VLOOKUP(Table1[[#This Row],[Product_ID]],Product_Dim!$A$2:$G$101,2,FALSE)</f>
        <v>Men's Graphic T-Shirt-Clothing</v>
      </c>
      <c r="J677" t="s">
        <v>1525</v>
      </c>
      <c r="K677" t="str">
        <f>VLOOKUP(Table1[[#This Row],[Store_ID]],Store_Dim!$A$3:$D$22,2,FALSE)</f>
        <v>Benson-Elliott-East</v>
      </c>
      <c r="L677" t="s">
        <v>1740</v>
      </c>
      <c r="M677" t="s">
        <v>3959</v>
      </c>
      <c r="N677" s="3">
        <v>845.58</v>
      </c>
      <c r="O677" s="4">
        <v>0.06</v>
      </c>
      <c r="P677" t="s">
        <v>1774</v>
      </c>
      <c r="Q677" s="4">
        <v>3179.3807999999999</v>
      </c>
    </row>
    <row r="678" spans="1:17" x14ac:dyDescent="0.3">
      <c r="A678" t="s">
        <v>2450</v>
      </c>
      <c r="B678" t="str">
        <f t="shared" si="10"/>
        <v>Q4</v>
      </c>
      <c r="C678" t="str">
        <f>TEXT(Table1[[#This Row],[Order_Date]],"mmmm")</f>
        <v>November</v>
      </c>
      <c r="D678">
        <f>YEAR(Table1[[#This Row],[Order_Date]])</f>
        <v>2023</v>
      </c>
      <c r="E678" s="7">
        <v>45255</v>
      </c>
      <c r="F678" s="2" t="str">
        <f>VLOOKUP(Table1[[#This Row],[Customer_ID]],Customer_Dim!$A$2:$H$501,2,FALSE)</f>
        <v>Susan Mcdonald</v>
      </c>
      <c r="G678" s="2" t="str">
        <f>_xlfn.XLOOKUP(Table1[[#This Row],[Customer_ID]],Customer_Dim!$A$2:$A$501,Customer_Dim!$E$2:$E$501)</f>
        <v>East Ellen</v>
      </c>
      <c r="H678" t="s">
        <v>436</v>
      </c>
      <c r="I678" t="str">
        <f>VLOOKUP(Table1[[#This Row],[Product_ID]],Product_Dim!$A$2:$G$101,2,FALSE)</f>
        <v>Wall-Mounted Spice Rack-Home</v>
      </c>
      <c r="J678" t="s">
        <v>1683</v>
      </c>
      <c r="K678" t="str">
        <f>VLOOKUP(Table1[[#This Row],[Store_ID]],Store_Dim!$A$3:$D$22,2,FALSE)</f>
        <v>Black-Horn-South</v>
      </c>
      <c r="L678" t="s">
        <v>1730</v>
      </c>
      <c r="M678" t="s">
        <v>3960</v>
      </c>
      <c r="N678" s="3">
        <v>111.28</v>
      </c>
      <c r="O678" s="4">
        <v>0.14000000000000001</v>
      </c>
      <c r="P678" t="s">
        <v>1772</v>
      </c>
      <c r="Q678" s="4">
        <v>191.4016</v>
      </c>
    </row>
    <row r="679" spans="1:17" x14ac:dyDescent="0.3">
      <c r="A679" t="s">
        <v>2451</v>
      </c>
      <c r="B679" t="str">
        <f t="shared" si="10"/>
        <v>Q3</v>
      </c>
      <c r="C679" t="str">
        <f>TEXT(Table1[[#This Row],[Order_Date]],"mmmm")</f>
        <v>July</v>
      </c>
      <c r="D679">
        <f>YEAR(Table1[[#This Row],[Order_Date]])</f>
        <v>2025</v>
      </c>
      <c r="E679" s="7">
        <v>45842</v>
      </c>
      <c r="F679" s="2" t="str">
        <f>VLOOKUP(Table1[[#This Row],[Customer_ID]],Customer_Dim!$A$2:$H$501,2,FALSE)</f>
        <v>Curtis Lam</v>
      </c>
      <c r="G679" s="2" t="str">
        <f>_xlfn.XLOOKUP(Table1[[#This Row],[Customer_ID]],Customer_Dim!$A$2:$A$501,Customer_Dim!$E$2:$E$501)</f>
        <v>Butlerberg</v>
      </c>
      <c r="H679" t="s">
        <v>579</v>
      </c>
      <c r="I679" t="str">
        <f>VLOOKUP(Table1[[#This Row],[Product_ID]],Product_Dim!$A$2:$G$101,2,FALSE)</f>
        <v>Men's Hair Styling Gel-Beauty</v>
      </c>
      <c r="J679" t="s">
        <v>1641</v>
      </c>
      <c r="K679" t="str">
        <f>VLOOKUP(Table1[[#This Row],[Store_ID]],Store_Dim!$A$3:$D$22,2,FALSE)</f>
        <v>Mcdonald Inc-South</v>
      </c>
      <c r="L679" t="s">
        <v>1754</v>
      </c>
      <c r="M679" t="s">
        <v>3960</v>
      </c>
      <c r="N679" s="3">
        <v>37.21</v>
      </c>
      <c r="O679" s="4">
        <v>0.19</v>
      </c>
      <c r="P679" t="s">
        <v>1772</v>
      </c>
      <c r="Q679" s="4">
        <v>60.280200000000008</v>
      </c>
    </row>
    <row r="680" spans="1:17" x14ac:dyDescent="0.3">
      <c r="A680" t="s">
        <v>2452</v>
      </c>
      <c r="B680" t="str">
        <f t="shared" si="10"/>
        <v>Q4</v>
      </c>
      <c r="C680" t="str">
        <f>TEXT(Table1[[#This Row],[Order_Date]],"mmmm")</f>
        <v>October</v>
      </c>
      <c r="D680">
        <f>YEAR(Table1[[#This Row],[Order_Date]])</f>
        <v>2023</v>
      </c>
      <c r="E680" s="7">
        <v>45220</v>
      </c>
      <c r="F680" s="2" t="str">
        <f>VLOOKUP(Table1[[#This Row],[Customer_ID]],Customer_Dim!$A$2:$H$501,2,FALSE)</f>
        <v>Karen King</v>
      </c>
      <c r="G680" s="2" t="str">
        <f>_xlfn.XLOOKUP(Table1[[#This Row],[Customer_ID]],Customer_Dim!$A$2:$A$501,Customer_Dim!$E$2:$E$501)</f>
        <v>Kimburgh</v>
      </c>
      <c r="H680" t="s">
        <v>1281</v>
      </c>
      <c r="I680" t="str">
        <f>VLOOKUP(Table1[[#This Row],[Product_ID]],Product_Dim!$A$2:$G$101,2,FALSE)</f>
        <v>Laptop Cooling Pad-Electronics</v>
      </c>
      <c r="J680" t="s">
        <v>1647</v>
      </c>
      <c r="K680" t="str">
        <f>VLOOKUP(Table1[[#This Row],[Store_ID]],Store_Dim!$A$3:$D$22,2,FALSE)</f>
        <v>Gardner, Humphrey and Contreras-East</v>
      </c>
      <c r="L680" t="s">
        <v>1753</v>
      </c>
      <c r="M680" t="s">
        <v>3957</v>
      </c>
      <c r="N680" s="3">
        <v>331.73</v>
      </c>
      <c r="O680" s="4">
        <v>0.04</v>
      </c>
      <c r="P680" t="s">
        <v>1772</v>
      </c>
      <c r="Q680" s="4">
        <v>318.46080000000001</v>
      </c>
    </row>
    <row r="681" spans="1:17" x14ac:dyDescent="0.3">
      <c r="A681" t="s">
        <v>2453</v>
      </c>
      <c r="B681" t="str">
        <f t="shared" si="10"/>
        <v>Q4</v>
      </c>
      <c r="C681" t="str">
        <f>TEXT(Table1[[#This Row],[Order_Date]],"mmmm")</f>
        <v>December</v>
      </c>
      <c r="D681">
        <f>YEAR(Table1[[#This Row],[Order_Date]])</f>
        <v>2023</v>
      </c>
      <c r="E681" s="7">
        <v>45273</v>
      </c>
      <c r="F681" s="2" t="str">
        <f>VLOOKUP(Table1[[#This Row],[Customer_ID]],Customer_Dim!$A$2:$H$501,2,FALSE)</f>
        <v>Chloe Aguilar</v>
      </c>
      <c r="G681" s="2" t="str">
        <f>_xlfn.XLOOKUP(Table1[[#This Row],[Customer_ID]],Customer_Dim!$A$2:$A$501,Customer_Dim!$E$2:$E$501)</f>
        <v>Lake Johnside</v>
      </c>
      <c r="H681" t="s">
        <v>1126</v>
      </c>
      <c r="I681" t="str">
        <f>VLOOKUP(Table1[[#This Row],[Product_ID]],Product_Dim!$A$2:$G$101,2,FALSE)</f>
        <v>Kitchen Storage Rack-Home</v>
      </c>
      <c r="J681" t="s">
        <v>1663</v>
      </c>
      <c r="K681" t="str">
        <f>VLOOKUP(Table1[[#This Row],[Store_ID]],Store_Dim!$A$3:$D$22,2,FALSE)</f>
        <v>Thomas, Bridges and Harris-North</v>
      </c>
      <c r="L681" t="s">
        <v>1751</v>
      </c>
      <c r="M681" t="s">
        <v>3958</v>
      </c>
      <c r="N681" s="3">
        <v>306.70999999999998</v>
      </c>
      <c r="O681" s="4">
        <v>0.09</v>
      </c>
      <c r="P681" t="s">
        <v>1774</v>
      </c>
      <c r="Q681" s="4">
        <v>837.31829999999991</v>
      </c>
    </row>
    <row r="682" spans="1:17" x14ac:dyDescent="0.3">
      <c r="A682" t="s">
        <v>2454</v>
      </c>
      <c r="B682" t="str">
        <f t="shared" si="10"/>
        <v>Q2</v>
      </c>
      <c r="C682" t="str">
        <f>TEXT(Table1[[#This Row],[Order_Date]],"mmmm")</f>
        <v>June</v>
      </c>
      <c r="D682">
        <f>YEAR(Table1[[#This Row],[Order_Date]])</f>
        <v>2024</v>
      </c>
      <c r="E682" s="7">
        <v>45456</v>
      </c>
      <c r="F682" s="2" t="str">
        <f>VLOOKUP(Table1[[#This Row],[Customer_ID]],Customer_Dim!$A$2:$H$501,2,FALSE)</f>
        <v>Brian Garcia</v>
      </c>
      <c r="G682" s="2" t="str">
        <f>_xlfn.XLOOKUP(Table1[[#This Row],[Customer_ID]],Customer_Dim!$A$2:$A$501,Customer_Dim!$E$2:$E$501)</f>
        <v>Ramosmouth</v>
      </c>
      <c r="H682" t="s">
        <v>853</v>
      </c>
      <c r="I682" t="str">
        <f>VLOOKUP(Table1[[#This Row],[Product_ID]],Product_Dim!$A$2:$G$101,2,FALSE)</f>
        <v>Women's Scarf Set-Clothing</v>
      </c>
      <c r="J682" t="s">
        <v>1573</v>
      </c>
      <c r="K682" t="str">
        <f>VLOOKUP(Table1[[#This Row],[Store_ID]],Store_Dim!$A$3:$D$22,2,FALSE)</f>
        <v>Benson-Elliott-East</v>
      </c>
      <c r="L682" t="s">
        <v>1740</v>
      </c>
      <c r="M682" t="s">
        <v>3959</v>
      </c>
      <c r="N682" s="3">
        <v>484.92</v>
      </c>
      <c r="O682" s="4">
        <v>0.28000000000000003</v>
      </c>
      <c r="P682" t="s">
        <v>1774</v>
      </c>
      <c r="Q682" s="4">
        <v>1396.5696</v>
      </c>
    </row>
    <row r="683" spans="1:17" x14ac:dyDescent="0.3">
      <c r="A683" t="s">
        <v>2455</v>
      </c>
      <c r="B683" t="str">
        <f t="shared" si="10"/>
        <v>Q1</v>
      </c>
      <c r="C683" t="str">
        <f>TEXT(Table1[[#This Row],[Order_Date]],"mmmm")</f>
        <v>January</v>
      </c>
      <c r="D683">
        <f>YEAR(Table1[[#This Row],[Order_Date]])</f>
        <v>2024</v>
      </c>
      <c r="E683" s="7">
        <v>45292</v>
      </c>
      <c r="F683" s="2" t="str">
        <f>VLOOKUP(Table1[[#This Row],[Customer_ID]],Customer_Dim!$A$2:$H$501,2,FALSE)</f>
        <v>Joseph Snow</v>
      </c>
      <c r="G683" s="2" t="str">
        <f>_xlfn.XLOOKUP(Table1[[#This Row],[Customer_ID]],Customer_Dim!$A$2:$A$501,Customer_Dim!$E$2:$E$501)</f>
        <v>South Michaelfort</v>
      </c>
      <c r="H683" t="s">
        <v>167</v>
      </c>
      <c r="I683" t="str">
        <f>VLOOKUP(Table1[[#This Row],[Product_ID]],Product_Dim!$A$2:$G$101,2,FALSE)</f>
        <v>Boxing Hand Wraps-Sports</v>
      </c>
      <c r="J683" t="s">
        <v>1623</v>
      </c>
      <c r="K683" t="str">
        <f>VLOOKUP(Table1[[#This Row],[Store_ID]],Store_Dim!$A$3:$D$22,2,FALSE)</f>
        <v>Gray Ltd-North</v>
      </c>
      <c r="L683" t="s">
        <v>1738</v>
      </c>
      <c r="M683" t="s">
        <v>3960</v>
      </c>
      <c r="N683" s="3">
        <v>42.04</v>
      </c>
      <c r="O683" s="4">
        <v>7.0000000000000007E-2</v>
      </c>
      <c r="P683" t="s">
        <v>1772</v>
      </c>
      <c r="Q683" s="4">
        <v>78.194399999999987</v>
      </c>
    </row>
    <row r="684" spans="1:17" x14ac:dyDescent="0.3">
      <c r="A684" t="s">
        <v>2456</v>
      </c>
      <c r="B684" t="str">
        <f t="shared" si="10"/>
        <v>Q4</v>
      </c>
      <c r="C684" t="str">
        <f>TEXT(Table1[[#This Row],[Order_Date]],"mmmm")</f>
        <v>December</v>
      </c>
      <c r="D684">
        <f>YEAR(Table1[[#This Row],[Order_Date]])</f>
        <v>2023</v>
      </c>
      <c r="E684" s="7">
        <v>45278</v>
      </c>
      <c r="F684" s="2" t="str">
        <f>VLOOKUP(Table1[[#This Row],[Customer_ID]],Customer_Dim!$A$2:$H$501,2,FALSE)</f>
        <v>Brittany Watson</v>
      </c>
      <c r="G684" s="2" t="str">
        <f>_xlfn.XLOOKUP(Table1[[#This Row],[Customer_ID]],Customer_Dim!$A$2:$A$501,Customer_Dim!$E$2:$E$501)</f>
        <v>North Joshualand</v>
      </c>
      <c r="H684" t="s">
        <v>885</v>
      </c>
      <c r="I684" t="str">
        <f>VLOOKUP(Table1[[#This Row],[Product_ID]],Product_Dim!$A$2:$G$101,2,FALSE)</f>
        <v>Ceramic Plant Pot-Home</v>
      </c>
      <c r="J684" t="s">
        <v>1633</v>
      </c>
      <c r="K684" t="str">
        <f>VLOOKUP(Table1[[#This Row],[Store_ID]],Store_Dim!$A$3:$D$22,2,FALSE)</f>
        <v>Benson-Elliott-East</v>
      </c>
      <c r="L684" t="s">
        <v>1740</v>
      </c>
      <c r="M684" t="s">
        <v>3958</v>
      </c>
      <c r="N684" s="3">
        <v>599.48</v>
      </c>
      <c r="O684" s="4">
        <v>0.22</v>
      </c>
      <c r="P684" t="s">
        <v>1774</v>
      </c>
      <c r="Q684" s="4">
        <v>1402.7832000000001</v>
      </c>
    </row>
    <row r="685" spans="1:17" x14ac:dyDescent="0.3">
      <c r="A685" t="s">
        <v>2457</v>
      </c>
      <c r="B685" t="str">
        <f t="shared" si="10"/>
        <v>Q4</v>
      </c>
      <c r="C685" t="str">
        <f>TEXT(Table1[[#This Row],[Order_Date]],"mmmm")</f>
        <v>November</v>
      </c>
      <c r="D685">
        <f>YEAR(Table1[[#This Row],[Order_Date]])</f>
        <v>2023</v>
      </c>
      <c r="E685" s="7">
        <v>45232</v>
      </c>
      <c r="F685" s="2" t="str">
        <f>VLOOKUP(Table1[[#This Row],[Customer_ID]],Customer_Dim!$A$2:$H$501,2,FALSE)</f>
        <v>Manuel Castillo</v>
      </c>
      <c r="G685" s="2" t="str">
        <f>_xlfn.XLOOKUP(Table1[[#This Row],[Customer_ID]],Customer_Dim!$A$2:$A$501,Customer_Dim!$E$2:$E$501)</f>
        <v>Nealview</v>
      </c>
      <c r="H685" t="s">
        <v>1106</v>
      </c>
      <c r="I685" t="str">
        <f>VLOOKUP(Table1[[#This Row],[Product_ID]],Product_Dim!$A$2:$G$101,2,FALSE)</f>
        <v>Soccer Training Cone Set-Sports</v>
      </c>
      <c r="J685" t="s">
        <v>1557</v>
      </c>
      <c r="K685" t="str">
        <f>VLOOKUP(Table1[[#This Row],[Store_ID]],Store_Dim!$A$3:$D$22,2,FALSE)</f>
        <v>Martinez, Adkins and Johnson-North</v>
      </c>
      <c r="L685" t="s">
        <v>1728</v>
      </c>
      <c r="M685" t="s">
        <v>3958</v>
      </c>
      <c r="N685" s="3">
        <v>401.42</v>
      </c>
      <c r="O685" s="4">
        <v>0.01</v>
      </c>
      <c r="P685" t="s">
        <v>1777</v>
      </c>
      <c r="Q685" s="4">
        <v>1192.2174</v>
      </c>
    </row>
    <row r="686" spans="1:17" x14ac:dyDescent="0.3">
      <c r="A686" t="s">
        <v>2458</v>
      </c>
      <c r="B686" t="str">
        <f t="shared" si="10"/>
        <v>Q3</v>
      </c>
      <c r="C686" t="str">
        <f>TEXT(Table1[[#This Row],[Order_Date]],"mmmm")</f>
        <v>September</v>
      </c>
      <c r="D686">
        <f>YEAR(Table1[[#This Row],[Order_Date]])</f>
        <v>2025</v>
      </c>
      <c r="E686" s="7">
        <v>45907</v>
      </c>
      <c r="F686" s="2" t="str">
        <f>VLOOKUP(Table1[[#This Row],[Customer_ID]],Customer_Dim!$A$2:$H$501,2,FALSE)</f>
        <v>Jacob Wood</v>
      </c>
      <c r="G686" s="2" t="str">
        <f>_xlfn.XLOOKUP(Table1[[#This Row],[Customer_ID]],Customer_Dim!$A$2:$A$501,Customer_Dim!$E$2:$E$501)</f>
        <v>Lake Samanthafort</v>
      </c>
      <c r="H686" t="s">
        <v>625</v>
      </c>
      <c r="I686" t="str">
        <f>VLOOKUP(Table1[[#This Row],[Product_ID]],Product_Dim!$A$2:$G$101,2,FALSE)</f>
        <v>Men's Winter Jacket-Clothing</v>
      </c>
      <c r="J686" t="s">
        <v>1615</v>
      </c>
      <c r="K686" t="str">
        <f>VLOOKUP(Table1[[#This Row],[Store_ID]],Store_Dim!$A$3:$D$22,2,FALSE)</f>
        <v>Bean, Jones and Park-West</v>
      </c>
      <c r="L686" t="s">
        <v>1744</v>
      </c>
      <c r="M686" t="s">
        <v>3959</v>
      </c>
      <c r="N686" s="3">
        <v>442.54</v>
      </c>
      <c r="O686" s="4">
        <v>0.06</v>
      </c>
      <c r="P686" t="s">
        <v>1772</v>
      </c>
      <c r="Q686" s="4">
        <v>1663.9503999999999</v>
      </c>
    </row>
    <row r="687" spans="1:17" x14ac:dyDescent="0.3">
      <c r="A687" t="s">
        <v>2459</v>
      </c>
      <c r="B687" t="str">
        <f t="shared" si="10"/>
        <v>Q4</v>
      </c>
      <c r="C687" t="str">
        <f>TEXT(Table1[[#This Row],[Order_Date]],"mmmm")</f>
        <v>December</v>
      </c>
      <c r="D687">
        <f>YEAR(Table1[[#This Row],[Order_Date]])</f>
        <v>2023</v>
      </c>
      <c r="E687" s="7">
        <v>45270</v>
      </c>
      <c r="F687" s="2" t="str">
        <f>VLOOKUP(Table1[[#This Row],[Customer_ID]],Customer_Dim!$A$2:$H$501,2,FALSE)</f>
        <v>Julie Powell</v>
      </c>
      <c r="G687" s="2" t="str">
        <f>_xlfn.XLOOKUP(Table1[[#This Row],[Customer_ID]],Customer_Dim!$A$2:$A$501,Customer_Dim!$E$2:$E$501)</f>
        <v>South Barbara</v>
      </c>
      <c r="H687" t="s">
        <v>1392</v>
      </c>
      <c r="I687" t="str">
        <f>VLOOKUP(Table1[[#This Row],[Product_ID]],Product_Dim!$A$2:$G$101,2,FALSE)</f>
        <v>Sports Wrist Sweatbands-Sports</v>
      </c>
      <c r="J687" t="s">
        <v>1699</v>
      </c>
      <c r="K687" t="str">
        <f>VLOOKUP(Table1[[#This Row],[Store_ID]],Store_Dim!$A$3:$D$22,2,FALSE)</f>
        <v>Gardner, Humphrey and Contreras-East</v>
      </c>
      <c r="L687" t="s">
        <v>1753</v>
      </c>
      <c r="M687" t="s">
        <v>3959</v>
      </c>
      <c r="N687" s="3">
        <v>451.41</v>
      </c>
      <c r="O687" s="4">
        <v>0.06</v>
      </c>
      <c r="P687" t="s">
        <v>1774</v>
      </c>
      <c r="Q687" s="4">
        <v>1697.3016</v>
      </c>
    </row>
    <row r="688" spans="1:17" x14ac:dyDescent="0.3">
      <c r="A688" t="s">
        <v>2460</v>
      </c>
      <c r="B688" t="str">
        <f t="shared" si="10"/>
        <v>Q4</v>
      </c>
      <c r="C688" t="str">
        <f>TEXT(Table1[[#This Row],[Order_Date]],"mmmm")</f>
        <v>October</v>
      </c>
      <c r="D688">
        <f>YEAR(Table1[[#This Row],[Order_Date]])</f>
        <v>2025</v>
      </c>
      <c r="E688" s="7">
        <v>45942</v>
      </c>
      <c r="F688" s="2" t="str">
        <f>VLOOKUP(Table1[[#This Row],[Customer_ID]],Customer_Dim!$A$2:$H$501,2,FALSE)</f>
        <v>Tracy Kelly</v>
      </c>
      <c r="G688" s="2" t="str">
        <f>_xlfn.XLOOKUP(Table1[[#This Row],[Customer_ID]],Customer_Dim!$A$2:$A$501,Customer_Dim!$E$2:$E$501)</f>
        <v>West Jamieport</v>
      </c>
      <c r="H688" t="s">
        <v>839</v>
      </c>
      <c r="I688" t="str">
        <f>VLOOKUP(Table1[[#This Row],[Product_ID]],Product_Dim!$A$2:$G$101,2,FALSE)</f>
        <v>Women's High Heels-Clothing</v>
      </c>
      <c r="J688" t="s">
        <v>1705</v>
      </c>
      <c r="K688" t="str">
        <f>VLOOKUP(Table1[[#This Row],[Store_ID]],Store_Dim!$A$3:$D$22,2,FALSE)</f>
        <v>Moore, Padilla and Butler-South</v>
      </c>
      <c r="L688" t="s">
        <v>1746</v>
      </c>
      <c r="M688" t="s">
        <v>3959</v>
      </c>
      <c r="N688" s="3">
        <v>547.21</v>
      </c>
      <c r="O688" s="4">
        <v>0.25</v>
      </c>
      <c r="P688" t="s">
        <v>1772</v>
      </c>
      <c r="Q688" s="4">
        <v>1641.63</v>
      </c>
    </row>
    <row r="689" spans="1:17" x14ac:dyDescent="0.3">
      <c r="A689" t="s">
        <v>2461</v>
      </c>
      <c r="B689" t="str">
        <f t="shared" si="10"/>
        <v>Q2</v>
      </c>
      <c r="C689" t="str">
        <f>TEXT(Table1[[#This Row],[Order_Date]],"mmmm")</f>
        <v>April</v>
      </c>
      <c r="D689">
        <f>YEAR(Table1[[#This Row],[Order_Date]])</f>
        <v>2025</v>
      </c>
      <c r="E689" s="7">
        <v>45750</v>
      </c>
      <c r="F689" s="2" t="str">
        <f>VLOOKUP(Table1[[#This Row],[Customer_ID]],Customer_Dim!$A$2:$H$501,2,FALSE)</f>
        <v>Sarah Brady</v>
      </c>
      <c r="G689" s="2" t="str">
        <f>_xlfn.XLOOKUP(Table1[[#This Row],[Customer_ID]],Customer_Dim!$A$2:$A$501,Customer_Dim!$E$2:$E$501)</f>
        <v>Johnsonland</v>
      </c>
      <c r="H689" t="s">
        <v>657</v>
      </c>
      <c r="I689" t="str">
        <f>VLOOKUP(Table1[[#This Row],[Product_ID]],Product_Dim!$A$2:$G$101,2,FALSE)</f>
        <v>LED Bedside Lamp-Home</v>
      </c>
      <c r="J689" t="s">
        <v>1697</v>
      </c>
      <c r="K689" t="str">
        <f>VLOOKUP(Table1[[#This Row],[Store_ID]],Store_Dim!$A$3:$D$22,2,FALSE)</f>
        <v>Alexander Group-South</v>
      </c>
      <c r="L689" t="s">
        <v>1735</v>
      </c>
      <c r="M689" t="s">
        <v>3957</v>
      </c>
      <c r="N689" s="3">
        <v>979.28</v>
      </c>
      <c r="O689" s="4">
        <v>0.2</v>
      </c>
      <c r="P689" t="s">
        <v>1774</v>
      </c>
      <c r="Q689" s="4">
        <v>783.42399999999998</v>
      </c>
    </row>
    <row r="690" spans="1:17" x14ac:dyDescent="0.3">
      <c r="A690" t="s">
        <v>2462</v>
      </c>
      <c r="B690" t="str">
        <f t="shared" si="10"/>
        <v>Q1</v>
      </c>
      <c r="C690" t="str">
        <f>TEXT(Table1[[#This Row],[Order_Date]],"mmmm")</f>
        <v>January</v>
      </c>
      <c r="D690">
        <f>YEAR(Table1[[#This Row],[Order_Date]])</f>
        <v>2024</v>
      </c>
      <c r="E690" s="7">
        <v>45300</v>
      </c>
      <c r="F690" s="2" t="e">
        <f>VLOOKUP(Table1[[#This Row],[Customer_ID]],Customer_Dim!$A$2:$H$501,2,FALSE)</f>
        <v>#N/A</v>
      </c>
      <c r="G690" s="2" t="e">
        <f>_xlfn.XLOOKUP(Table1[[#This Row],[Customer_ID]],Customer_Dim!$A$2:$A$501,Customer_Dim!$E$2:$E$501)</f>
        <v>#N/A</v>
      </c>
      <c r="H690" t="s">
        <v>1415</v>
      </c>
      <c r="I690" t="str">
        <f>VLOOKUP(Table1[[#This Row],[Product_ID]],Product_Dim!$A$2:$G$101,2,FALSE)</f>
        <v>Premium Blanket Throw-Home</v>
      </c>
      <c r="J690" t="s">
        <v>1635</v>
      </c>
      <c r="K690" t="str">
        <f>VLOOKUP(Table1[[#This Row],[Store_ID]],Store_Dim!$A$3:$D$22,2,FALSE)</f>
        <v>Martinez-Mullins-South</v>
      </c>
      <c r="L690" t="s">
        <v>1742</v>
      </c>
      <c r="M690" t="s">
        <v>3959</v>
      </c>
      <c r="N690" s="3">
        <v>263.58999999999997</v>
      </c>
      <c r="O690" s="4">
        <v>0.04</v>
      </c>
      <c r="P690" t="s">
        <v>1772</v>
      </c>
      <c r="Q690" s="4">
        <v>1012.1856</v>
      </c>
    </row>
    <row r="691" spans="1:17" x14ac:dyDescent="0.3">
      <c r="A691" t="s">
        <v>2463</v>
      </c>
      <c r="B691" t="str">
        <f t="shared" si="10"/>
        <v>Q3</v>
      </c>
      <c r="C691" t="str">
        <f>TEXT(Table1[[#This Row],[Order_Date]],"mmmm")</f>
        <v>August</v>
      </c>
      <c r="D691">
        <f>YEAR(Table1[[#This Row],[Order_Date]])</f>
        <v>2025</v>
      </c>
      <c r="E691" s="7">
        <v>45876</v>
      </c>
      <c r="F691" s="2" t="str">
        <f>VLOOKUP(Table1[[#This Row],[Customer_ID]],Customer_Dim!$A$2:$H$501,2,FALSE)</f>
        <v>Dr. Benjamin Price</v>
      </c>
      <c r="G691" s="2" t="str">
        <f>_xlfn.XLOOKUP(Table1[[#This Row],[Customer_ID]],Customer_Dim!$A$2:$A$501,Customer_Dim!$E$2:$E$501)</f>
        <v>Kylebury</v>
      </c>
      <c r="H691" t="s">
        <v>20</v>
      </c>
      <c r="I691" t="str">
        <f>VLOOKUP(Table1[[#This Row],[Product_ID]],Product_Dim!$A$2:$G$101,2,FALSE)</f>
        <v>Sports Stopwatch Pro-Sports</v>
      </c>
      <c r="J691" t="s">
        <v>1631</v>
      </c>
      <c r="K691" t="str">
        <f>VLOOKUP(Table1[[#This Row],[Store_ID]],Store_Dim!$A$3:$D$22,2,FALSE)</f>
        <v>Gray Ltd-North</v>
      </c>
      <c r="L691" t="s">
        <v>1738</v>
      </c>
      <c r="M691" t="s">
        <v>3957</v>
      </c>
      <c r="N691" s="3">
        <v>692.75</v>
      </c>
      <c r="O691" s="4">
        <v>0.11</v>
      </c>
      <c r="P691" t="s">
        <v>1777</v>
      </c>
      <c r="Q691" s="4">
        <v>616.54750000000001</v>
      </c>
    </row>
    <row r="692" spans="1:17" x14ac:dyDescent="0.3">
      <c r="A692" t="s">
        <v>2464</v>
      </c>
      <c r="B692" t="str">
        <f t="shared" si="10"/>
        <v>Q1</v>
      </c>
      <c r="C692" t="str">
        <f>TEXT(Table1[[#This Row],[Order_Date]],"mmmm")</f>
        <v>January</v>
      </c>
      <c r="D692">
        <f>YEAR(Table1[[#This Row],[Order_Date]])</f>
        <v>2024</v>
      </c>
      <c r="E692" s="7">
        <v>45301</v>
      </c>
      <c r="F692" s="2" t="str">
        <f>VLOOKUP(Table1[[#This Row],[Customer_ID]],Customer_Dim!$A$2:$H$501,2,FALSE)</f>
        <v>Joseph Jones</v>
      </c>
      <c r="G692" s="2" t="str">
        <f>_xlfn.XLOOKUP(Table1[[#This Row],[Customer_ID]],Customer_Dim!$A$2:$A$501,Customer_Dim!$E$2:$E$501)</f>
        <v>North Matthew</v>
      </c>
      <c r="H692" t="s">
        <v>539</v>
      </c>
      <c r="I692" t="str">
        <f>VLOOKUP(Table1[[#This Row],[Product_ID]],Product_Dim!$A$2:$G$101,2,FALSE)</f>
        <v>Organic Sunscreen Lotion-Beauty</v>
      </c>
      <c r="J692" t="s">
        <v>1649</v>
      </c>
      <c r="K692" t="str">
        <f>VLOOKUP(Table1[[#This Row],[Store_ID]],Store_Dim!$A$3:$D$22,2,FALSE)</f>
        <v>Johnson-Wright-North</v>
      </c>
      <c r="L692" t="s">
        <v>1733</v>
      </c>
      <c r="M692" t="s">
        <v>3958</v>
      </c>
      <c r="N692" s="3">
        <v>142.83000000000001</v>
      </c>
      <c r="O692" s="4">
        <v>0.01</v>
      </c>
      <c r="P692" t="s">
        <v>1772</v>
      </c>
      <c r="Q692" s="4">
        <v>424.20510000000002</v>
      </c>
    </row>
    <row r="693" spans="1:17" x14ac:dyDescent="0.3">
      <c r="A693" t="s">
        <v>2465</v>
      </c>
      <c r="B693" t="str">
        <f t="shared" si="10"/>
        <v>Q3</v>
      </c>
      <c r="C693" t="str">
        <f>TEXT(Table1[[#This Row],[Order_Date]],"mmmm")</f>
        <v>July</v>
      </c>
      <c r="D693">
        <f>YEAR(Table1[[#This Row],[Order_Date]])</f>
        <v>2025</v>
      </c>
      <c r="E693" s="7">
        <v>45857</v>
      </c>
      <c r="F693" s="2" t="str">
        <f>VLOOKUP(Table1[[#This Row],[Customer_ID]],Customer_Dim!$A$2:$H$501,2,FALSE)</f>
        <v>Donald Lee</v>
      </c>
      <c r="G693" s="2" t="str">
        <f>_xlfn.XLOOKUP(Table1[[#This Row],[Customer_ID]],Customer_Dim!$A$2:$A$501,Customer_Dim!$E$2:$E$501)</f>
        <v>Wongberg</v>
      </c>
      <c r="H693" t="s">
        <v>423</v>
      </c>
      <c r="I693" t="str">
        <f>VLOOKUP(Table1[[#This Row],[Product_ID]],Product_Dim!$A$2:$G$101,2,FALSE)</f>
        <v>Carbon Fiber Tennis Racket-Sports</v>
      </c>
      <c r="J693" t="s">
        <v>1567</v>
      </c>
      <c r="K693" t="str">
        <f>VLOOKUP(Table1[[#This Row],[Store_ID]],Store_Dim!$A$3:$D$22,2,FALSE)</f>
        <v>Black-Horn-South</v>
      </c>
      <c r="L693" t="s">
        <v>1730</v>
      </c>
      <c r="M693" t="s">
        <v>3960</v>
      </c>
      <c r="N693" s="3">
        <v>419.25</v>
      </c>
      <c r="O693" s="4">
        <v>0.17</v>
      </c>
      <c r="P693" t="s">
        <v>1774</v>
      </c>
      <c r="Q693" s="4">
        <v>695.95499999999993</v>
      </c>
    </row>
    <row r="694" spans="1:17" x14ac:dyDescent="0.3">
      <c r="A694" t="s">
        <v>2466</v>
      </c>
      <c r="B694" t="str">
        <f t="shared" si="10"/>
        <v>Q4</v>
      </c>
      <c r="C694" t="str">
        <f>TEXT(Table1[[#This Row],[Order_Date]],"mmmm")</f>
        <v>December</v>
      </c>
      <c r="D694">
        <f>YEAR(Table1[[#This Row],[Order_Date]])</f>
        <v>2024</v>
      </c>
      <c r="E694" s="7">
        <v>45650</v>
      </c>
      <c r="F694" s="2" t="str">
        <f>VLOOKUP(Table1[[#This Row],[Customer_ID]],Customer_Dim!$A$2:$H$501,2,FALSE)</f>
        <v>William Hull</v>
      </c>
      <c r="G694" s="2" t="str">
        <f>_xlfn.XLOOKUP(Table1[[#This Row],[Customer_ID]],Customer_Dim!$A$2:$A$501,Customer_Dim!$E$2:$E$501)</f>
        <v>Heathfort</v>
      </c>
      <c r="H694" t="s">
        <v>764</v>
      </c>
      <c r="I694" t="str">
        <f>VLOOKUP(Table1[[#This Row],[Product_ID]],Product_Dim!$A$2:$G$101,2,FALSE)</f>
        <v>Wireless Bluetooth Speaker-Electronics</v>
      </c>
      <c r="J694" t="s">
        <v>1575</v>
      </c>
      <c r="K694" t="str">
        <f>VLOOKUP(Table1[[#This Row],[Store_ID]],Store_Dim!$A$3:$D$22,2,FALSE)</f>
        <v>Mann-Austin-East</v>
      </c>
      <c r="L694" t="s">
        <v>1763</v>
      </c>
      <c r="M694" t="s">
        <v>3960</v>
      </c>
      <c r="N694" s="3">
        <v>800.84</v>
      </c>
      <c r="O694" s="4">
        <v>0.27</v>
      </c>
      <c r="P694" t="s">
        <v>1777</v>
      </c>
      <c r="Q694" s="4">
        <v>1169.2264</v>
      </c>
    </row>
    <row r="695" spans="1:17" x14ac:dyDescent="0.3">
      <c r="A695" t="s">
        <v>2467</v>
      </c>
      <c r="B695" t="str">
        <f t="shared" si="10"/>
        <v>Q3</v>
      </c>
      <c r="C695" t="str">
        <f>TEXT(Table1[[#This Row],[Order_Date]],"mmmm")</f>
        <v>August</v>
      </c>
      <c r="D695">
        <f>YEAR(Table1[[#This Row],[Order_Date]])</f>
        <v>2024</v>
      </c>
      <c r="E695" s="7">
        <v>45520</v>
      </c>
      <c r="F695" s="2" t="str">
        <f>VLOOKUP(Table1[[#This Row],[Customer_ID]],Customer_Dim!$A$2:$H$501,2,FALSE)</f>
        <v>Eugene Nelson</v>
      </c>
      <c r="G695" s="2" t="str">
        <f>_xlfn.XLOOKUP(Table1[[#This Row],[Customer_ID]],Customer_Dim!$A$2:$A$501,Customer_Dim!$E$2:$E$501)</f>
        <v>Phillipsmouth</v>
      </c>
      <c r="H695" t="s">
        <v>14</v>
      </c>
      <c r="I695" t="str">
        <f>VLOOKUP(Table1[[#This Row],[Product_ID]],Product_Dim!$A$2:$G$101,2,FALSE)</f>
        <v>Car Dashboard Phone Holder-Electronics</v>
      </c>
      <c r="J695" t="s">
        <v>1619</v>
      </c>
      <c r="K695" t="str">
        <f>VLOOKUP(Table1[[#This Row],[Store_ID]],Store_Dim!$A$3:$D$22,2,FALSE)</f>
        <v>Black-Horn-South</v>
      </c>
      <c r="L695" t="s">
        <v>1730</v>
      </c>
      <c r="M695" t="s">
        <v>3957</v>
      </c>
      <c r="N695" s="3">
        <v>301.24</v>
      </c>
      <c r="O695" s="4">
        <v>0.11</v>
      </c>
      <c r="P695" t="s">
        <v>1774</v>
      </c>
      <c r="Q695" s="4">
        <v>268.10359999999997</v>
      </c>
    </row>
    <row r="696" spans="1:17" x14ac:dyDescent="0.3">
      <c r="A696" t="s">
        <v>2468</v>
      </c>
      <c r="B696" t="str">
        <f t="shared" si="10"/>
        <v>Q3</v>
      </c>
      <c r="C696" t="str">
        <f>TEXT(Table1[[#This Row],[Order_Date]],"mmmm")</f>
        <v>July</v>
      </c>
      <c r="D696">
        <f>YEAR(Table1[[#This Row],[Order_Date]])</f>
        <v>2024</v>
      </c>
      <c r="E696" s="7">
        <v>45497</v>
      </c>
      <c r="F696" s="2" t="str">
        <f>VLOOKUP(Table1[[#This Row],[Customer_ID]],Customer_Dim!$A$2:$H$501,2,FALSE)</f>
        <v>Misty Ferguson</v>
      </c>
      <c r="G696" s="2" t="str">
        <f>_xlfn.XLOOKUP(Table1[[#This Row],[Customer_ID]],Customer_Dim!$A$2:$A$501,Customer_Dim!$E$2:$E$501)</f>
        <v>North Joseside</v>
      </c>
      <c r="H696" t="s">
        <v>906</v>
      </c>
      <c r="I696" t="str">
        <f>VLOOKUP(Table1[[#This Row],[Product_ID]],Product_Dim!$A$2:$G$101,2,FALSE)</f>
        <v>Women's Beanie Hat-Clothing</v>
      </c>
      <c r="J696" t="s">
        <v>1693</v>
      </c>
      <c r="K696" t="str">
        <f>VLOOKUP(Table1[[#This Row],[Store_ID]],Store_Dim!$A$3:$D$22,2,FALSE)</f>
        <v>Gray Ltd-North</v>
      </c>
      <c r="L696" t="s">
        <v>1738</v>
      </c>
      <c r="M696" t="s">
        <v>3960</v>
      </c>
      <c r="N696" s="3">
        <v>701.49</v>
      </c>
      <c r="O696" s="4">
        <v>0.09</v>
      </c>
      <c r="P696" t="s">
        <v>1774</v>
      </c>
      <c r="Q696" s="4">
        <v>1276.7118</v>
      </c>
    </row>
    <row r="697" spans="1:17" x14ac:dyDescent="0.3">
      <c r="A697" t="s">
        <v>2469</v>
      </c>
      <c r="B697" t="str">
        <f t="shared" si="10"/>
        <v>Q4</v>
      </c>
      <c r="C697" t="str">
        <f>TEXT(Table1[[#This Row],[Order_Date]],"mmmm")</f>
        <v>November</v>
      </c>
      <c r="D697">
        <f>YEAR(Table1[[#This Row],[Order_Date]])</f>
        <v>2024</v>
      </c>
      <c r="E697" s="7">
        <v>45615</v>
      </c>
      <c r="F697" s="2" t="str">
        <f>VLOOKUP(Table1[[#This Row],[Customer_ID]],Customer_Dim!$A$2:$H$501,2,FALSE)</f>
        <v>Jeffrey Mccarthy</v>
      </c>
      <c r="G697" s="2" t="str">
        <f>_xlfn.XLOOKUP(Table1[[#This Row],[Customer_ID]],Customer_Dim!$A$2:$A$501,Customer_Dim!$E$2:$E$501)</f>
        <v>North Samuel</v>
      </c>
      <c r="H697" t="s">
        <v>1089</v>
      </c>
      <c r="I697" t="str">
        <f>VLOOKUP(Table1[[#This Row],[Product_ID]],Product_Dim!$A$2:$G$101,2,FALSE)</f>
        <v>Wireless Bluetooth Speaker-Electronics</v>
      </c>
      <c r="J697" t="s">
        <v>1575</v>
      </c>
      <c r="K697" t="str">
        <f>VLOOKUP(Table1[[#This Row],[Store_ID]],Store_Dim!$A$3:$D$22,2,FALSE)</f>
        <v>Hill, Wagner and Ballard-East</v>
      </c>
      <c r="L697" t="s">
        <v>1748</v>
      </c>
      <c r="M697" t="s">
        <v>3959</v>
      </c>
      <c r="N697" s="3">
        <v>413.48</v>
      </c>
      <c r="O697" s="4">
        <v>0.02</v>
      </c>
      <c r="P697" t="s">
        <v>1774</v>
      </c>
      <c r="Q697" s="4">
        <v>1620.8416</v>
      </c>
    </row>
    <row r="698" spans="1:17" x14ac:dyDescent="0.3">
      <c r="A698" t="s">
        <v>2470</v>
      </c>
      <c r="B698" t="str">
        <f t="shared" si="10"/>
        <v>Q1</v>
      </c>
      <c r="C698" t="str">
        <f>TEXT(Table1[[#This Row],[Order_Date]],"mmmm")</f>
        <v>March</v>
      </c>
      <c r="D698">
        <f>YEAR(Table1[[#This Row],[Order_Date]])</f>
        <v>2024</v>
      </c>
      <c r="E698" s="7">
        <v>45365</v>
      </c>
      <c r="F698" s="2" t="str">
        <f>VLOOKUP(Table1[[#This Row],[Customer_ID]],Customer_Dim!$A$2:$H$501,2,FALSE)</f>
        <v>Andrea Jacobs</v>
      </c>
      <c r="G698" s="2" t="str">
        <f>_xlfn.XLOOKUP(Table1[[#This Row],[Customer_ID]],Customer_Dim!$A$2:$A$501,Customer_Dim!$E$2:$E$501)</f>
        <v>Christopherland</v>
      </c>
      <c r="H698" t="s">
        <v>640</v>
      </c>
      <c r="I698" t="str">
        <f>VLOOKUP(Table1[[#This Row],[Product_ID]],Product_Dim!$A$2:$G$101,2,FALSE)</f>
        <v>Wireless Bluetooth Earbuds-Electronics</v>
      </c>
      <c r="J698" t="s">
        <v>1539</v>
      </c>
      <c r="K698" t="str">
        <f>VLOOKUP(Table1[[#This Row],[Store_ID]],Store_Dim!$A$3:$D$22,2,FALSE)</f>
        <v>Martinez, Adkins and Johnson-North</v>
      </c>
      <c r="L698" t="s">
        <v>1728</v>
      </c>
      <c r="M698" t="s">
        <v>3959</v>
      </c>
      <c r="N698" s="3">
        <v>167.83</v>
      </c>
      <c r="O698" s="4">
        <v>0.15</v>
      </c>
      <c r="P698" t="s">
        <v>1772</v>
      </c>
      <c r="Q698" s="4">
        <v>570.62200000000007</v>
      </c>
    </row>
    <row r="699" spans="1:17" x14ac:dyDescent="0.3">
      <c r="A699" t="s">
        <v>2471</v>
      </c>
      <c r="B699" t="str">
        <f t="shared" si="10"/>
        <v>Q2</v>
      </c>
      <c r="C699" t="str">
        <f>TEXT(Table1[[#This Row],[Order_Date]],"mmmm")</f>
        <v>June</v>
      </c>
      <c r="D699">
        <f>YEAR(Table1[[#This Row],[Order_Date]])</f>
        <v>2025</v>
      </c>
      <c r="E699" s="7">
        <v>45832</v>
      </c>
      <c r="F699" s="2" t="str">
        <f>VLOOKUP(Table1[[#This Row],[Customer_ID]],Customer_Dim!$A$2:$H$501,2,FALSE)</f>
        <v>Brian Holder</v>
      </c>
      <c r="G699" s="2" t="str">
        <f>_xlfn.XLOOKUP(Table1[[#This Row],[Customer_ID]],Customer_Dim!$A$2:$A$501,Customer_Dim!$E$2:$E$501)</f>
        <v>Port Travis</v>
      </c>
      <c r="H699" t="s">
        <v>467</v>
      </c>
      <c r="I699" t="str">
        <f>VLOOKUP(Table1[[#This Row],[Product_ID]],Product_Dim!$A$2:$G$101,2,FALSE)</f>
        <v>4K Home Projector-Electronics</v>
      </c>
      <c r="J699" t="s">
        <v>1553</v>
      </c>
      <c r="K699" t="str">
        <f>VLOOKUP(Table1[[#This Row],[Store_ID]],Store_Dim!$A$3:$D$22,2,FALSE)</f>
        <v>Guerrero-Schmitt-East</v>
      </c>
      <c r="L699" t="s">
        <v>1761</v>
      </c>
      <c r="M699" t="s">
        <v>3960</v>
      </c>
      <c r="N699" s="3">
        <v>669.12</v>
      </c>
      <c r="O699" s="4">
        <v>0.22</v>
      </c>
      <c r="P699" t="s">
        <v>1772</v>
      </c>
      <c r="Q699" s="4">
        <v>1043.8271999999999</v>
      </c>
    </row>
    <row r="700" spans="1:17" x14ac:dyDescent="0.3">
      <c r="A700" t="s">
        <v>2472</v>
      </c>
      <c r="B700" t="str">
        <f t="shared" si="10"/>
        <v>Q3</v>
      </c>
      <c r="C700" t="str">
        <f>TEXT(Table1[[#This Row],[Order_Date]],"mmmm")</f>
        <v>August</v>
      </c>
      <c r="D700">
        <f>YEAR(Table1[[#This Row],[Order_Date]])</f>
        <v>2024</v>
      </c>
      <c r="E700" s="7">
        <v>45530</v>
      </c>
      <c r="F700" s="2" t="str">
        <f>VLOOKUP(Table1[[#This Row],[Customer_ID]],Customer_Dim!$A$2:$H$501,2,FALSE)</f>
        <v>Tonya Reynolds</v>
      </c>
      <c r="G700" s="2" t="str">
        <f>_xlfn.XLOOKUP(Table1[[#This Row],[Customer_ID]],Customer_Dim!$A$2:$A$501,Customer_Dim!$E$2:$E$501)</f>
        <v>Darleneton</v>
      </c>
      <c r="H700" t="s">
        <v>152</v>
      </c>
      <c r="I700" t="str">
        <f>VLOOKUP(Table1[[#This Row],[Product_ID]],Product_Dim!$A$2:$G$101,2,FALSE)</f>
        <v>Men's Casual Sneakers-Clothing</v>
      </c>
      <c r="J700" t="s">
        <v>1597</v>
      </c>
      <c r="K700" t="str">
        <f>VLOOKUP(Table1[[#This Row],[Store_ID]],Store_Dim!$A$3:$D$22,2,FALSE)</f>
        <v>Martinez-Mullins-South</v>
      </c>
      <c r="L700" t="s">
        <v>1742</v>
      </c>
      <c r="M700" t="s">
        <v>3958</v>
      </c>
      <c r="N700" s="3">
        <v>346.77</v>
      </c>
      <c r="O700" s="4">
        <v>0.18</v>
      </c>
      <c r="P700" t="s">
        <v>1774</v>
      </c>
      <c r="Q700" s="4">
        <v>853.05420000000004</v>
      </c>
    </row>
    <row r="701" spans="1:17" x14ac:dyDescent="0.3">
      <c r="A701" t="s">
        <v>2473</v>
      </c>
      <c r="B701" t="str">
        <f t="shared" si="10"/>
        <v>Q4</v>
      </c>
      <c r="C701" t="str">
        <f>TEXT(Table1[[#This Row],[Order_Date]],"mmmm")</f>
        <v>October</v>
      </c>
      <c r="D701">
        <f>YEAR(Table1[[#This Row],[Order_Date]])</f>
        <v>2025</v>
      </c>
      <c r="E701" s="7">
        <v>45939</v>
      </c>
      <c r="F701" s="2" t="str">
        <f>VLOOKUP(Table1[[#This Row],[Customer_ID]],Customer_Dim!$A$2:$H$501,2,FALSE)</f>
        <v>Alyssa Vargas</v>
      </c>
      <c r="G701" s="2" t="str">
        <f>_xlfn.XLOOKUP(Table1[[#This Row],[Customer_ID]],Customer_Dim!$A$2:$A$501,Customer_Dim!$E$2:$E$501)</f>
        <v>New Kathrynland</v>
      </c>
      <c r="H701" t="s">
        <v>218</v>
      </c>
      <c r="I701" t="str">
        <f>VLOOKUP(Table1[[#This Row],[Product_ID]],Product_Dim!$A$2:$G$101,2,FALSE)</f>
        <v>Men's Formal Shirt-Clothing</v>
      </c>
      <c r="J701" t="s">
        <v>1569</v>
      </c>
      <c r="K701" t="str">
        <f>VLOOKUP(Table1[[#This Row],[Store_ID]],Store_Dim!$A$3:$D$22,2,FALSE)</f>
        <v>Mann-Austin-East</v>
      </c>
      <c r="L701" t="s">
        <v>1763</v>
      </c>
      <c r="M701" t="s">
        <v>3958</v>
      </c>
      <c r="N701" s="3">
        <v>648.33000000000004</v>
      </c>
      <c r="O701" s="4">
        <v>0.2</v>
      </c>
      <c r="P701" t="s">
        <v>1777</v>
      </c>
      <c r="Q701" s="4">
        <v>1555.992</v>
      </c>
    </row>
    <row r="702" spans="1:17" x14ac:dyDescent="0.3">
      <c r="A702" t="s">
        <v>2474</v>
      </c>
      <c r="B702" t="str">
        <f t="shared" si="10"/>
        <v>Q2</v>
      </c>
      <c r="C702" t="str">
        <f>TEXT(Table1[[#This Row],[Order_Date]],"mmmm")</f>
        <v>April</v>
      </c>
      <c r="D702">
        <f>YEAR(Table1[[#This Row],[Order_Date]])</f>
        <v>2024</v>
      </c>
      <c r="E702" s="7">
        <v>45401</v>
      </c>
      <c r="F702" s="2" t="str">
        <f>VLOOKUP(Table1[[#This Row],[Customer_ID]],Customer_Dim!$A$2:$H$501,2,FALSE)</f>
        <v>Donna Guerra</v>
      </c>
      <c r="G702" s="2" t="str">
        <f>_xlfn.XLOOKUP(Table1[[#This Row],[Customer_ID]],Customer_Dim!$A$2:$A$501,Customer_Dim!$E$2:$E$501)</f>
        <v>North Robert</v>
      </c>
      <c r="H702" t="s">
        <v>897</v>
      </c>
      <c r="I702" t="str">
        <f>VLOOKUP(Table1[[#This Row],[Product_ID]],Product_Dim!$A$2:$G$101,2,FALSE)</f>
        <v>Herbal Face Moisturizer-Beauty</v>
      </c>
      <c r="J702" t="s">
        <v>1535</v>
      </c>
      <c r="K702" t="str">
        <f>VLOOKUP(Table1[[#This Row],[Store_ID]],Store_Dim!$A$3:$D$22,2,FALSE)</f>
        <v>Black-Horn-South</v>
      </c>
      <c r="L702" t="s">
        <v>1730</v>
      </c>
      <c r="M702" t="s">
        <v>3959</v>
      </c>
      <c r="N702" s="3">
        <v>254.94</v>
      </c>
      <c r="O702" s="4">
        <v>0.06</v>
      </c>
      <c r="P702" t="s">
        <v>1774</v>
      </c>
      <c r="Q702" s="4">
        <v>958.57439999999997</v>
      </c>
    </row>
    <row r="703" spans="1:17" x14ac:dyDescent="0.3">
      <c r="A703" t="s">
        <v>2475</v>
      </c>
      <c r="B703" t="str">
        <f t="shared" si="10"/>
        <v>Q2</v>
      </c>
      <c r="C703" t="str">
        <f>TEXT(Table1[[#This Row],[Order_Date]],"mmmm")</f>
        <v>May</v>
      </c>
      <c r="D703">
        <f>YEAR(Table1[[#This Row],[Order_Date]])</f>
        <v>2024</v>
      </c>
      <c r="E703" s="7">
        <v>45420</v>
      </c>
      <c r="F703" s="2" t="str">
        <f>VLOOKUP(Table1[[#This Row],[Customer_ID]],Customer_Dim!$A$2:$H$501,2,FALSE)</f>
        <v>Jasmine Snyder</v>
      </c>
      <c r="G703" s="2" t="str">
        <f>_xlfn.XLOOKUP(Table1[[#This Row],[Customer_ID]],Customer_Dim!$A$2:$A$501,Customer_Dim!$E$2:$E$501)</f>
        <v>Hudsonfort</v>
      </c>
      <c r="H703" t="s">
        <v>1051</v>
      </c>
      <c r="I703" t="str">
        <f>VLOOKUP(Table1[[#This Row],[Product_ID]],Product_Dim!$A$2:$G$101,2,FALSE)</f>
        <v>Badminton Racket Set-Sports</v>
      </c>
      <c r="J703" t="s">
        <v>1685</v>
      </c>
      <c r="K703" t="str">
        <f>VLOOKUP(Table1[[#This Row],[Store_ID]],Store_Dim!$A$3:$D$22,2,FALSE)</f>
        <v>Alexander Group-South</v>
      </c>
      <c r="L703" t="s">
        <v>1735</v>
      </c>
      <c r="M703" t="s">
        <v>3957</v>
      </c>
      <c r="N703" s="3">
        <v>445.5</v>
      </c>
      <c r="O703" s="4">
        <v>0.28000000000000003</v>
      </c>
      <c r="P703" t="s">
        <v>1772</v>
      </c>
      <c r="Q703" s="4">
        <v>320.76</v>
      </c>
    </row>
    <row r="704" spans="1:17" x14ac:dyDescent="0.3">
      <c r="A704" t="s">
        <v>2476</v>
      </c>
      <c r="B704" t="str">
        <f t="shared" si="10"/>
        <v>Q2</v>
      </c>
      <c r="C704" t="str">
        <f>TEXT(Table1[[#This Row],[Order_Date]],"mmmm")</f>
        <v>June</v>
      </c>
      <c r="D704">
        <f>YEAR(Table1[[#This Row],[Order_Date]])</f>
        <v>2024</v>
      </c>
      <c r="E704" s="7">
        <v>45459</v>
      </c>
      <c r="F704" s="2" t="str">
        <f>VLOOKUP(Table1[[#This Row],[Customer_ID]],Customer_Dim!$A$2:$H$501,2,FALSE)</f>
        <v>Lisa Young</v>
      </c>
      <c r="G704" s="2" t="str">
        <f>_xlfn.XLOOKUP(Table1[[#This Row],[Customer_ID]],Customer_Dim!$A$2:$A$501,Customer_Dim!$E$2:$E$501)</f>
        <v>Maybury</v>
      </c>
      <c r="H704" t="s">
        <v>710</v>
      </c>
      <c r="I704" t="str">
        <f>VLOOKUP(Table1[[#This Row],[Product_ID]],Product_Dim!$A$2:$G$101,2,FALSE)</f>
        <v>Gaming Mouse Pad XL-Electronics</v>
      </c>
      <c r="J704" t="s">
        <v>1703</v>
      </c>
      <c r="K704" t="str">
        <f>VLOOKUP(Table1[[#This Row],[Store_ID]],Store_Dim!$A$3:$D$22,2,FALSE)</f>
        <v>Alexander Group-South</v>
      </c>
      <c r="L704" t="s">
        <v>1735</v>
      </c>
      <c r="M704" t="s">
        <v>3957</v>
      </c>
      <c r="N704" s="3">
        <v>900.94</v>
      </c>
      <c r="O704" s="4">
        <v>0.1</v>
      </c>
      <c r="P704" t="s">
        <v>1772</v>
      </c>
      <c r="Q704" s="4">
        <v>810.84600000000012</v>
      </c>
    </row>
    <row r="705" spans="1:17" x14ac:dyDescent="0.3">
      <c r="A705" t="s">
        <v>2477</v>
      </c>
      <c r="B705" t="str">
        <f t="shared" si="10"/>
        <v>Q2</v>
      </c>
      <c r="C705" t="str">
        <f>TEXT(Table1[[#This Row],[Order_Date]],"mmmm")</f>
        <v>May</v>
      </c>
      <c r="D705">
        <f>YEAR(Table1[[#This Row],[Order_Date]])</f>
        <v>2024</v>
      </c>
      <c r="E705" s="7">
        <v>45429</v>
      </c>
      <c r="F705" s="2" t="str">
        <f>VLOOKUP(Table1[[#This Row],[Customer_ID]],Customer_Dim!$A$2:$H$501,2,FALSE)</f>
        <v>Megan Greer</v>
      </c>
      <c r="G705" s="2" t="str">
        <f>_xlfn.XLOOKUP(Table1[[#This Row],[Customer_ID]],Customer_Dim!$A$2:$A$501,Customer_Dim!$E$2:$E$501)</f>
        <v>West John</v>
      </c>
      <c r="H705" t="s">
        <v>637</v>
      </c>
      <c r="I705" t="str">
        <f>VLOOKUP(Table1[[#This Row],[Product_ID]],Product_Dim!$A$2:$G$101,2,FALSE)</f>
        <v>4K Home Projector-Electronics</v>
      </c>
      <c r="J705" t="s">
        <v>1553</v>
      </c>
      <c r="K705" t="str">
        <f>VLOOKUP(Table1[[#This Row],[Store_ID]],Store_Dim!$A$3:$D$22,2,FALSE)</f>
        <v>Frederick-Wright-West</v>
      </c>
      <c r="L705" t="s">
        <v>1757</v>
      </c>
      <c r="M705" t="s">
        <v>3958</v>
      </c>
      <c r="N705" s="3">
        <v>262.69</v>
      </c>
      <c r="O705" s="4">
        <v>0.04</v>
      </c>
      <c r="P705" t="s">
        <v>1774</v>
      </c>
      <c r="Q705" s="4">
        <v>756.54719999999986</v>
      </c>
    </row>
    <row r="706" spans="1:17" x14ac:dyDescent="0.3">
      <c r="A706" t="s">
        <v>2478</v>
      </c>
      <c r="B706" t="str">
        <f t="shared" ref="B706:B769" si="11">"Q" &amp;ROUNDUP(MONTH(E706)/3,0)</f>
        <v>Q2</v>
      </c>
      <c r="C706" t="str">
        <f>TEXT(Table1[[#This Row],[Order_Date]],"mmmm")</f>
        <v>April</v>
      </c>
      <c r="D706">
        <f>YEAR(Table1[[#This Row],[Order_Date]])</f>
        <v>2024</v>
      </c>
      <c r="E706" s="7">
        <v>45386</v>
      </c>
      <c r="F706" s="2" t="str">
        <f>VLOOKUP(Table1[[#This Row],[Customer_ID]],Customer_Dim!$A$2:$H$501,2,FALSE)</f>
        <v>Sheri Joyce</v>
      </c>
      <c r="G706" s="2" t="str">
        <f>_xlfn.XLOOKUP(Table1[[#This Row],[Customer_ID]],Customer_Dim!$A$2:$A$501,Customer_Dim!$E$2:$E$501)</f>
        <v>West Tylerfort</v>
      </c>
      <c r="H706" t="s">
        <v>1467</v>
      </c>
      <c r="I706" t="str">
        <f>VLOOKUP(Table1[[#This Row],[Product_ID]],Product_Dim!$A$2:$G$101,2,FALSE)</f>
        <v>Wooden Nightstand-Home</v>
      </c>
      <c r="J706" t="s">
        <v>1659</v>
      </c>
      <c r="K706" t="str">
        <f>VLOOKUP(Table1[[#This Row],[Store_ID]],Store_Dim!$A$3:$D$22,2,FALSE)</f>
        <v>Black-Horn-South</v>
      </c>
      <c r="L706" t="s">
        <v>1730</v>
      </c>
      <c r="M706" t="s">
        <v>3958</v>
      </c>
      <c r="N706" s="3">
        <v>212.72</v>
      </c>
      <c r="O706" s="4">
        <v>0.22</v>
      </c>
      <c r="P706" t="s">
        <v>1774</v>
      </c>
      <c r="Q706" s="4">
        <v>497.76479999999998</v>
      </c>
    </row>
    <row r="707" spans="1:17" x14ac:dyDescent="0.3">
      <c r="A707" t="s">
        <v>2479</v>
      </c>
      <c r="B707" t="str">
        <f t="shared" si="11"/>
        <v>Q2</v>
      </c>
      <c r="C707" t="str">
        <f>TEXT(Table1[[#This Row],[Order_Date]],"mmmm")</f>
        <v>May</v>
      </c>
      <c r="D707">
        <f>YEAR(Table1[[#This Row],[Order_Date]])</f>
        <v>2025</v>
      </c>
      <c r="E707" s="7">
        <v>45803</v>
      </c>
      <c r="F707" s="2" t="str">
        <f>VLOOKUP(Table1[[#This Row],[Customer_ID]],Customer_Dim!$A$2:$H$501,2,FALSE)</f>
        <v>Michael Davies</v>
      </c>
      <c r="G707" s="2" t="str">
        <f>_xlfn.XLOOKUP(Table1[[#This Row],[Customer_ID]],Customer_Dim!$A$2:$A$501,Customer_Dim!$E$2:$E$501)</f>
        <v>Lake Stevenfort</v>
      </c>
      <c r="H707" t="s">
        <v>503</v>
      </c>
      <c r="I707" t="str">
        <f>VLOOKUP(Table1[[#This Row],[Product_ID]],Product_Dim!$A$2:$G$101,2,FALSE)</f>
        <v>Foldable Camping Chair-Sports</v>
      </c>
      <c r="J707" t="s">
        <v>1571</v>
      </c>
      <c r="K707" t="str">
        <f>VLOOKUP(Table1[[#This Row],[Store_ID]],Store_Dim!$A$3:$D$22,2,FALSE)</f>
        <v>Guerrero-Schmitt-East</v>
      </c>
      <c r="L707" t="s">
        <v>1761</v>
      </c>
      <c r="M707" t="s">
        <v>3959</v>
      </c>
      <c r="N707" s="3">
        <v>757.9</v>
      </c>
      <c r="O707" s="4">
        <v>0.22</v>
      </c>
      <c r="P707" t="s">
        <v>1774</v>
      </c>
      <c r="Q707" s="4">
        <v>2364.6480000000001</v>
      </c>
    </row>
    <row r="708" spans="1:17" x14ac:dyDescent="0.3">
      <c r="A708" t="s">
        <v>2480</v>
      </c>
      <c r="B708" t="str">
        <f t="shared" si="11"/>
        <v>Q1</v>
      </c>
      <c r="C708" t="str">
        <f>TEXT(Table1[[#This Row],[Order_Date]],"mmmm")</f>
        <v>February</v>
      </c>
      <c r="D708">
        <f>YEAR(Table1[[#This Row],[Order_Date]])</f>
        <v>2024</v>
      </c>
      <c r="E708" s="7">
        <v>45346</v>
      </c>
      <c r="F708" s="2" t="str">
        <f>VLOOKUP(Table1[[#This Row],[Customer_ID]],Customer_Dim!$A$2:$H$501,2,FALSE)</f>
        <v>Adam Cruz</v>
      </c>
      <c r="G708" s="2" t="str">
        <f>_xlfn.XLOOKUP(Table1[[#This Row],[Customer_ID]],Customer_Dim!$A$2:$A$501,Customer_Dim!$E$2:$E$501)</f>
        <v>Brandonville</v>
      </c>
      <c r="H708" t="s">
        <v>78</v>
      </c>
      <c r="I708" t="str">
        <f>VLOOKUP(Table1[[#This Row],[Product_ID]],Product_Dim!$A$2:$G$101,2,FALSE)</f>
        <v>Wall-Mounted Spice Rack-Home</v>
      </c>
      <c r="J708" t="s">
        <v>1683</v>
      </c>
      <c r="K708" t="str">
        <f>VLOOKUP(Table1[[#This Row],[Store_ID]],Store_Dim!$A$3:$D$22,2,FALSE)</f>
        <v>Holloway Ltd-North</v>
      </c>
      <c r="L708" t="s">
        <v>1759</v>
      </c>
      <c r="M708" t="s">
        <v>3957</v>
      </c>
      <c r="N708" s="3">
        <v>846.04</v>
      </c>
      <c r="O708" s="4">
        <v>0.08</v>
      </c>
      <c r="P708" t="s">
        <v>1774</v>
      </c>
      <c r="Q708" s="4">
        <v>778.35680000000002</v>
      </c>
    </row>
    <row r="709" spans="1:17" x14ac:dyDescent="0.3">
      <c r="A709" t="s">
        <v>2481</v>
      </c>
      <c r="B709" t="str">
        <f t="shared" si="11"/>
        <v>Q4</v>
      </c>
      <c r="C709" t="str">
        <f>TEXT(Table1[[#This Row],[Order_Date]],"mmmm")</f>
        <v>December</v>
      </c>
      <c r="D709">
        <f>YEAR(Table1[[#This Row],[Order_Date]])</f>
        <v>2023</v>
      </c>
      <c r="E709" s="7">
        <v>45267</v>
      </c>
      <c r="F709" s="2" t="str">
        <f>VLOOKUP(Table1[[#This Row],[Customer_ID]],Customer_Dim!$A$2:$H$501,2,FALSE)</f>
        <v>Brian Choi</v>
      </c>
      <c r="G709" s="2" t="str">
        <f>_xlfn.XLOOKUP(Table1[[#This Row],[Customer_ID]],Customer_Dim!$A$2:$A$501,Customer_Dim!$E$2:$E$501)</f>
        <v>Floydton</v>
      </c>
      <c r="H709" t="s">
        <v>527</v>
      </c>
      <c r="I709" t="str">
        <f>VLOOKUP(Table1[[#This Row],[Product_ID]],Product_Dim!$A$2:$G$101,2,FALSE)</f>
        <v>Sports Water Hydration Pack-Sports</v>
      </c>
      <c r="J709" t="s">
        <v>1599</v>
      </c>
      <c r="K709" t="str">
        <f>VLOOKUP(Table1[[#This Row],[Store_ID]],Store_Dim!$A$3:$D$22,2,FALSE)</f>
        <v>Martinez-Mullins-South</v>
      </c>
      <c r="L709" t="s">
        <v>1742</v>
      </c>
      <c r="M709" t="s">
        <v>3958</v>
      </c>
      <c r="N709" s="3">
        <v>179.7</v>
      </c>
      <c r="O709" s="4">
        <v>0.17</v>
      </c>
      <c r="P709" t="s">
        <v>1777</v>
      </c>
      <c r="Q709" s="4">
        <v>447.45299999999992</v>
      </c>
    </row>
    <row r="710" spans="1:17" x14ac:dyDescent="0.3">
      <c r="A710" t="s">
        <v>2482</v>
      </c>
      <c r="B710" t="str">
        <f t="shared" si="11"/>
        <v>Q4</v>
      </c>
      <c r="C710" t="str">
        <f>TEXT(Table1[[#This Row],[Order_Date]],"mmmm")</f>
        <v>October</v>
      </c>
      <c r="D710">
        <f>YEAR(Table1[[#This Row],[Order_Date]])</f>
        <v>2024</v>
      </c>
      <c r="E710" s="7">
        <v>45572</v>
      </c>
      <c r="F710" s="2" t="str">
        <f>VLOOKUP(Table1[[#This Row],[Customer_ID]],Customer_Dim!$A$2:$H$501,2,FALSE)</f>
        <v>Shannon Turner</v>
      </c>
      <c r="G710" s="2" t="str">
        <f>_xlfn.XLOOKUP(Table1[[#This Row],[Customer_ID]],Customer_Dim!$A$2:$A$501,Customer_Dim!$E$2:$E$501)</f>
        <v>West Jorge</v>
      </c>
      <c r="H710" t="s">
        <v>1364</v>
      </c>
      <c r="I710" t="str">
        <f>VLOOKUP(Table1[[#This Row],[Product_ID]],Product_Dim!$A$2:$G$101,2,FALSE)</f>
        <v>Basketball-Sports</v>
      </c>
      <c r="J710" t="s">
        <v>1585</v>
      </c>
      <c r="K710" t="str">
        <f>VLOOKUP(Table1[[#This Row],[Store_ID]],Store_Dim!$A$3:$D$22,2,FALSE)</f>
        <v>Alexander Group-South</v>
      </c>
      <c r="L710" t="s">
        <v>1735</v>
      </c>
      <c r="M710" t="s">
        <v>3959</v>
      </c>
      <c r="N710" s="3">
        <v>681.08</v>
      </c>
      <c r="O710" s="4">
        <v>0</v>
      </c>
      <c r="P710" t="s">
        <v>1774</v>
      </c>
      <c r="Q710" s="4">
        <v>2724.32</v>
      </c>
    </row>
    <row r="711" spans="1:17" x14ac:dyDescent="0.3">
      <c r="A711" t="s">
        <v>2483</v>
      </c>
      <c r="B711" t="str">
        <f t="shared" si="11"/>
        <v>Q4</v>
      </c>
      <c r="C711" t="str">
        <f>TEXT(Table1[[#This Row],[Order_Date]],"mmmm")</f>
        <v>November</v>
      </c>
      <c r="D711">
        <f>YEAR(Table1[[#This Row],[Order_Date]])</f>
        <v>2023</v>
      </c>
      <c r="E711" s="7">
        <v>45252</v>
      </c>
      <c r="F711" s="2" t="str">
        <f>VLOOKUP(Table1[[#This Row],[Customer_ID]],Customer_Dim!$A$2:$H$501,2,FALSE)</f>
        <v>Justin Ingram</v>
      </c>
      <c r="G711" s="2" t="str">
        <f>_xlfn.XLOOKUP(Table1[[#This Row],[Customer_ID]],Customer_Dim!$A$2:$A$501,Customer_Dim!$E$2:$E$501)</f>
        <v>Lake Lisaland</v>
      </c>
      <c r="H711" t="s">
        <v>1240</v>
      </c>
      <c r="I711" t="str">
        <f>VLOOKUP(Table1[[#This Row],[Product_ID]],Product_Dim!$A$2:$G$101,2,FALSE)</f>
        <v>Women's Yoga Pants-Clothing</v>
      </c>
      <c r="J711" t="s">
        <v>1531</v>
      </c>
      <c r="K711" t="str">
        <f>VLOOKUP(Table1[[#This Row],[Store_ID]],Store_Dim!$A$3:$D$22,2,FALSE)</f>
        <v>Martinez-Mullins-South</v>
      </c>
      <c r="L711" t="s">
        <v>1742</v>
      </c>
      <c r="M711" t="s">
        <v>3959</v>
      </c>
      <c r="N711" s="3">
        <v>723.44</v>
      </c>
      <c r="O711" s="4">
        <v>0.14000000000000001</v>
      </c>
      <c r="P711" t="s">
        <v>1774</v>
      </c>
      <c r="Q711" s="4">
        <v>2488.6336000000001</v>
      </c>
    </row>
    <row r="712" spans="1:17" x14ac:dyDescent="0.3">
      <c r="A712" t="s">
        <v>2484</v>
      </c>
      <c r="B712" t="str">
        <f t="shared" si="11"/>
        <v>Q4</v>
      </c>
      <c r="C712" t="str">
        <f>TEXT(Table1[[#This Row],[Order_Date]],"mmmm")</f>
        <v>October</v>
      </c>
      <c r="D712">
        <f>YEAR(Table1[[#This Row],[Order_Date]])</f>
        <v>2025</v>
      </c>
      <c r="E712" s="7">
        <v>45939</v>
      </c>
      <c r="F712" s="2" t="str">
        <f>VLOOKUP(Table1[[#This Row],[Customer_ID]],Customer_Dim!$A$2:$H$501,2,FALSE)</f>
        <v>James Wolfe</v>
      </c>
      <c r="G712" s="2" t="str">
        <f>_xlfn.XLOOKUP(Table1[[#This Row],[Customer_ID]],Customer_Dim!$A$2:$A$501,Customer_Dim!$E$2:$E$501)</f>
        <v>Benjaminton</v>
      </c>
      <c r="H712" t="s">
        <v>430</v>
      </c>
      <c r="I712" t="str">
        <f>VLOOKUP(Table1[[#This Row],[Product_ID]],Product_Dim!$A$2:$G$101,2,FALSE)</f>
        <v>Basketball-Sports</v>
      </c>
      <c r="J712" t="s">
        <v>1585</v>
      </c>
      <c r="K712" t="str">
        <f>VLOOKUP(Table1[[#This Row],[Store_ID]],Store_Dim!$A$3:$D$22,2,FALSE)</f>
        <v>Mcdonald Inc-South</v>
      </c>
      <c r="L712" t="s">
        <v>1754</v>
      </c>
      <c r="M712" t="s">
        <v>3959</v>
      </c>
      <c r="N712" s="3">
        <v>471.89</v>
      </c>
      <c r="O712" s="4">
        <v>0.12</v>
      </c>
      <c r="P712" t="s">
        <v>1777</v>
      </c>
      <c r="Q712" s="4">
        <v>1661.0527999999999</v>
      </c>
    </row>
    <row r="713" spans="1:17" x14ac:dyDescent="0.3">
      <c r="A713" t="s">
        <v>2485</v>
      </c>
      <c r="B713" t="str">
        <f t="shared" si="11"/>
        <v>Q3</v>
      </c>
      <c r="C713" t="str">
        <f>TEXT(Table1[[#This Row],[Order_Date]],"mmmm")</f>
        <v>September</v>
      </c>
      <c r="D713">
        <f>YEAR(Table1[[#This Row],[Order_Date]])</f>
        <v>2024</v>
      </c>
      <c r="E713" s="7">
        <v>45559</v>
      </c>
      <c r="F713" s="2" t="str">
        <f>VLOOKUP(Table1[[#This Row],[Customer_ID]],Customer_Dim!$A$2:$H$501,2,FALSE)</f>
        <v>Mallory Allen</v>
      </c>
      <c r="G713" s="2" t="str">
        <f>_xlfn.XLOOKUP(Table1[[#This Row],[Customer_ID]],Customer_Dim!$A$2:$A$501,Customer_Dim!$E$2:$E$501)</f>
        <v>North Theresa</v>
      </c>
      <c r="H713" t="s">
        <v>1132</v>
      </c>
      <c r="I713" t="str">
        <f>VLOOKUP(Table1[[#This Row],[Product_ID]],Product_Dim!$A$2:$G$101,2,FALSE)</f>
        <v>Hair Repair Oil Treatment-Beauty</v>
      </c>
      <c r="J713" t="s">
        <v>1665</v>
      </c>
      <c r="K713" t="str">
        <f>VLOOKUP(Table1[[#This Row],[Store_ID]],Store_Dim!$A$3:$D$22,2,FALSE)</f>
        <v>Holloway Ltd-North</v>
      </c>
      <c r="L713" t="s">
        <v>1759</v>
      </c>
      <c r="M713" t="s">
        <v>3957</v>
      </c>
      <c r="N713" s="3">
        <v>613.17999999999995</v>
      </c>
      <c r="O713" s="4">
        <v>0.14000000000000001</v>
      </c>
      <c r="P713" t="s">
        <v>1777</v>
      </c>
      <c r="Q713" s="4">
        <v>527.33479999999997</v>
      </c>
    </row>
    <row r="714" spans="1:17" x14ac:dyDescent="0.3">
      <c r="A714" t="s">
        <v>2486</v>
      </c>
      <c r="B714" t="str">
        <f t="shared" si="11"/>
        <v>Q4</v>
      </c>
      <c r="C714" t="str">
        <f>TEXT(Table1[[#This Row],[Order_Date]],"mmmm")</f>
        <v>October</v>
      </c>
      <c r="D714">
        <f>YEAR(Table1[[#This Row],[Order_Date]])</f>
        <v>2023</v>
      </c>
      <c r="E714" s="7">
        <v>45229</v>
      </c>
      <c r="F714" s="2" t="str">
        <f>VLOOKUP(Table1[[#This Row],[Customer_ID]],Customer_Dim!$A$2:$H$501,2,FALSE)</f>
        <v>Sarah Rodgers</v>
      </c>
      <c r="G714" s="2" t="str">
        <f>_xlfn.XLOOKUP(Table1[[#This Row],[Customer_ID]],Customer_Dim!$A$2:$A$501,Customer_Dim!$E$2:$E$501)</f>
        <v>New Julia</v>
      </c>
      <c r="H714" t="s">
        <v>192</v>
      </c>
      <c r="I714" t="str">
        <f>VLOOKUP(Table1[[#This Row],[Product_ID]],Product_Dim!$A$2:$G$101,2,FALSE)</f>
        <v>USB External Hard Drive-Electronics</v>
      </c>
      <c r="J714" t="s">
        <v>1609</v>
      </c>
      <c r="K714" t="str">
        <f>VLOOKUP(Table1[[#This Row],[Store_ID]],Store_Dim!$A$3:$D$22,2,FALSE)</f>
        <v>Alexander Group-South</v>
      </c>
      <c r="L714" t="s">
        <v>1735</v>
      </c>
      <c r="M714" t="s">
        <v>3957</v>
      </c>
      <c r="N714" s="3">
        <v>651.30999999999995</v>
      </c>
      <c r="O714" s="4">
        <v>0.24</v>
      </c>
      <c r="P714" t="s">
        <v>1774</v>
      </c>
      <c r="Q714" s="4">
        <v>494.99560000000002</v>
      </c>
    </row>
    <row r="715" spans="1:17" x14ac:dyDescent="0.3">
      <c r="A715" t="s">
        <v>2487</v>
      </c>
      <c r="B715" t="str">
        <f t="shared" si="11"/>
        <v>Q1</v>
      </c>
      <c r="C715" t="str">
        <f>TEXT(Table1[[#This Row],[Order_Date]],"mmmm")</f>
        <v>February</v>
      </c>
      <c r="D715">
        <f>YEAR(Table1[[#This Row],[Order_Date]])</f>
        <v>2024</v>
      </c>
      <c r="E715" s="7">
        <v>45333</v>
      </c>
      <c r="F715" s="2" t="str">
        <f>VLOOKUP(Table1[[#This Row],[Customer_ID]],Customer_Dim!$A$2:$H$501,2,FALSE)</f>
        <v>Heather Collins</v>
      </c>
      <c r="G715" s="2" t="str">
        <f>_xlfn.XLOOKUP(Table1[[#This Row],[Customer_ID]],Customer_Dim!$A$2:$A$501,Customer_Dim!$E$2:$E$501)</f>
        <v>Rogerschester</v>
      </c>
      <c r="H715" t="s">
        <v>103</v>
      </c>
      <c r="I715" t="str">
        <f>VLOOKUP(Table1[[#This Row],[Product_ID]],Product_Dim!$A$2:$G$101,2,FALSE)</f>
        <v>Men's Running Jacket-Clothing</v>
      </c>
      <c r="J715" t="s">
        <v>1529</v>
      </c>
      <c r="K715" t="str">
        <f>VLOOKUP(Table1[[#This Row],[Store_ID]],Store_Dim!$A$3:$D$22,2,FALSE)</f>
        <v>Benson-Elliott-East</v>
      </c>
      <c r="L715" t="s">
        <v>1740</v>
      </c>
      <c r="M715" t="s">
        <v>3960</v>
      </c>
      <c r="N715" s="3">
        <v>635.14</v>
      </c>
      <c r="O715" s="4">
        <v>0.1</v>
      </c>
      <c r="P715" t="s">
        <v>1777</v>
      </c>
      <c r="Q715" s="4">
        <v>1143.252</v>
      </c>
    </row>
    <row r="716" spans="1:17" x14ac:dyDescent="0.3">
      <c r="A716" t="s">
        <v>2488</v>
      </c>
      <c r="B716" t="str">
        <f t="shared" si="11"/>
        <v>Q2</v>
      </c>
      <c r="C716" t="str">
        <f>TEXT(Table1[[#This Row],[Order_Date]],"mmmm")</f>
        <v>April</v>
      </c>
      <c r="D716">
        <f>YEAR(Table1[[#This Row],[Order_Date]])</f>
        <v>2025</v>
      </c>
      <c r="E716" s="7">
        <v>45752</v>
      </c>
      <c r="F716" s="2" t="str">
        <f>VLOOKUP(Table1[[#This Row],[Customer_ID]],Customer_Dim!$A$2:$H$501,2,FALSE)</f>
        <v>Shelley Ponce</v>
      </c>
      <c r="G716" s="2" t="str">
        <f>_xlfn.XLOOKUP(Table1[[#This Row],[Customer_ID]],Customer_Dim!$A$2:$A$501,Customer_Dim!$E$2:$E$501)</f>
        <v>South Cassandrachester</v>
      </c>
      <c r="H716" t="s">
        <v>1174</v>
      </c>
      <c r="I716" t="str">
        <f>VLOOKUP(Table1[[#This Row],[Product_ID]],Product_Dim!$A$2:$G$101,2,FALSE)</f>
        <v>Portable Bluetooth Speaker-Electronics</v>
      </c>
      <c r="J716" t="s">
        <v>1719</v>
      </c>
      <c r="K716" t="str">
        <f>VLOOKUP(Table1[[#This Row],[Store_ID]],Store_Dim!$A$3:$D$22,2,FALSE)</f>
        <v>Mcdonald Inc-South</v>
      </c>
      <c r="L716" t="s">
        <v>1754</v>
      </c>
      <c r="M716" t="s">
        <v>3959</v>
      </c>
      <c r="N716" s="3">
        <v>912.61</v>
      </c>
      <c r="O716" s="4">
        <v>0.14000000000000001</v>
      </c>
      <c r="P716" t="s">
        <v>1772</v>
      </c>
      <c r="Q716" s="4">
        <v>3139.3784000000001</v>
      </c>
    </row>
    <row r="717" spans="1:17" x14ac:dyDescent="0.3">
      <c r="A717" t="s">
        <v>2489</v>
      </c>
      <c r="B717" t="str">
        <f t="shared" si="11"/>
        <v>Q2</v>
      </c>
      <c r="C717" t="str">
        <f>TEXT(Table1[[#This Row],[Order_Date]],"mmmm")</f>
        <v>May</v>
      </c>
      <c r="D717">
        <f>YEAR(Table1[[#This Row],[Order_Date]])</f>
        <v>2025</v>
      </c>
      <c r="E717" s="7">
        <v>45795</v>
      </c>
      <c r="F717" s="2" t="str">
        <f>VLOOKUP(Table1[[#This Row],[Customer_ID]],Customer_Dim!$A$2:$H$501,2,FALSE)</f>
        <v>Sarah Lane</v>
      </c>
      <c r="G717" s="2" t="str">
        <f>_xlfn.XLOOKUP(Table1[[#This Row],[Customer_ID]],Customer_Dim!$A$2:$A$501,Customer_Dim!$E$2:$E$501)</f>
        <v>Edwardborough</v>
      </c>
      <c r="H717" t="s">
        <v>864</v>
      </c>
      <c r="I717" t="str">
        <f>VLOOKUP(Table1[[#This Row],[Product_ID]],Product_Dim!$A$2:$G$101,2,FALSE)</f>
        <v>Makeup Brush Set-Beauty</v>
      </c>
      <c r="J717" t="s">
        <v>1617</v>
      </c>
      <c r="K717" t="str">
        <f>VLOOKUP(Table1[[#This Row],[Store_ID]],Store_Dim!$A$3:$D$22,2,FALSE)</f>
        <v>Martinez-Mullins-South</v>
      </c>
      <c r="L717" t="s">
        <v>1742</v>
      </c>
      <c r="M717" t="s">
        <v>3958</v>
      </c>
      <c r="N717" s="3">
        <v>79.77</v>
      </c>
      <c r="O717" s="4">
        <v>0.09</v>
      </c>
      <c r="P717" t="s">
        <v>1772</v>
      </c>
      <c r="Q717" s="4">
        <v>217.77209999999999</v>
      </c>
    </row>
    <row r="718" spans="1:17" x14ac:dyDescent="0.3">
      <c r="A718" t="s">
        <v>2490</v>
      </c>
      <c r="B718" t="str">
        <f t="shared" si="11"/>
        <v>Q2</v>
      </c>
      <c r="C718" t="str">
        <f>TEXT(Table1[[#This Row],[Order_Date]],"mmmm")</f>
        <v>April</v>
      </c>
      <c r="D718">
        <f>YEAR(Table1[[#This Row],[Order_Date]])</f>
        <v>2025</v>
      </c>
      <c r="E718" s="7">
        <v>45755</v>
      </c>
      <c r="F718" s="2" t="str">
        <f>VLOOKUP(Table1[[#This Row],[Customer_ID]],Customer_Dim!$A$2:$H$501,2,FALSE)</f>
        <v>Jeffrey Gomez</v>
      </c>
      <c r="G718" s="2" t="str">
        <f>_xlfn.XLOOKUP(Table1[[#This Row],[Customer_ID]],Customer_Dim!$A$2:$A$501,Customer_Dim!$E$2:$E$501)</f>
        <v>Lake Nicole</v>
      </c>
      <c r="H718" t="s">
        <v>873</v>
      </c>
      <c r="I718" t="str">
        <f>VLOOKUP(Table1[[#This Row],[Product_ID]],Product_Dim!$A$2:$G$101,2,FALSE)</f>
        <v>Vitamin E Body Lotion-Beauty</v>
      </c>
      <c r="J718" t="s">
        <v>1711</v>
      </c>
      <c r="K718" t="str">
        <f>VLOOKUP(Table1[[#This Row],[Store_ID]],Store_Dim!$A$3:$D$22,2,FALSE)</f>
        <v>Shelton PLC-North</v>
      </c>
      <c r="L718" t="s">
        <v>1755</v>
      </c>
      <c r="M718" t="s">
        <v>3959</v>
      </c>
      <c r="N718" s="3">
        <v>603.52</v>
      </c>
      <c r="O718" s="4">
        <v>0.25</v>
      </c>
      <c r="P718" t="s">
        <v>1772</v>
      </c>
      <c r="Q718" s="4">
        <v>1810.56</v>
      </c>
    </row>
    <row r="719" spans="1:17" x14ac:dyDescent="0.3">
      <c r="A719" t="s">
        <v>2491</v>
      </c>
      <c r="B719" t="str">
        <f t="shared" si="11"/>
        <v>Q4</v>
      </c>
      <c r="C719" t="str">
        <f>TEXT(Table1[[#This Row],[Order_Date]],"mmmm")</f>
        <v>November</v>
      </c>
      <c r="D719">
        <f>YEAR(Table1[[#This Row],[Order_Date]])</f>
        <v>2024</v>
      </c>
      <c r="E719" s="7">
        <v>45625</v>
      </c>
      <c r="F719" s="2" t="str">
        <f>VLOOKUP(Table1[[#This Row],[Customer_ID]],Customer_Dim!$A$2:$H$501,2,FALSE)</f>
        <v>Katherine Young</v>
      </c>
      <c r="G719" s="2" t="str">
        <f>_xlfn.XLOOKUP(Table1[[#This Row],[Customer_ID]],Customer_Dim!$A$2:$A$501,Customer_Dim!$E$2:$E$501)</f>
        <v>North Valeriemouth</v>
      </c>
      <c r="H719" t="s">
        <v>278</v>
      </c>
      <c r="I719" t="str">
        <f>VLOOKUP(Table1[[#This Row],[Product_ID]],Product_Dim!$A$2:$G$101,2,FALSE)</f>
        <v>WiFi Mesh Router-Electronics</v>
      </c>
      <c r="J719" t="s">
        <v>1677</v>
      </c>
      <c r="K719" t="str">
        <f>VLOOKUP(Table1[[#This Row],[Store_ID]],Store_Dim!$A$3:$D$22,2,FALSE)</f>
        <v>Thomas, Bridges and Harris-North</v>
      </c>
      <c r="L719" t="s">
        <v>1751</v>
      </c>
      <c r="M719" t="s">
        <v>3959</v>
      </c>
      <c r="N719" s="3">
        <v>453.12</v>
      </c>
      <c r="O719" s="4">
        <v>0.23</v>
      </c>
      <c r="P719" t="s">
        <v>1777</v>
      </c>
      <c r="Q719" s="4">
        <v>1395.6096</v>
      </c>
    </row>
    <row r="720" spans="1:17" x14ac:dyDescent="0.3">
      <c r="A720" t="s">
        <v>2492</v>
      </c>
      <c r="B720" t="str">
        <f t="shared" si="11"/>
        <v>Q4</v>
      </c>
      <c r="C720" t="str">
        <f>TEXT(Table1[[#This Row],[Order_Date]],"mmmm")</f>
        <v>December</v>
      </c>
      <c r="D720">
        <f>YEAR(Table1[[#This Row],[Order_Date]])</f>
        <v>2024</v>
      </c>
      <c r="E720" s="7">
        <v>45656</v>
      </c>
      <c r="F720" s="2" t="str">
        <f>VLOOKUP(Table1[[#This Row],[Customer_ID]],Customer_Dim!$A$2:$H$501,2,FALSE)</f>
        <v>Sarah Marsh</v>
      </c>
      <c r="G720" s="2" t="str">
        <f>_xlfn.XLOOKUP(Table1[[#This Row],[Customer_ID]],Customer_Dim!$A$2:$A$501,Customer_Dim!$E$2:$E$501)</f>
        <v>Port William</v>
      </c>
      <c r="H720" t="s">
        <v>1510</v>
      </c>
      <c r="I720" t="str">
        <f>VLOOKUP(Table1[[#This Row],[Product_ID]],Product_Dim!$A$2:$G$101,2,FALSE)</f>
        <v>Modern Wall Clock-Home</v>
      </c>
      <c r="J720" t="s">
        <v>1589</v>
      </c>
      <c r="K720" t="str">
        <f>VLOOKUP(Table1[[#This Row],[Store_ID]],Store_Dim!$A$3:$D$22,2,FALSE)</f>
        <v>Moore, Padilla and Butler-South</v>
      </c>
      <c r="L720" t="s">
        <v>1746</v>
      </c>
      <c r="M720" t="s">
        <v>3960</v>
      </c>
      <c r="N720" s="3">
        <v>974.35</v>
      </c>
      <c r="O720" s="4">
        <v>0.15</v>
      </c>
      <c r="P720" t="s">
        <v>1772</v>
      </c>
      <c r="Q720" s="4">
        <v>1656.395</v>
      </c>
    </row>
    <row r="721" spans="1:17" x14ac:dyDescent="0.3">
      <c r="A721" t="s">
        <v>2493</v>
      </c>
      <c r="B721" t="str">
        <f t="shared" si="11"/>
        <v>Q2</v>
      </c>
      <c r="C721" t="str">
        <f>TEXT(Table1[[#This Row],[Order_Date]],"mmmm")</f>
        <v>June</v>
      </c>
      <c r="D721">
        <f>YEAR(Table1[[#This Row],[Order_Date]])</f>
        <v>2025</v>
      </c>
      <c r="E721" s="7">
        <v>45824</v>
      </c>
      <c r="F721" s="2" t="str">
        <f>VLOOKUP(Table1[[#This Row],[Customer_ID]],Customer_Dim!$A$2:$H$501,2,FALSE)</f>
        <v>Elizabeth Foster</v>
      </c>
      <c r="G721" s="2" t="str">
        <f>_xlfn.XLOOKUP(Table1[[#This Row],[Customer_ID]],Customer_Dim!$A$2:$A$501,Customer_Dim!$E$2:$E$501)</f>
        <v>Anthonymouth</v>
      </c>
      <c r="H721" t="s">
        <v>1450</v>
      </c>
      <c r="I721" t="str">
        <f>VLOOKUP(Table1[[#This Row],[Product_ID]],Product_Dim!$A$2:$G$101,2,FALSE)</f>
        <v>Sports Stopwatch Basic-Sports</v>
      </c>
      <c r="J721" t="s">
        <v>1713</v>
      </c>
      <c r="K721" t="str">
        <f>VLOOKUP(Table1[[#This Row],[Store_ID]],Store_Dim!$A$3:$D$22,2,FALSE)</f>
        <v>Holloway Ltd-North</v>
      </c>
      <c r="L721" t="s">
        <v>1759</v>
      </c>
      <c r="M721" t="s">
        <v>3959</v>
      </c>
      <c r="N721" s="3">
        <v>52.35</v>
      </c>
      <c r="O721" s="4">
        <v>0.23</v>
      </c>
      <c r="P721" t="s">
        <v>1777</v>
      </c>
      <c r="Q721" s="4">
        <v>161.238</v>
      </c>
    </row>
    <row r="722" spans="1:17" x14ac:dyDescent="0.3">
      <c r="A722" t="s">
        <v>2494</v>
      </c>
      <c r="B722" t="str">
        <f t="shared" si="11"/>
        <v>Q2</v>
      </c>
      <c r="C722" t="str">
        <f>TEXT(Table1[[#This Row],[Order_Date]],"mmmm")</f>
        <v>June</v>
      </c>
      <c r="D722">
        <f>YEAR(Table1[[#This Row],[Order_Date]])</f>
        <v>2025</v>
      </c>
      <c r="E722" s="7">
        <v>45824</v>
      </c>
      <c r="F722" s="2" t="str">
        <f>VLOOKUP(Table1[[#This Row],[Customer_ID]],Customer_Dim!$A$2:$H$501,2,FALSE)</f>
        <v>James Holloway Jr.</v>
      </c>
      <c r="G722" s="2" t="str">
        <f>_xlfn.XLOOKUP(Table1[[#This Row],[Customer_ID]],Customer_Dim!$A$2:$A$501,Customer_Dim!$E$2:$E$501)</f>
        <v>Millston</v>
      </c>
      <c r="H722" t="s">
        <v>1144</v>
      </c>
      <c r="I722" t="str">
        <f>VLOOKUP(Table1[[#This Row],[Product_ID]],Product_Dim!$A$2:$G$101,2,FALSE)</f>
        <v>Adjustable Dumbbells 20kg-Sports</v>
      </c>
      <c r="J722" t="s">
        <v>1653</v>
      </c>
      <c r="K722" t="str">
        <f>VLOOKUP(Table1[[#This Row],[Store_ID]],Store_Dim!$A$3:$D$22,2,FALSE)</f>
        <v>Holloway Ltd-North</v>
      </c>
      <c r="L722" t="s">
        <v>1759</v>
      </c>
      <c r="M722" t="s">
        <v>3958</v>
      </c>
      <c r="N722" s="3">
        <v>681.58</v>
      </c>
      <c r="O722" s="4">
        <v>0.23</v>
      </c>
      <c r="P722" t="s">
        <v>1772</v>
      </c>
      <c r="Q722" s="4">
        <v>1574.4498000000001</v>
      </c>
    </row>
    <row r="723" spans="1:17" x14ac:dyDescent="0.3">
      <c r="A723" t="s">
        <v>2495</v>
      </c>
      <c r="B723" t="str">
        <f t="shared" si="11"/>
        <v>Q2</v>
      </c>
      <c r="C723" t="str">
        <f>TEXT(Table1[[#This Row],[Order_Date]],"mmmm")</f>
        <v>April</v>
      </c>
      <c r="D723">
        <f>YEAR(Table1[[#This Row],[Order_Date]])</f>
        <v>2024</v>
      </c>
      <c r="E723" s="7">
        <v>45384</v>
      </c>
      <c r="F723" s="2" t="str">
        <f>VLOOKUP(Table1[[#This Row],[Customer_ID]],Customer_Dim!$A$2:$H$501,2,FALSE)</f>
        <v>Curtis Lam</v>
      </c>
      <c r="G723" s="2" t="str">
        <f>_xlfn.XLOOKUP(Table1[[#This Row],[Customer_ID]],Customer_Dim!$A$2:$A$501,Customer_Dim!$E$2:$E$501)</f>
        <v>Butlerberg</v>
      </c>
      <c r="H723" t="s">
        <v>579</v>
      </c>
      <c r="I723" t="str">
        <f>VLOOKUP(Table1[[#This Row],[Product_ID]],Product_Dim!$A$2:$G$101,2,FALSE)</f>
        <v>Hydrating Face Cleanser-Beauty</v>
      </c>
      <c r="J723" t="s">
        <v>1689</v>
      </c>
      <c r="K723" t="str">
        <f>VLOOKUP(Table1[[#This Row],[Store_ID]],Store_Dim!$A$3:$D$22,2,FALSE)</f>
        <v>Shelton PLC-North</v>
      </c>
      <c r="L723" t="s">
        <v>1755</v>
      </c>
      <c r="M723" t="s">
        <v>3958</v>
      </c>
      <c r="N723" s="3">
        <v>71.23</v>
      </c>
      <c r="O723" s="4">
        <v>0.03</v>
      </c>
      <c r="P723" t="s">
        <v>1772</v>
      </c>
      <c r="Q723" s="4">
        <v>207.27930000000001</v>
      </c>
    </row>
    <row r="724" spans="1:17" x14ac:dyDescent="0.3">
      <c r="A724" t="s">
        <v>2496</v>
      </c>
      <c r="B724" t="str">
        <f t="shared" si="11"/>
        <v>Q1</v>
      </c>
      <c r="C724" t="str">
        <f>TEXT(Table1[[#This Row],[Order_Date]],"mmmm")</f>
        <v>March</v>
      </c>
      <c r="D724">
        <f>YEAR(Table1[[#This Row],[Order_Date]])</f>
        <v>2024</v>
      </c>
      <c r="E724" s="7">
        <v>45379</v>
      </c>
      <c r="F724" s="2" t="str">
        <f>VLOOKUP(Table1[[#This Row],[Customer_ID]],Customer_Dim!$A$2:$H$501,2,FALSE)</f>
        <v>Mr. William Horton</v>
      </c>
      <c r="G724" s="2" t="str">
        <f>_xlfn.XLOOKUP(Table1[[#This Row],[Customer_ID]],Customer_Dim!$A$2:$A$501,Customer_Dim!$E$2:$E$501)</f>
        <v>Dawsonchester</v>
      </c>
      <c r="H724" t="s">
        <v>767</v>
      </c>
      <c r="I724" t="str">
        <f>VLOOKUP(Table1[[#This Row],[Product_ID]],Product_Dim!$A$2:$G$101,2,FALSE)</f>
        <v>4K Home Projector-Electronics</v>
      </c>
      <c r="J724" t="s">
        <v>1553</v>
      </c>
      <c r="K724" t="str">
        <f>VLOOKUP(Table1[[#This Row],[Store_ID]],Store_Dim!$A$3:$D$22,2,FALSE)</f>
        <v>Mcdonald Inc-South</v>
      </c>
      <c r="L724" t="s">
        <v>1754</v>
      </c>
      <c r="M724" t="s">
        <v>3957</v>
      </c>
      <c r="N724" s="3">
        <v>31.36</v>
      </c>
      <c r="O724" s="4">
        <v>0.21</v>
      </c>
      <c r="P724" t="s">
        <v>1777</v>
      </c>
      <c r="Q724" s="4">
        <v>24.7744</v>
      </c>
    </row>
    <row r="725" spans="1:17" x14ac:dyDescent="0.3">
      <c r="A725" t="s">
        <v>2497</v>
      </c>
      <c r="B725" t="str">
        <f t="shared" si="11"/>
        <v>Q1</v>
      </c>
      <c r="C725" t="str">
        <f>TEXT(Table1[[#This Row],[Order_Date]],"mmmm")</f>
        <v>January</v>
      </c>
      <c r="D725">
        <f>YEAR(Table1[[#This Row],[Order_Date]])</f>
        <v>2025</v>
      </c>
      <c r="E725" s="7">
        <v>45674</v>
      </c>
      <c r="F725" s="2" t="str">
        <f>VLOOKUP(Table1[[#This Row],[Customer_ID]],Customer_Dim!$A$2:$H$501,2,FALSE)</f>
        <v>Angela Williams</v>
      </c>
      <c r="G725" s="2" t="str">
        <f>_xlfn.XLOOKUP(Table1[[#This Row],[Customer_ID]],Customer_Dim!$A$2:$A$501,Customer_Dim!$E$2:$E$501)</f>
        <v>Lake Alyssaburgh</v>
      </c>
      <c r="H725" t="s">
        <v>1060</v>
      </c>
      <c r="I725" t="str">
        <f>VLOOKUP(Table1[[#This Row],[Product_ID]],Product_Dim!$A$2:$G$101,2,FALSE)</f>
        <v>Yoga Exercise Mat-Sports</v>
      </c>
      <c r="J725" t="s">
        <v>1605</v>
      </c>
      <c r="K725" t="str">
        <f>VLOOKUP(Table1[[#This Row],[Store_ID]],Store_Dim!$A$3:$D$22,2,FALSE)</f>
        <v>Gardner, Humphrey and Contreras-East</v>
      </c>
      <c r="L725" t="s">
        <v>1753</v>
      </c>
      <c r="M725" t="s">
        <v>3960</v>
      </c>
      <c r="N725" s="3">
        <v>555.54999999999995</v>
      </c>
      <c r="O725" s="4">
        <v>0.14000000000000001</v>
      </c>
      <c r="P725" t="s">
        <v>1772</v>
      </c>
      <c r="Q725" s="4">
        <v>955.54599999999994</v>
      </c>
    </row>
    <row r="726" spans="1:17" x14ac:dyDescent="0.3">
      <c r="A726" t="s">
        <v>2498</v>
      </c>
      <c r="B726" t="str">
        <f t="shared" si="11"/>
        <v>Q2</v>
      </c>
      <c r="C726" t="str">
        <f>TEXT(Table1[[#This Row],[Order_Date]],"mmmm")</f>
        <v>April</v>
      </c>
      <c r="D726">
        <f>YEAR(Table1[[#This Row],[Order_Date]])</f>
        <v>2025</v>
      </c>
      <c r="E726" s="7">
        <v>45760</v>
      </c>
      <c r="F726" s="2" t="str">
        <f>VLOOKUP(Table1[[#This Row],[Customer_ID]],Customer_Dim!$A$2:$H$501,2,FALSE)</f>
        <v>Tyler Garner</v>
      </c>
      <c r="G726" s="2" t="str">
        <f>_xlfn.XLOOKUP(Table1[[#This Row],[Customer_ID]],Customer_Dim!$A$2:$A$501,Customer_Dim!$E$2:$E$501)</f>
        <v>Port Coreyfort</v>
      </c>
      <c r="H726" t="s">
        <v>797</v>
      </c>
      <c r="I726" t="str">
        <f>VLOOKUP(Table1[[#This Row],[Product_ID]],Product_Dim!$A$2:$G$101,2,FALSE)</f>
        <v>Women's Hair Dryer Brush-Beauty</v>
      </c>
      <c r="J726" t="s">
        <v>1655</v>
      </c>
      <c r="K726" t="str">
        <f>VLOOKUP(Table1[[#This Row],[Store_ID]],Store_Dim!$A$3:$D$22,2,FALSE)</f>
        <v>Frederick-Wright-West</v>
      </c>
      <c r="L726" t="s">
        <v>1757</v>
      </c>
      <c r="M726" t="s">
        <v>3959</v>
      </c>
      <c r="N726" s="3">
        <v>805.99</v>
      </c>
      <c r="O726" s="4">
        <v>0.06</v>
      </c>
      <c r="P726" t="s">
        <v>1772</v>
      </c>
      <c r="Q726" s="4">
        <v>3030.5223999999998</v>
      </c>
    </row>
    <row r="727" spans="1:17" x14ac:dyDescent="0.3">
      <c r="A727" t="s">
        <v>2499</v>
      </c>
      <c r="B727" t="str">
        <f t="shared" si="11"/>
        <v>Q3</v>
      </c>
      <c r="C727" t="str">
        <f>TEXT(Table1[[#This Row],[Order_Date]],"mmmm")</f>
        <v>July</v>
      </c>
      <c r="D727">
        <f>YEAR(Table1[[#This Row],[Order_Date]])</f>
        <v>2024</v>
      </c>
      <c r="E727" s="7">
        <v>45474</v>
      </c>
      <c r="F727" s="2" t="str">
        <f>VLOOKUP(Table1[[#This Row],[Customer_ID]],Customer_Dim!$A$2:$H$501,2,FALSE)</f>
        <v>Timothy Valenzuela</v>
      </c>
      <c r="G727" s="2" t="str">
        <f>_xlfn.XLOOKUP(Table1[[#This Row],[Customer_ID]],Customer_Dim!$A$2:$A$501,Customer_Dim!$E$2:$E$501)</f>
        <v>Stevensshire</v>
      </c>
      <c r="H727" t="s">
        <v>1198</v>
      </c>
      <c r="I727" t="str">
        <f>VLOOKUP(Table1[[#This Row],[Product_ID]],Product_Dim!$A$2:$G$101,2,FALSE)</f>
        <v>Hair Repair Oil Treatment-Beauty</v>
      </c>
      <c r="J727" t="s">
        <v>1665</v>
      </c>
      <c r="K727" t="str">
        <f>VLOOKUP(Table1[[#This Row],[Store_ID]],Store_Dim!$A$3:$D$22,2,FALSE)</f>
        <v>Martinez, Adkins and Johnson-North</v>
      </c>
      <c r="L727" t="s">
        <v>1728</v>
      </c>
      <c r="M727" t="s">
        <v>3957</v>
      </c>
      <c r="N727" s="3">
        <v>506.55</v>
      </c>
      <c r="O727" s="4">
        <v>0.28000000000000003</v>
      </c>
      <c r="P727" t="s">
        <v>1772</v>
      </c>
      <c r="Q727" s="4">
        <v>364.71600000000001</v>
      </c>
    </row>
    <row r="728" spans="1:17" x14ac:dyDescent="0.3">
      <c r="A728" t="s">
        <v>2500</v>
      </c>
      <c r="B728" t="str">
        <f t="shared" si="11"/>
        <v>Q4</v>
      </c>
      <c r="C728" t="str">
        <f>TEXT(Table1[[#This Row],[Order_Date]],"mmmm")</f>
        <v>December</v>
      </c>
      <c r="D728">
        <f>YEAR(Table1[[#This Row],[Order_Date]])</f>
        <v>2024</v>
      </c>
      <c r="E728" s="7">
        <v>45640</v>
      </c>
      <c r="F728" s="2" t="str">
        <f>VLOOKUP(Table1[[#This Row],[Customer_ID]],Customer_Dim!$A$2:$H$501,2,FALSE)</f>
        <v>Jamie Reyes</v>
      </c>
      <c r="G728" s="2" t="str">
        <f>_xlfn.XLOOKUP(Table1[[#This Row],[Customer_ID]],Customer_Dim!$A$2:$A$501,Customer_Dim!$E$2:$E$501)</f>
        <v xml:space="preserve">   jonesbury </v>
      </c>
      <c r="H728" t="s">
        <v>442</v>
      </c>
      <c r="I728" t="str">
        <f>VLOOKUP(Table1[[#This Row],[Product_ID]],Product_Dim!$A$2:$G$101,2,FALSE)</f>
        <v>Yoga Exercise Mat-Sports</v>
      </c>
      <c r="J728" t="s">
        <v>1605</v>
      </c>
      <c r="K728" t="str">
        <f>VLOOKUP(Table1[[#This Row],[Store_ID]],Store_Dim!$A$3:$D$22,2,FALSE)</f>
        <v>Aguirre-Keller-South</v>
      </c>
      <c r="L728" t="s">
        <v>1750</v>
      </c>
      <c r="M728" t="s">
        <v>3958</v>
      </c>
      <c r="N728" s="3">
        <v>28.69</v>
      </c>
      <c r="O728" s="4">
        <v>0.02</v>
      </c>
      <c r="P728" t="s">
        <v>1772</v>
      </c>
      <c r="Q728" s="4">
        <v>84.348600000000005</v>
      </c>
    </row>
    <row r="729" spans="1:17" x14ac:dyDescent="0.3">
      <c r="A729" t="s">
        <v>2501</v>
      </c>
      <c r="B729" t="str">
        <f t="shared" si="11"/>
        <v>Q4</v>
      </c>
      <c r="C729" t="str">
        <f>TEXT(Table1[[#This Row],[Order_Date]],"mmmm")</f>
        <v>November</v>
      </c>
      <c r="D729">
        <f>YEAR(Table1[[#This Row],[Order_Date]])</f>
        <v>2023</v>
      </c>
      <c r="E729" s="7">
        <v>45253</v>
      </c>
      <c r="F729" s="2" t="str">
        <f>VLOOKUP(Table1[[#This Row],[Customer_ID]],Customer_Dim!$A$2:$H$501,2,FALSE)</f>
        <v>Timothy Gardner</v>
      </c>
      <c r="G729" s="2" t="str">
        <f>_xlfn.XLOOKUP(Table1[[#This Row],[Customer_ID]],Customer_Dim!$A$2:$A$501,Customer_Dim!$E$2:$E$501)</f>
        <v>New Dawn</v>
      </c>
      <c r="H729" t="s">
        <v>1195</v>
      </c>
      <c r="I729" t="str">
        <f>VLOOKUP(Table1[[#This Row],[Product_ID]],Product_Dim!$A$2:$G$101,2,FALSE)</f>
        <v>Wireless Mouse-Electronics</v>
      </c>
      <c r="J729" t="s">
        <v>1675</v>
      </c>
      <c r="K729" t="str">
        <f>VLOOKUP(Table1[[#This Row],[Store_ID]],Store_Dim!$A$3:$D$22,2,FALSE)</f>
        <v>Alexander Group-South</v>
      </c>
      <c r="L729" t="s">
        <v>1735</v>
      </c>
      <c r="M729" t="s">
        <v>3957</v>
      </c>
      <c r="N729" s="3">
        <v>106.07</v>
      </c>
      <c r="O729" s="4">
        <v>0.23</v>
      </c>
      <c r="P729" t="s">
        <v>1777</v>
      </c>
      <c r="Q729" s="4">
        <v>81.673900000000003</v>
      </c>
    </row>
    <row r="730" spans="1:17" x14ac:dyDescent="0.3">
      <c r="A730" t="s">
        <v>2502</v>
      </c>
      <c r="B730" t="str">
        <f t="shared" si="11"/>
        <v>Q4</v>
      </c>
      <c r="C730" t="str">
        <f>TEXT(Table1[[#This Row],[Order_Date]],"mmmm")</f>
        <v>October</v>
      </c>
      <c r="D730">
        <f>YEAR(Table1[[#This Row],[Order_Date]])</f>
        <v>2023</v>
      </c>
      <c r="E730" s="7">
        <v>45225</v>
      </c>
      <c r="F730" s="2" t="str">
        <f>VLOOKUP(Table1[[#This Row],[Customer_ID]],Customer_Dim!$A$2:$H$501,2,FALSE)</f>
        <v>Russell Lamb</v>
      </c>
      <c r="G730" s="2" t="str">
        <f>_xlfn.XLOOKUP(Table1[[#This Row],[Customer_ID]],Customer_Dim!$A$2:$A$501,Customer_Dim!$E$2:$E$501)</f>
        <v>North Jonathon</v>
      </c>
      <c r="H730" t="s">
        <v>823</v>
      </c>
      <c r="I730" t="str">
        <f>VLOOKUP(Table1[[#This Row],[Product_ID]],Product_Dim!$A$2:$G$101,2,FALSE)</f>
        <v>Women's High Heels-Clothing</v>
      </c>
      <c r="J730" t="s">
        <v>1705</v>
      </c>
      <c r="K730" t="str">
        <f>VLOOKUP(Table1[[#This Row],[Store_ID]],Store_Dim!$A$3:$D$22,2,FALSE)</f>
        <v>Rivera-Warner-East</v>
      </c>
      <c r="L730" t="s">
        <v>1725</v>
      </c>
      <c r="M730" t="s">
        <v>3959</v>
      </c>
      <c r="N730" s="3">
        <v>289.77</v>
      </c>
      <c r="O730" s="4">
        <v>0.06</v>
      </c>
      <c r="P730" t="s">
        <v>1774</v>
      </c>
      <c r="Q730" s="4">
        <v>1089.5352</v>
      </c>
    </row>
    <row r="731" spans="1:17" x14ac:dyDescent="0.3">
      <c r="A731" t="s">
        <v>2503</v>
      </c>
      <c r="B731" t="str">
        <f t="shared" si="11"/>
        <v>Q4</v>
      </c>
      <c r="C731" t="str">
        <f>TEXT(Table1[[#This Row],[Order_Date]],"mmmm")</f>
        <v>December</v>
      </c>
      <c r="D731">
        <f>YEAR(Table1[[#This Row],[Order_Date]])</f>
        <v>2023</v>
      </c>
      <c r="E731" s="7">
        <v>45263</v>
      </c>
      <c r="F731" s="2" t="str">
        <f>VLOOKUP(Table1[[#This Row],[Customer_ID]],Customer_Dim!$A$2:$H$501,2,FALSE)</f>
        <v>Maria Sanchez</v>
      </c>
      <c r="G731" s="2" t="str">
        <f>_xlfn.XLOOKUP(Table1[[#This Row],[Customer_ID]],Customer_Dim!$A$2:$A$501,Customer_Dim!$E$2:$E$501)</f>
        <v>East Peterbury</v>
      </c>
      <c r="H731" t="s">
        <v>518</v>
      </c>
      <c r="I731" t="str">
        <f>VLOOKUP(Table1[[#This Row],[Product_ID]],Product_Dim!$A$2:$G$101,2,FALSE)</f>
        <v>Hydrating Face Cleanser-Beauty</v>
      </c>
      <c r="J731" t="s">
        <v>1689</v>
      </c>
      <c r="K731" t="str">
        <f>VLOOKUP(Table1[[#This Row],[Store_ID]],Store_Dim!$A$3:$D$22,2,FALSE)</f>
        <v>Guerrero-Schmitt-East</v>
      </c>
      <c r="L731" t="s">
        <v>1761</v>
      </c>
      <c r="M731" t="s">
        <v>3960</v>
      </c>
      <c r="N731" s="3">
        <v>354.26</v>
      </c>
      <c r="O731" s="4">
        <v>0.01</v>
      </c>
      <c r="P731" t="s">
        <v>1777</v>
      </c>
      <c r="Q731" s="4">
        <v>701.4348</v>
      </c>
    </row>
    <row r="732" spans="1:17" x14ac:dyDescent="0.3">
      <c r="A732" t="s">
        <v>2504</v>
      </c>
      <c r="B732" t="str">
        <f t="shared" si="11"/>
        <v>Q3</v>
      </c>
      <c r="C732" t="str">
        <f>TEXT(Table1[[#This Row],[Order_Date]],"mmmm")</f>
        <v>September</v>
      </c>
      <c r="D732">
        <f>YEAR(Table1[[#This Row],[Order_Date]])</f>
        <v>2024</v>
      </c>
      <c r="E732" s="7">
        <v>45554</v>
      </c>
      <c r="F732" s="2" t="str">
        <f>VLOOKUP(Table1[[#This Row],[Customer_ID]],Customer_Dim!$A$2:$H$501,2,FALSE)</f>
        <v>Tammy Brennan</v>
      </c>
      <c r="G732" s="2" t="str">
        <f>_xlfn.XLOOKUP(Table1[[#This Row],[Customer_ID]],Customer_Dim!$A$2:$A$501,Customer_Dim!$E$2:$E$501)</f>
        <v>Lake Brandontown</v>
      </c>
      <c r="H732" t="s">
        <v>1189</v>
      </c>
      <c r="I732" t="str">
        <f>VLOOKUP(Table1[[#This Row],[Product_ID]],Product_Dim!$A$2:$G$101,2,FALSE)</f>
        <v>Wooden Nightstand-Home</v>
      </c>
      <c r="J732" t="s">
        <v>1659</v>
      </c>
      <c r="K732" t="str">
        <f>VLOOKUP(Table1[[#This Row],[Store_ID]],Store_Dim!$A$3:$D$22,2,FALSE)</f>
        <v>Mcdonald Inc-South</v>
      </c>
      <c r="L732" t="s">
        <v>1754</v>
      </c>
      <c r="M732" t="s">
        <v>3957</v>
      </c>
      <c r="N732" s="3">
        <v>522.72</v>
      </c>
      <c r="O732" s="4">
        <v>0.25</v>
      </c>
      <c r="P732" t="s">
        <v>1774</v>
      </c>
      <c r="Q732" s="4">
        <v>392.04</v>
      </c>
    </row>
    <row r="733" spans="1:17" x14ac:dyDescent="0.3">
      <c r="A733" t="s">
        <v>2505</v>
      </c>
      <c r="B733" t="str">
        <f t="shared" si="11"/>
        <v>Q4</v>
      </c>
      <c r="C733" t="str">
        <f>TEXT(Table1[[#This Row],[Order_Date]],"mmmm")</f>
        <v>October</v>
      </c>
      <c r="D733">
        <f>YEAR(Table1[[#This Row],[Order_Date]])</f>
        <v>2024</v>
      </c>
      <c r="E733" s="7">
        <v>45569</v>
      </c>
      <c r="F733" s="2" t="str">
        <f>VLOOKUP(Table1[[#This Row],[Customer_ID]],Customer_Dim!$A$2:$H$501,2,FALSE)</f>
        <v>Jay Patel</v>
      </c>
      <c r="G733" s="2" t="str">
        <f>_xlfn.XLOOKUP(Table1[[#This Row],[Customer_ID]],Customer_Dim!$A$2:$A$501,Customer_Dim!$E$2:$E$501)</f>
        <v>Morrisbury</v>
      </c>
      <c r="H733" t="s">
        <v>211</v>
      </c>
      <c r="I733" t="str">
        <f>VLOOKUP(Table1[[#This Row],[Product_ID]],Product_Dim!$A$2:$G$101,2,FALSE)</f>
        <v>Men's Leather Belt-Clothing</v>
      </c>
      <c r="J733" t="s">
        <v>1533</v>
      </c>
      <c r="K733" t="str">
        <f>VLOOKUP(Table1[[#This Row],[Store_ID]],Store_Dim!$A$3:$D$22,2,FALSE)</f>
        <v>Moore, Padilla and Butler-South</v>
      </c>
      <c r="L733" t="s">
        <v>1746</v>
      </c>
      <c r="M733" t="s">
        <v>3958</v>
      </c>
      <c r="N733" s="3">
        <v>966.02</v>
      </c>
      <c r="O733" s="4">
        <v>0.03</v>
      </c>
      <c r="P733" t="s">
        <v>1777</v>
      </c>
      <c r="Q733" s="4">
        <v>2811.1181999999999</v>
      </c>
    </row>
    <row r="734" spans="1:17" x14ac:dyDescent="0.3">
      <c r="A734" t="s">
        <v>2506</v>
      </c>
      <c r="B734" t="str">
        <f t="shared" si="11"/>
        <v>Q4</v>
      </c>
      <c r="C734" t="str">
        <f>TEXT(Table1[[#This Row],[Order_Date]],"mmmm")</f>
        <v>October</v>
      </c>
      <c r="D734">
        <f>YEAR(Table1[[#This Row],[Order_Date]])</f>
        <v>2023</v>
      </c>
      <c r="E734" s="7">
        <v>45217</v>
      </c>
      <c r="F734" s="2" t="str">
        <f>VLOOKUP(Table1[[#This Row],[Customer_ID]],Customer_Dim!$A$2:$H$501,2,FALSE)</f>
        <v>Anthony Morgan</v>
      </c>
      <c r="G734" s="2" t="str">
        <f>_xlfn.XLOOKUP(Table1[[#This Row],[Customer_ID]],Customer_Dim!$A$2:$A$501,Customer_Dim!$E$2:$E$501)</f>
        <v>New Anthonyfurt</v>
      </c>
      <c r="H734" t="s">
        <v>718</v>
      </c>
      <c r="I734" t="str">
        <f>VLOOKUP(Table1[[#This Row],[Product_ID]],Product_Dim!$A$2:$G$101,2,FALSE)</f>
        <v>Boxing Hand Wraps-Sports</v>
      </c>
      <c r="J734" t="s">
        <v>1623</v>
      </c>
      <c r="K734" t="str">
        <f>VLOOKUP(Table1[[#This Row],[Store_ID]],Store_Dim!$A$3:$D$22,2,FALSE)</f>
        <v>Holloway Ltd-North</v>
      </c>
      <c r="L734" t="s">
        <v>1759</v>
      </c>
      <c r="M734" t="s">
        <v>3957</v>
      </c>
      <c r="N734" s="3">
        <v>498.61</v>
      </c>
      <c r="O734" s="4">
        <v>0.04</v>
      </c>
      <c r="P734" t="s">
        <v>1774</v>
      </c>
      <c r="Q734" s="4">
        <v>478.66559999999998</v>
      </c>
    </row>
    <row r="735" spans="1:17" x14ac:dyDescent="0.3">
      <c r="A735" t="s">
        <v>2507</v>
      </c>
      <c r="B735" t="str">
        <f t="shared" si="11"/>
        <v>Q2</v>
      </c>
      <c r="C735" t="str">
        <f>TEXT(Table1[[#This Row],[Order_Date]],"mmmm")</f>
        <v>May</v>
      </c>
      <c r="D735">
        <f>YEAR(Table1[[#This Row],[Order_Date]])</f>
        <v>2025</v>
      </c>
      <c r="E735" s="7">
        <v>45783</v>
      </c>
      <c r="F735" s="2" t="str">
        <f>VLOOKUP(Table1[[#This Row],[Customer_ID]],Customer_Dim!$A$2:$H$501,2,FALSE)</f>
        <v>Pamela Mcguire</v>
      </c>
      <c r="G735" s="2" t="str">
        <f>_xlfn.XLOOKUP(Table1[[#This Row],[Customer_ID]],Customer_Dim!$A$2:$A$501,Customer_Dim!$E$2:$E$501)</f>
        <v>South Jasontown</v>
      </c>
      <c r="H735" t="s">
        <v>1027</v>
      </c>
      <c r="I735" t="str">
        <f>VLOOKUP(Table1[[#This Row],[Product_ID]],Product_Dim!$A$2:$G$101,2,FALSE)</f>
        <v>Smart Home WiFi Camera-Electronics</v>
      </c>
      <c r="J735" t="s">
        <v>1607</v>
      </c>
      <c r="K735" t="str">
        <f>VLOOKUP(Table1[[#This Row],[Store_ID]],Store_Dim!$A$3:$D$22,2,FALSE)</f>
        <v>Benson-Elliott-East</v>
      </c>
      <c r="L735" t="s">
        <v>1740</v>
      </c>
      <c r="M735" t="s">
        <v>3959</v>
      </c>
      <c r="N735" s="3">
        <v>758.27</v>
      </c>
      <c r="O735" s="4">
        <v>0.05</v>
      </c>
      <c r="P735" t="s">
        <v>1774</v>
      </c>
      <c r="Q735" s="4">
        <v>2881.4259999999999</v>
      </c>
    </row>
    <row r="736" spans="1:17" x14ac:dyDescent="0.3">
      <c r="A736" t="s">
        <v>2508</v>
      </c>
      <c r="B736" t="str">
        <f t="shared" si="11"/>
        <v>Q1</v>
      </c>
      <c r="C736" t="str">
        <f>TEXT(Table1[[#This Row],[Order_Date]],"mmmm")</f>
        <v>March</v>
      </c>
      <c r="D736">
        <f>YEAR(Table1[[#This Row],[Order_Date]])</f>
        <v>2024</v>
      </c>
      <c r="E736" s="7">
        <v>45371</v>
      </c>
      <c r="F736" s="2" t="str">
        <f>VLOOKUP(Table1[[#This Row],[Customer_ID]],Customer_Dim!$A$2:$H$501,2,FALSE)</f>
        <v>Wanda Snyder</v>
      </c>
      <c r="G736" s="2" t="str">
        <f>_xlfn.XLOOKUP(Table1[[#This Row],[Customer_ID]],Customer_Dim!$A$2:$A$501,Customer_Dim!$E$2:$E$501)</f>
        <v>Frostmouth</v>
      </c>
      <c r="H736" t="s">
        <v>642</v>
      </c>
      <c r="I736" t="str">
        <f>VLOOKUP(Table1[[#This Row],[Product_ID]],Product_Dim!$A$2:$G$101,2,FALSE)</f>
        <v>Men's Running Jacket-Clothing</v>
      </c>
      <c r="J736" t="s">
        <v>1529</v>
      </c>
      <c r="K736" t="str">
        <f>VLOOKUP(Table1[[#This Row],[Store_ID]],Store_Dim!$A$3:$D$22,2,FALSE)</f>
        <v>Black-Horn-South</v>
      </c>
      <c r="L736" t="s">
        <v>1730</v>
      </c>
      <c r="M736" t="s">
        <v>3960</v>
      </c>
      <c r="N736" s="3">
        <v>371.03</v>
      </c>
      <c r="O736" s="4">
        <v>0.23</v>
      </c>
      <c r="P736" t="s">
        <v>1774</v>
      </c>
      <c r="Q736" s="4">
        <v>571.38619999999992</v>
      </c>
    </row>
    <row r="737" spans="1:17" x14ac:dyDescent="0.3">
      <c r="A737" t="s">
        <v>2509</v>
      </c>
      <c r="B737" t="str">
        <f t="shared" si="11"/>
        <v>Q2</v>
      </c>
      <c r="C737" t="str">
        <f>TEXT(Table1[[#This Row],[Order_Date]],"mmmm")</f>
        <v>June</v>
      </c>
      <c r="D737">
        <f>YEAR(Table1[[#This Row],[Order_Date]])</f>
        <v>2024</v>
      </c>
      <c r="E737" s="7">
        <v>45453</v>
      </c>
      <c r="F737" s="2" t="str">
        <f>VLOOKUP(Table1[[#This Row],[Customer_ID]],Customer_Dim!$A$2:$H$501,2,FALSE)</f>
        <v>Carlos Flores</v>
      </c>
      <c r="G737" s="2" t="str">
        <f>_xlfn.XLOOKUP(Table1[[#This Row],[Customer_ID]],Customer_Dim!$A$2:$A$501,Customer_Dim!$E$2:$E$501)</f>
        <v>North Johnfurt</v>
      </c>
      <c r="H737" t="s">
        <v>1100</v>
      </c>
      <c r="I737" t="str">
        <f>VLOOKUP(Table1[[#This Row],[Product_ID]],Product_Dim!$A$2:$G$101,2,FALSE)</f>
        <v>Women's High Heels-Clothing</v>
      </c>
      <c r="J737" t="s">
        <v>1705</v>
      </c>
      <c r="K737" t="str">
        <f>VLOOKUP(Table1[[#This Row],[Store_ID]],Store_Dim!$A$3:$D$22,2,FALSE)</f>
        <v>Holloway Ltd-North</v>
      </c>
      <c r="L737" t="s">
        <v>1759</v>
      </c>
      <c r="M737" t="s">
        <v>3957</v>
      </c>
      <c r="N737" s="3">
        <v>230.32</v>
      </c>
      <c r="O737" s="4">
        <v>0.05</v>
      </c>
      <c r="P737" t="s">
        <v>1777</v>
      </c>
      <c r="Q737" s="4">
        <v>218.804</v>
      </c>
    </row>
    <row r="738" spans="1:17" x14ac:dyDescent="0.3">
      <c r="A738" t="s">
        <v>2510</v>
      </c>
      <c r="B738" t="str">
        <f t="shared" si="11"/>
        <v>Q3</v>
      </c>
      <c r="C738" t="str">
        <f>TEXT(Table1[[#This Row],[Order_Date]],"mmmm")</f>
        <v>August</v>
      </c>
      <c r="D738">
        <f>YEAR(Table1[[#This Row],[Order_Date]])</f>
        <v>2024</v>
      </c>
      <c r="E738" s="7">
        <v>45526</v>
      </c>
      <c r="F738" s="2" t="str">
        <f>VLOOKUP(Table1[[#This Row],[Customer_ID]],Customer_Dim!$A$2:$H$501,2,FALSE)</f>
        <v>Michelle Cunningham</v>
      </c>
      <c r="G738" s="2" t="str">
        <f>_xlfn.XLOOKUP(Table1[[#This Row],[Customer_ID]],Customer_Dim!$A$2:$A$501,Customer_Dim!$E$2:$E$501)</f>
        <v>Amandaborough</v>
      </c>
      <c r="H738" t="s">
        <v>1063</v>
      </c>
      <c r="I738" t="str">
        <f>VLOOKUP(Table1[[#This Row],[Product_ID]],Product_Dim!$A$2:$G$101,2,FALSE)</f>
        <v>Tennis Ball 3-Pack-Sports</v>
      </c>
      <c r="J738" t="s">
        <v>1645</v>
      </c>
      <c r="K738" t="str">
        <f>VLOOKUP(Table1[[#This Row],[Store_ID]],Store_Dim!$A$3:$D$22,2,FALSE)</f>
        <v>Benson-Elliott-East</v>
      </c>
      <c r="L738" t="s">
        <v>1740</v>
      </c>
      <c r="M738" t="s">
        <v>3960</v>
      </c>
      <c r="N738" s="3">
        <v>985.43</v>
      </c>
      <c r="O738" s="4">
        <v>0.28000000000000003</v>
      </c>
      <c r="P738" t="s">
        <v>1777</v>
      </c>
      <c r="Q738" s="4">
        <v>1419.0192</v>
      </c>
    </row>
    <row r="739" spans="1:17" x14ac:dyDescent="0.3">
      <c r="A739" t="s">
        <v>2511</v>
      </c>
      <c r="B739" t="str">
        <f t="shared" si="11"/>
        <v>Q2</v>
      </c>
      <c r="C739" t="str">
        <f>TEXT(Table1[[#This Row],[Order_Date]],"mmmm")</f>
        <v>April</v>
      </c>
      <c r="D739">
        <f>YEAR(Table1[[#This Row],[Order_Date]])</f>
        <v>2025</v>
      </c>
      <c r="E739" s="7">
        <v>45756</v>
      </c>
      <c r="F739" s="2" t="str">
        <f>VLOOKUP(Table1[[#This Row],[Customer_ID]],Customer_Dim!$A$2:$H$501,2,FALSE)</f>
        <v>Brittany Edwards Dds</v>
      </c>
      <c r="G739" s="2" t="str">
        <f>_xlfn.XLOOKUP(Table1[[#This Row],[Customer_ID]],Customer_Dim!$A$2:$A$501,Customer_Dim!$E$2:$E$501)</f>
        <v>Aliciahaven</v>
      </c>
      <c r="H739" t="s">
        <v>1295</v>
      </c>
      <c r="I739" t="str">
        <f>VLOOKUP(Table1[[#This Row],[Product_ID]],Product_Dim!$A$2:$G$101,2,FALSE)</f>
        <v>Adjustable Dumbbell Set-Sports</v>
      </c>
      <c r="J739" t="s">
        <v>1541</v>
      </c>
      <c r="K739" t="str">
        <f>VLOOKUP(Table1[[#This Row],[Store_ID]],Store_Dim!$A$3:$D$22,2,FALSE)</f>
        <v>Alexander Group-South</v>
      </c>
      <c r="L739" t="s">
        <v>1735</v>
      </c>
      <c r="M739" t="s">
        <v>3960</v>
      </c>
      <c r="N739" s="3">
        <v>492.5</v>
      </c>
      <c r="O739" s="4">
        <v>0.3</v>
      </c>
      <c r="P739" t="s">
        <v>1774</v>
      </c>
      <c r="Q739" s="4">
        <v>689.5</v>
      </c>
    </row>
    <row r="740" spans="1:17" x14ac:dyDescent="0.3">
      <c r="A740" t="s">
        <v>2512</v>
      </c>
      <c r="B740" t="str">
        <f t="shared" si="11"/>
        <v>Q4</v>
      </c>
      <c r="C740" t="str">
        <f>TEXT(Table1[[#This Row],[Order_Date]],"mmmm")</f>
        <v>December</v>
      </c>
      <c r="D740">
        <f>YEAR(Table1[[#This Row],[Order_Date]])</f>
        <v>2024</v>
      </c>
      <c r="E740" s="7">
        <v>45657</v>
      </c>
      <c r="F740" s="2" t="str">
        <f>VLOOKUP(Table1[[#This Row],[Customer_ID]],Customer_Dim!$A$2:$H$501,2,FALSE)</f>
        <v>Chloe Aguilar</v>
      </c>
      <c r="G740" s="2" t="str">
        <f>_xlfn.XLOOKUP(Table1[[#This Row],[Customer_ID]],Customer_Dim!$A$2:$A$501,Customer_Dim!$E$2:$E$501)</f>
        <v>Lake Johnside</v>
      </c>
      <c r="H740" t="s">
        <v>1126</v>
      </c>
      <c r="I740" t="str">
        <f>VLOOKUP(Table1[[#This Row],[Product_ID]],Product_Dim!$A$2:$G$101,2,FALSE)</f>
        <v>Men's Winter Jacket-Clothing</v>
      </c>
      <c r="J740" t="s">
        <v>1615</v>
      </c>
      <c r="K740" t="str">
        <f>VLOOKUP(Table1[[#This Row],[Store_ID]],Store_Dim!$A$3:$D$22,2,FALSE)</f>
        <v>Aguirre-Keller-South</v>
      </c>
      <c r="L740" t="s">
        <v>1750</v>
      </c>
      <c r="M740" t="s">
        <v>3960</v>
      </c>
      <c r="N740" s="3">
        <v>213.69</v>
      </c>
      <c r="O740" s="4">
        <v>0.28000000000000003</v>
      </c>
      <c r="P740" t="s">
        <v>1774</v>
      </c>
      <c r="Q740" s="4">
        <v>307.71359999999999</v>
      </c>
    </row>
    <row r="741" spans="1:17" x14ac:dyDescent="0.3">
      <c r="A741" t="s">
        <v>2513</v>
      </c>
      <c r="B741" t="str">
        <f t="shared" si="11"/>
        <v>Q1</v>
      </c>
      <c r="C741" t="str">
        <f>TEXT(Table1[[#This Row],[Order_Date]],"mmmm")</f>
        <v>February</v>
      </c>
      <c r="D741">
        <f>YEAR(Table1[[#This Row],[Order_Date]])</f>
        <v>2025</v>
      </c>
      <c r="E741" s="7">
        <v>45716</v>
      </c>
      <c r="F741" s="2" t="str">
        <f>VLOOKUP(Table1[[#This Row],[Customer_ID]],Customer_Dim!$A$2:$H$501,2,FALSE)</f>
        <v>Michael Thomas</v>
      </c>
      <c r="G741" s="2" t="str">
        <f>_xlfn.XLOOKUP(Table1[[#This Row],[Customer_ID]],Customer_Dim!$A$2:$A$501,Customer_Dim!$E$2:$E$501)</f>
        <v>Woodmouth</v>
      </c>
      <c r="H741" t="s">
        <v>238</v>
      </c>
      <c r="I741" t="str">
        <f>VLOOKUP(Table1[[#This Row],[Product_ID]],Product_Dim!$A$2:$G$101,2,FALSE)</f>
        <v>Outdoor Sports Water Bottle-Sports</v>
      </c>
      <c r="J741" t="s">
        <v>1563</v>
      </c>
      <c r="K741" t="str">
        <f>VLOOKUP(Table1[[#This Row],[Store_ID]],Store_Dim!$A$3:$D$22,2,FALSE)</f>
        <v>Bean, Jones and Park-West</v>
      </c>
      <c r="L741" t="s">
        <v>1744</v>
      </c>
      <c r="M741" t="s">
        <v>3959</v>
      </c>
      <c r="N741" s="3">
        <v>618.83000000000004</v>
      </c>
      <c r="O741" s="4">
        <v>0.08</v>
      </c>
      <c r="P741" t="s">
        <v>1774</v>
      </c>
      <c r="Q741" s="4">
        <v>2277.2944000000002</v>
      </c>
    </row>
    <row r="742" spans="1:17" x14ac:dyDescent="0.3">
      <c r="A742" t="s">
        <v>2514</v>
      </c>
      <c r="B742" t="str">
        <f t="shared" si="11"/>
        <v>Q1</v>
      </c>
      <c r="C742" t="str">
        <f>TEXT(Table1[[#This Row],[Order_Date]],"mmmm")</f>
        <v>January</v>
      </c>
      <c r="D742">
        <f>YEAR(Table1[[#This Row],[Order_Date]])</f>
        <v>2024</v>
      </c>
      <c r="E742" s="7">
        <v>45313</v>
      </c>
      <c r="F742" s="2" t="str">
        <f>VLOOKUP(Table1[[#This Row],[Customer_ID]],Customer_Dim!$A$2:$H$501,2,FALSE)</f>
        <v>Christy Vasquez</v>
      </c>
      <c r="G742" s="2" t="str">
        <f>_xlfn.XLOOKUP(Table1[[#This Row],[Customer_ID]],Customer_Dim!$A$2:$A$501,Customer_Dim!$E$2:$E$501)</f>
        <v>Port Travisstad</v>
      </c>
      <c r="H742" t="s">
        <v>330</v>
      </c>
      <c r="I742" t="str">
        <f>VLOOKUP(Table1[[#This Row],[Product_ID]],Product_Dim!$A$2:$G$101,2,FALSE)</f>
        <v>Men's Hair Styling Gel-Beauty</v>
      </c>
      <c r="J742" t="s">
        <v>1641</v>
      </c>
      <c r="K742" t="str">
        <f>VLOOKUP(Table1[[#This Row],[Store_ID]],Store_Dim!$A$3:$D$22,2,FALSE)</f>
        <v>Aguirre-Keller-South</v>
      </c>
      <c r="L742" t="s">
        <v>1750</v>
      </c>
      <c r="M742" t="s">
        <v>3960</v>
      </c>
      <c r="N742" s="3">
        <v>81.16</v>
      </c>
      <c r="O742" s="4">
        <v>0.16</v>
      </c>
      <c r="P742" t="s">
        <v>1774</v>
      </c>
      <c r="Q742" s="4">
        <v>136.34880000000001</v>
      </c>
    </row>
    <row r="743" spans="1:17" x14ac:dyDescent="0.3">
      <c r="A743" t="s">
        <v>2515</v>
      </c>
      <c r="B743" t="str">
        <f t="shared" si="11"/>
        <v>Q1</v>
      </c>
      <c r="C743" t="str">
        <f>TEXT(Table1[[#This Row],[Order_Date]],"mmmm")</f>
        <v>March</v>
      </c>
      <c r="D743">
        <f>YEAR(Table1[[#This Row],[Order_Date]])</f>
        <v>2024</v>
      </c>
      <c r="E743" s="7">
        <v>45372</v>
      </c>
      <c r="F743" s="2" t="str">
        <f>VLOOKUP(Table1[[#This Row],[Customer_ID]],Customer_Dim!$A$2:$H$501,2,FALSE)</f>
        <v>Dr. Benjamin Price</v>
      </c>
      <c r="G743" s="2" t="str">
        <f>_xlfn.XLOOKUP(Table1[[#This Row],[Customer_ID]],Customer_Dim!$A$2:$A$501,Customer_Dim!$E$2:$E$501)</f>
        <v>Kylebury</v>
      </c>
      <c r="H743" t="s">
        <v>20</v>
      </c>
      <c r="I743" t="str">
        <f>VLOOKUP(Table1[[#This Row],[Product_ID]],Product_Dim!$A$2:$G$101,2,FALSE)</f>
        <v>Kitchen Cutting Board-Home</v>
      </c>
      <c r="J743" t="s">
        <v>1695</v>
      </c>
      <c r="K743" t="str">
        <f>VLOOKUP(Table1[[#This Row],[Store_ID]],Store_Dim!$A$3:$D$22,2,FALSE)</f>
        <v>Moore, Padilla and Butler-South</v>
      </c>
      <c r="L743" t="s">
        <v>1746</v>
      </c>
      <c r="M743" t="s">
        <v>3957</v>
      </c>
      <c r="N743" s="3">
        <v>431.69</v>
      </c>
      <c r="O743" s="4">
        <v>0.09</v>
      </c>
      <c r="P743" t="s">
        <v>1772</v>
      </c>
      <c r="Q743" s="4">
        <v>392.83789999999999</v>
      </c>
    </row>
    <row r="744" spans="1:17" x14ac:dyDescent="0.3">
      <c r="A744" t="s">
        <v>2516</v>
      </c>
      <c r="B744" t="str">
        <f t="shared" si="11"/>
        <v>Q4</v>
      </c>
      <c r="C744" t="str">
        <f>TEXT(Table1[[#This Row],[Order_Date]],"mmmm")</f>
        <v>December</v>
      </c>
      <c r="D744">
        <f>YEAR(Table1[[#This Row],[Order_Date]])</f>
        <v>2024</v>
      </c>
      <c r="E744" s="7">
        <v>45648</v>
      </c>
      <c r="F744" s="2" t="str">
        <f>VLOOKUP(Table1[[#This Row],[Customer_ID]],Customer_Dim!$A$2:$H$501,2,FALSE)</f>
        <v>Eric Wolfe</v>
      </c>
      <c r="G744" s="2" t="str">
        <f>_xlfn.XLOOKUP(Table1[[#This Row],[Customer_ID]],Customer_Dim!$A$2:$A$501,Customer_Dim!$E$2:$E$501)</f>
        <v>Garciaview</v>
      </c>
      <c r="H744" t="s">
        <v>1246</v>
      </c>
      <c r="I744" t="str">
        <f>VLOOKUP(Table1[[#This Row],[Product_ID]],Product_Dim!$A$2:$G$101,2,FALSE)</f>
        <v>Women's Denim Jeans-Clothing</v>
      </c>
      <c r="J744" t="s">
        <v>1559</v>
      </c>
      <c r="K744" t="str">
        <f>VLOOKUP(Table1[[#This Row],[Store_ID]],Store_Dim!$A$3:$D$22,2,FALSE)</f>
        <v>Gray Ltd-North</v>
      </c>
      <c r="L744" t="s">
        <v>1738</v>
      </c>
      <c r="M744" t="s">
        <v>3958</v>
      </c>
      <c r="N744" s="3">
        <v>438.65</v>
      </c>
      <c r="O744" s="4">
        <v>0.28999999999999998</v>
      </c>
      <c r="P744" t="s">
        <v>1774</v>
      </c>
      <c r="Q744" s="4">
        <v>934.32449999999983</v>
      </c>
    </row>
    <row r="745" spans="1:17" x14ac:dyDescent="0.3">
      <c r="A745" t="s">
        <v>2517</v>
      </c>
      <c r="B745" t="str">
        <f t="shared" si="11"/>
        <v>Q2</v>
      </c>
      <c r="C745" t="str">
        <f>TEXT(Table1[[#This Row],[Order_Date]],"mmmm")</f>
        <v>April</v>
      </c>
      <c r="D745">
        <f>YEAR(Table1[[#This Row],[Order_Date]])</f>
        <v>2024</v>
      </c>
      <c r="E745" s="7">
        <v>45384</v>
      </c>
      <c r="F745" s="2" t="str">
        <f>VLOOKUP(Table1[[#This Row],[Customer_ID]],Customer_Dim!$A$2:$H$501,2,FALSE)</f>
        <v>Thomas Rhodes</v>
      </c>
      <c r="G745" s="2" t="str">
        <f>_xlfn.XLOOKUP(Table1[[#This Row],[Customer_ID]],Customer_Dim!$A$2:$A$501,Customer_Dim!$E$2:$E$501)</f>
        <v>Port Richard</v>
      </c>
      <c r="H745" t="s">
        <v>565</v>
      </c>
      <c r="I745" t="str">
        <f>VLOOKUP(Table1[[#This Row],[Product_ID]],Product_Dim!$A$2:$G$101,2,FALSE)</f>
        <v>Decorative Lamp Shade-Home</v>
      </c>
      <c r="J745" t="s">
        <v>1681</v>
      </c>
      <c r="K745" t="str">
        <f>VLOOKUP(Table1[[#This Row],[Store_ID]],Store_Dim!$A$3:$D$22,2,FALSE)</f>
        <v>Johnson-Wright-North</v>
      </c>
      <c r="L745" t="s">
        <v>1733</v>
      </c>
      <c r="M745" t="s">
        <v>3958</v>
      </c>
      <c r="N745" s="3">
        <v>339.41</v>
      </c>
      <c r="O745" s="4">
        <v>0.26</v>
      </c>
      <c r="P745" t="s">
        <v>1772</v>
      </c>
      <c r="Q745" s="4">
        <v>753.49019999999996</v>
      </c>
    </row>
    <row r="746" spans="1:17" x14ac:dyDescent="0.3">
      <c r="A746" t="s">
        <v>2518</v>
      </c>
      <c r="B746" t="str">
        <f t="shared" si="11"/>
        <v>Q1</v>
      </c>
      <c r="C746" t="str">
        <f>TEXT(Table1[[#This Row],[Order_Date]],"mmmm")</f>
        <v>January</v>
      </c>
      <c r="D746">
        <f>YEAR(Table1[[#This Row],[Order_Date]])</f>
        <v>2025</v>
      </c>
      <c r="E746" s="7">
        <v>45687</v>
      </c>
      <c r="F746" s="2" t="str">
        <f>VLOOKUP(Table1[[#This Row],[Customer_ID]],Customer_Dim!$A$2:$H$501,2,FALSE)</f>
        <v>Manuel Fisher</v>
      </c>
      <c r="G746" s="2" t="str">
        <f>_xlfn.XLOOKUP(Table1[[#This Row],[Customer_ID]],Customer_Dim!$A$2:$A$501,Customer_Dim!$E$2:$E$501)</f>
        <v>Kanebury</v>
      </c>
      <c r="H746" t="s">
        <v>1433</v>
      </c>
      <c r="I746" t="str">
        <f>VLOOKUP(Table1[[#This Row],[Product_ID]],Product_Dim!$A$2:$G$101,2,FALSE)</f>
        <v>Decorative Lamp Shade-Home</v>
      </c>
      <c r="J746" t="s">
        <v>1681</v>
      </c>
      <c r="K746" t="str">
        <f>VLOOKUP(Table1[[#This Row],[Store_ID]],Store_Dim!$A$3:$D$22,2,FALSE)</f>
        <v>Moore, Padilla and Butler-South</v>
      </c>
      <c r="L746" t="s">
        <v>1746</v>
      </c>
      <c r="M746" t="s">
        <v>3959</v>
      </c>
      <c r="N746" s="3">
        <v>848.47</v>
      </c>
      <c r="O746" s="4">
        <v>0.21</v>
      </c>
      <c r="P746" t="s">
        <v>1777</v>
      </c>
      <c r="Q746" s="4">
        <v>2681.1651999999999</v>
      </c>
    </row>
    <row r="747" spans="1:17" x14ac:dyDescent="0.3">
      <c r="A747" t="s">
        <v>2519</v>
      </c>
      <c r="B747" t="str">
        <f t="shared" si="11"/>
        <v>Q1</v>
      </c>
      <c r="C747" t="str">
        <f>TEXT(Table1[[#This Row],[Order_Date]],"mmmm")</f>
        <v>March</v>
      </c>
      <c r="D747">
        <f>YEAR(Table1[[#This Row],[Order_Date]])</f>
        <v>2025</v>
      </c>
      <c r="E747" s="7">
        <v>45747</v>
      </c>
      <c r="F747" s="2" t="str">
        <f>VLOOKUP(Table1[[#This Row],[Customer_ID]],Customer_Dim!$A$2:$H$501,2,FALSE)</f>
        <v>Jacob Wood</v>
      </c>
      <c r="G747" s="2" t="str">
        <f>_xlfn.XLOOKUP(Table1[[#This Row],[Customer_ID]],Customer_Dim!$A$2:$A$501,Customer_Dim!$E$2:$E$501)</f>
        <v>Lake Samanthafort</v>
      </c>
      <c r="H747" t="s">
        <v>625</v>
      </c>
      <c r="I747" t="str">
        <f>VLOOKUP(Table1[[#This Row],[Product_ID]],Product_Dim!$A$2:$G$101,2,FALSE)</f>
        <v>Smart LED Light Strip-Electronics</v>
      </c>
      <c r="J747" t="s">
        <v>1657</v>
      </c>
      <c r="K747" t="str">
        <f>VLOOKUP(Table1[[#This Row],[Store_ID]],Store_Dim!$A$3:$D$22,2,FALSE)</f>
        <v>Bean, Jones and Park-West</v>
      </c>
      <c r="L747" t="s">
        <v>1744</v>
      </c>
      <c r="M747" t="s">
        <v>3957</v>
      </c>
      <c r="N747" s="3">
        <v>664.87</v>
      </c>
      <c r="O747" s="4">
        <v>0.08</v>
      </c>
      <c r="P747" t="s">
        <v>1774</v>
      </c>
      <c r="Q747" s="4">
        <v>611.68040000000008</v>
      </c>
    </row>
    <row r="748" spans="1:17" x14ac:dyDescent="0.3">
      <c r="A748" t="s">
        <v>2520</v>
      </c>
      <c r="B748" t="str">
        <f t="shared" si="11"/>
        <v>Q1</v>
      </c>
      <c r="C748" t="str">
        <f>TEXT(Table1[[#This Row],[Order_Date]],"mmmm")</f>
        <v>January</v>
      </c>
      <c r="D748">
        <f>YEAR(Table1[[#This Row],[Order_Date]])</f>
        <v>2025</v>
      </c>
      <c r="E748" s="7">
        <v>45687</v>
      </c>
      <c r="F748" s="2" t="str">
        <f>VLOOKUP(Table1[[#This Row],[Customer_ID]],Customer_Dim!$A$2:$H$501,2,FALSE)</f>
        <v>Sheila Wilson</v>
      </c>
      <c r="G748" s="2" t="str">
        <f>_xlfn.XLOOKUP(Table1[[#This Row],[Customer_ID]],Customer_Dim!$A$2:$A$501,Customer_Dim!$E$2:$E$501)</f>
        <v>South Dustin</v>
      </c>
      <c r="H748" t="s">
        <v>348</v>
      </c>
      <c r="I748" t="str">
        <f>VLOOKUP(Table1[[#This Row],[Product_ID]],Product_Dim!$A$2:$G$101,2,FALSE)</f>
        <v>Foldable Camping Chair-Sports</v>
      </c>
      <c r="J748" t="s">
        <v>1571</v>
      </c>
      <c r="K748" t="str">
        <f>VLOOKUP(Table1[[#This Row],[Store_ID]],Store_Dim!$A$3:$D$22,2,FALSE)</f>
        <v>Martinez-Mullins-South</v>
      </c>
      <c r="L748" t="s">
        <v>1742</v>
      </c>
      <c r="M748" t="s">
        <v>3957</v>
      </c>
      <c r="N748" s="3">
        <v>412.11</v>
      </c>
      <c r="O748" s="4">
        <v>0.23</v>
      </c>
      <c r="P748" t="s">
        <v>1774</v>
      </c>
      <c r="Q748" s="4">
        <v>317.32470000000001</v>
      </c>
    </row>
    <row r="749" spans="1:17" x14ac:dyDescent="0.3">
      <c r="A749" t="s">
        <v>2521</v>
      </c>
      <c r="B749" t="str">
        <f t="shared" si="11"/>
        <v>Q3</v>
      </c>
      <c r="C749" t="str">
        <f>TEXT(Table1[[#This Row],[Order_Date]],"mmmm")</f>
        <v>September</v>
      </c>
      <c r="D749">
        <f>YEAR(Table1[[#This Row],[Order_Date]])</f>
        <v>2025</v>
      </c>
      <c r="E749" s="7">
        <v>45916</v>
      </c>
      <c r="F749" s="2" t="str">
        <f>VLOOKUP(Table1[[#This Row],[Customer_ID]],Customer_Dim!$A$2:$H$501,2,FALSE)</f>
        <v>Michael Chang</v>
      </c>
      <c r="G749" s="2" t="str">
        <f>_xlfn.XLOOKUP(Table1[[#This Row],[Customer_ID]],Customer_Dim!$A$2:$A$501,Customer_Dim!$E$2:$E$501)</f>
        <v>Kathrynport</v>
      </c>
      <c r="H749" t="s">
        <v>417</v>
      </c>
      <c r="I749" t="str">
        <f>VLOOKUP(Table1[[#This Row],[Product_ID]],Product_Dim!$A$2:$G$101,2,FALSE)</f>
        <v>Vitamin E Body Lotion-Beauty</v>
      </c>
      <c r="J749" t="s">
        <v>1711</v>
      </c>
      <c r="K749" t="str">
        <f>VLOOKUP(Table1[[#This Row],[Store_ID]],Store_Dim!$A$3:$D$22,2,FALSE)</f>
        <v>Martinez, Adkins and Johnson-North</v>
      </c>
      <c r="L749" t="s">
        <v>1728</v>
      </c>
      <c r="M749" t="s">
        <v>3957</v>
      </c>
      <c r="N749" s="3">
        <v>126.09</v>
      </c>
      <c r="O749" s="4">
        <v>0.05</v>
      </c>
      <c r="P749" t="s">
        <v>1777</v>
      </c>
      <c r="Q749" s="4">
        <v>119.7855</v>
      </c>
    </row>
    <row r="750" spans="1:17" x14ac:dyDescent="0.3">
      <c r="A750" t="s">
        <v>2522</v>
      </c>
      <c r="B750" t="str">
        <f t="shared" si="11"/>
        <v>Q3</v>
      </c>
      <c r="C750" t="str">
        <f>TEXT(Table1[[#This Row],[Order_Date]],"mmmm")</f>
        <v>September</v>
      </c>
      <c r="D750">
        <f>YEAR(Table1[[#This Row],[Order_Date]])</f>
        <v>2025</v>
      </c>
      <c r="E750" s="7">
        <v>45917</v>
      </c>
      <c r="F750" s="2" t="str">
        <f>VLOOKUP(Table1[[#This Row],[Customer_ID]],Customer_Dim!$A$2:$H$501,2,FALSE)</f>
        <v>Wanda Snyder</v>
      </c>
      <c r="G750" s="2" t="str">
        <f>_xlfn.XLOOKUP(Table1[[#This Row],[Customer_ID]],Customer_Dim!$A$2:$A$501,Customer_Dim!$E$2:$E$501)</f>
        <v>Frostmouth</v>
      </c>
      <c r="H750" t="s">
        <v>642</v>
      </c>
      <c r="I750" t="str">
        <f>VLOOKUP(Table1[[#This Row],[Product_ID]],Product_Dim!$A$2:$G$101,2,FALSE)</f>
        <v>Smart LED Light Strip-Electronics</v>
      </c>
      <c r="J750" t="s">
        <v>1657</v>
      </c>
      <c r="K750" t="str">
        <f>VLOOKUP(Table1[[#This Row],[Store_ID]],Store_Dim!$A$3:$D$22,2,FALSE)</f>
        <v>Hill, Wagner and Ballard-East</v>
      </c>
      <c r="L750" t="s">
        <v>1748</v>
      </c>
      <c r="M750" t="s">
        <v>3959</v>
      </c>
      <c r="N750" s="3">
        <v>602.39</v>
      </c>
      <c r="O750" s="4">
        <v>0.19</v>
      </c>
      <c r="P750" t="s">
        <v>1777</v>
      </c>
      <c r="Q750" s="4">
        <v>1951.7436</v>
      </c>
    </row>
    <row r="751" spans="1:17" x14ac:dyDescent="0.3">
      <c r="A751" t="s">
        <v>2523</v>
      </c>
      <c r="B751" t="str">
        <f t="shared" si="11"/>
        <v>Q4</v>
      </c>
      <c r="C751" t="str">
        <f>TEXT(Table1[[#This Row],[Order_Date]],"mmmm")</f>
        <v>October</v>
      </c>
      <c r="D751">
        <f>YEAR(Table1[[#This Row],[Order_Date]])</f>
        <v>2025</v>
      </c>
      <c r="E751" s="7">
        <v>45941</v>
      </c>
      <c r="F751" s="2" t="str">
        <f>VLOOKUP(Table1[[#This Row],[Customer_ID]],Customer_Dim!$A$2:$H$501,2,FALSE)</f>
        <v>Andrew Smith</v>
      </c>
      <c r="G751" s="2" t="str">
        <f>_xlfn.XLOOKUP(Table1[[#This Row],[Customer_ID]],Customer_Dim!$A$2:$A$501,Customer_Dim!$E$2:$E$501)</f>
        <v>East Matthew</v>
      </c>
      <c r="H751" t="s">
        <v>1012</v>
      </c>
      <c r="I751" t="str">
        <f>VLOOKUP(Table1[[#This Row],[Product_ID]],Product_Dim!$A$2:$G$101,2,FALSE)</f>
        <v>Fitness Resistance Bands-Sports</v>
      </c>
      <c r="J751" t="s">
        <v>1687</v>
      </c>
      <c r="K751" t="str">
        <f>VLOOKUP(Table1[[#This Row],[Store_ID]],Store_Dim!$A$3:$D$22,2,FALSE)</f>
        <v>Johnson-Wright-North</v>
      </c>
      <c r="L751" t="s">
        <v>1733</v>
      </c>
      <c r="M751" t="s">
        <v>3958</v>
      </c>
      <c r="N751" s="3">
        <v>447.69</v>
      </c>
      <c r="O751" s="4">
        <v>0.02</v>
      </c>
      <c r="P751" t="s">
        <v>1777</v>
      </c>
      <c r="Q751" s="4">
        <v>1316.2085999999999</v>
      </c>
    </row>
    <row r="752" spans="1:17" x14ac:dyDescent="0.3">
      <c r="A752" t="s">
        <v>2524</v>
      </c>
      <c r="B752" t="str">
        <f t="shared" si="11"/>
        <v>Q2</v>
      </c>
      <c r="C752" t="str">
        <f>TEXT(Table1[[#This Row],[Order_Date]],"mmmm")</f>
        <v>May</v>
      </c>
      <c r="D752">
        <f>YEAR(Table1[[#This Row],[Order_Date]])</f>
        <v>2025</v>
      </c>
      <c r="E752" s="7">
        <v>45778</v>
      </c>
      <c r="F752" s="2" t="str">
        <f>VLOOKUP(Table1[[#This Row],[Customer_ID]],Customer_Dim!$A$2:$H$501,2,FALSE)</f>
        <v>Nicholas Webb</v>
      </c>
      <c r="G752" s="2" t="str">
        <f>_xlfn.XLOOKUP(Table1[[#This Row],[Customer_ID]],Customer_Dim!$A$2:$A$501,Customer_Dim!$E$2:$E$501)</f>
        <v>Lake Timothy</v>
      </c>
      <c r="H752" t="s">
        <v>788</v>
      </c>
      <c r="I752" t="str">
        <f>VLOOKUP(Table1[[#This Row],[Product_ID]],Product_Dim!$A$2:$G$101,2,FALSE)</f>
        <v>Gaming Mechanical Keyboard-Electronics</v>
      </c>
      <c r="J752" t="s">
        <v>1591</v>
      </c>
      <c r="K752" t="str">
        <f>VLOOKUP(Table1[[#This Row],[Store_ID]],Store_Dim!$A$3:$D$22,2,FALSE)</f>
        <v>Johnson-Wright-North</v>
      </c>
      <c r="L752" t="s">
        <v>1733</v>
      </c>
      <c r="M752" t="s">
        <v>3958</v>
      </c>
      <c r="N752" s="3">
        <v>35.159999999999997</v>
      </c>
      <c r="O752" s="4">
        <v>0.04</v>
      </c>
      <c r="P752" t="s">
        <v>1777</v>
      </c>
      <c r="Q752" s="4">
        <v>101.2608</v>
      </c>
    </row>
    <row r="753" spans="1:17" x14ac:dyDescent="0.3">
      <c r="A753" t="s">
        <v>2525</v>
      </c>
      <c r="B753" t="str">
        <f t="shared" si="11"/>
        <v>Q1</v>
      </c>
      <c r="C753" t="str">
        <f>TEXT(Table1[[#This Row],[Order_Date]],"mmmm")</f>
        <v>March</v>
      </c>
      <c r="D753">
        <f>YEAR(Table1[[#This Row],[Order_Date]])</f>
        <v>2025</v>
      </c>
      <c r="E753" s="7">
        <v>45740</v>
      </c>
      <c r="F753" s="2" t="str">
        <f>VLOOKUP(Table1[[#This Row],[Customer_ID]],Customer_Dim!$A$2:$H$501,2,FALSE)</f>
        <v>Pamela Mcguire</v>
      </c>
      <c r="G753" s="2" t="str">
        <f>_xlfn.XLOOKUP(Table1[[#This Row],[Customer_ID]],Customer_Dim!$A$2:$A$501,Customer_Dim!$E$2:$E$501)</f>
        <v>South Jasontown</v>
      </c>
      <c r="H753" t="s">
        <v>1027</v>
      </c>
      <c r="I753" t="str">
        <f>VLOOKUP(Table1[[#This Row],[Product_ID]],Product_Dim!$A$2:$G$101,2,FALSE)</f>
        <v>Professional Jump Rope-Sports</v>
      </c>
      <c r="J753" t="s">
        <v>1667</v>
      </c>
      <c r="K753" t="str">
        <f>VLOOKUP(Table1[[#This Row],[Store_ID]],Store_Dim!$A$3:$D$22,2,FALSE)</f>
        <v>Aguirre-Keller-South</v>
      </c>
      <c r="L753" t="s">
        <v>1750</v>
      </c>
      <c r="M753" t="s">
        <v>3960</v>
      </c>
      <c r="N753" s="3">
        <v>838.59</v>
      </c>
      <c r="O753" s="4">
        <v>0.18</v>
      </c>
      <c r="P753" t="s">
        <v>1777</v>
      </c>
      <c r="Q753" s="4">
        <v>1375.2876000000001</v>
      </c>
    </row>
    <row r="754" spans="1:17" x14ac:dyDescent="0.3">
      <c r="A754" t="s">
        <v>2526</v>
      </c>
      <c r="B754" t="str">
        <f t="shared" si="11"/>
        <v>Q4</v>
      </c>
      <c r="C754" t="str">
        <f>TEXT(Table1[[#This Row],[Order_Date]],"mmmm")</f>
        <v>November</v>
      </c>
      <c r="D754">
        <f>YEAR(Table1[[#This Row],[Order_Date]])</f>
        <v>2024</v>
      </c>
      <c r="E754" s="7">
        <v>45598</v>
      </c>
      <c r="F754" s="2" t="str">
        <f>VLOOKUP(Table1[[#This Row],[Customer_ID]],Customer_Dim!$A$2:$H$501,2,FALSE)</f>
        <v>Jamie Yoder</v>
      </c>
      <c r="G754" s="2" t="str">
        <f>_xlfn.XLOOKUP(Table1[[#This Row],[Customer_ID]],Customer_Dim!$A$2:$A$501,Customer_Dim!$E$2:$E$501)</f>
        <v>New Gabrielleville</v>
      </c>
      <c r="H754" t="s">
        <v>316</v>
      </c>
      <c r="I754" t="str">
        <f>VLOOKUP(Table1[[#This Row],[Product_ID]],Product_Dim!$A$2:$G$101,2,FALSE)</f>
        <v>Men's Hair Styling Gel-Beauty</v>
      </c>
      <c r="J754" t="s">
        <v>1641</v>
      </c>
      <c r="K754" t="str">
        <f>VLOOKUP(Table1[[#This Row],[Store_ID]],Store_Dim!$A$3:$D$22,2,FALSE)</f>
        <v>Benson-Elliott-East</v>
      </c>
      <c r="L754" t="s">
        <v>1740</v>
      </c>
      <c r="M754" t="s">
        <v>3959</v>
      </c>
      <c r="N754" s="3">
        <v>867.94</v>
      </c>
      <c r="O754" s="4">
        <v>0.26</v>
      </c>
      <c r="P754" t="s">
        <v>1774</v>
      </c>
      <c r="Q754" s="4">
        <v>2569.1024000000002</v>
      </c>
    </row>
    <row r="755" spans="1:17" x14ac:dyDescent="0.3">
      <c r="A755" t="s">
        <v>2527</v>
      </c>
      <c r="B755" t="str">
        <f t="shared" si="11"/>
        <v>Q4</v>
      </c>
      <c r="C755" t="str">
        <f>TEXT(Table1[[#This Row],[Order_Date]],"mmmm")</f>
        <v>October</v>
      </c>
      <c r="D755">
        <f>YEAR(Table1[[#This Row],[Order_Date]])</f>
        <v>2024</v>
      </c>
      <c r="E755" s="7">
        <v>45591</v>
      </c>
      <c r="F755" s="2" t="str">
        <f>VLOOKUP(Table1[[#This Row],[Customer_ID]],Customer_Dim!$A$2:$H$501,2,FALSE)</f>
        <v>Megan Greer</v>
      </c>
      <c r="G755" s="2" t="str">
        <f>_xlfn.XLOOKUP(Table1[[#This Row],[Customer_ID]],Customer_Dim!$A$2:$A$501,Customer_Dim!$E$2:$E$501)</f>
        <v>West John</v>
      </c>
      <c r="H755" t="s">
        <v>637</v>
      </c>
      <c r="I755" t="str">
        <f>VLOOKUP(Table1[[#This Row],[Product_ID]],Product_Dim!$A$2:$G$101,2,FALSE)</f>
        <v>Portable Power Bank-Electronics</v>
      </c>
      <c r="J755" t="s">
        <v>1601</v>
      </c>
      <c r="K755" t="str">
        <f>VLOOKUP(Table1[[#This Row],[Store_ID]],Store_Dim!$A$3:$D$22,2,FALSE)</f>
        <v>Holloway Ltd-North</v>
      </c>
      <c r="L755" t="s">
        <v>1759</v>
      </c>
      <c r="M755" t="s">
        <v>3957</v>
      </c>
      <c r="N755" s="3">
        <v>623.88</v>
      </c>
      <c r="O755" s="4">
        <v>0.25</v>
      </c>
      <c r="P755" t="s">
        <v>1772</v>
      </c>
      <c r="Q755" s="4">
        <v>467.91</v>
      </c>
    </row>
    <row r="756" spans="1:17" x14ac:dyDescent="0.3">
      <c r="A756" t="s">
        <v>2528</v>
      </c>
      <c r="B756" t="str">
        <f t="shared" si="11"/>
        <v>Q3</v>
      </c>
      <c r="C756" t="str">
        <f>TEXT(Table1[[#This Row],[Order_Date]],"mmmm")</f>
        <v>September</v>
      </c>
      <c r="D756">
        <f>YEAR(Table1[[#This Row],[Order_Date]])</f>
        <v>2024</v>
      </c>
      <c r="E756" s="7">
        <v>45546</v>
      </c>
      <c r="F756" s="2" t="str">
        <f>VLOOKUP(Table1[[#This Row],[Customer_ID]],Customer_Dim!$A$2:$H$501,2,FALSE)</f>
        <v>Curtis Lam</v>
      </c>
      <c r="G756" s="2" t="str">
        <f>_xlfn.XLOOKUP(Table1[[#This Row],[Customer_ID]],Customer_Dim!$A$2:$A$501,Customer_Dim!$E$2:$E$501)</f>
        <v>Butlerberg</v>
      </c>
      <c r="H756" t="s">
        <v>579</v>
      </c>
      <c r="I756" t="str">
        <f>VLOOKUP(Table1[[#This Row],[Product_ID]],Product_Dim!$A$2:$G$101,2,FALSE)</f>
        <v>Smart Home WiFi Camera-Electronics</v>
      </c>
      <c r="J756" t="s">
        <v>1607</v>
      </c>
      <c r="K756" t="str">
        <f>VLOOKUP(Table1[[#This Row],[Store_ID]],Store_Dim!$A$3:$D$22,2,FALSE)</f>
        <v>Mcdonald Inc-South</v>
      </c>
      <c r="L756" t="s">
        <v>1754</v>
      </c>
      <c r="M756" t="s">
        <v>3960</v>
      </c>
      <c r="N756" s="3">
        <v>567.95000000000005</v>
      </c>
      <c r="O756" s="4">
        <v>0.12</v>
      </c>
      <c r="P756" t="s">
        <v>1774</v>
      </c>
      <c r="Q756" s="4">
        <v>999.5920000000001</v>
      </c>
    </row>
    <row r="757" spans="1:17" x14ac:dyDescent="0.3">
      <c r="A757" t="s">
        <v>2529</v>
      </c>
      <c r="B757" t="str">
        <f t="shared" si="11"/>
        <v>Q3</v>
      </c>
      <c r="C757" t="str">
        <f>TEXT(Table1[[#This Row],[Order_Date]],"mmmm")</f>
        <v>July</v>
      </c>
      <c r="D757">
        <f>YEAR(Table1[[#This Row],[Order_Date]])</f>
        <v>2024</v>
      </c>
      <c r="E757" s="7">
        <v>45483</v>
      </c>
      <c r="F757" s="2" t="str">
        <f>VLOOKUP(Table1[[#This Row],[Customer_ID]],Customer_Dim!$A$2:$H$501,2,FALSE)</f>
        <v>Kristy Dunlap</v>
      </c>
      <c r="G757" s="2" t="str">
        <f>_xlfn.XLOOKUP(Table1[[#This Row],[Customer_ID]],Customer_Dim!$A$2:$A$501,Customer_Dim!$E$2:$E$501)</f>
        <v>Whiteport</v>
      </c>
      <c r="H757" t="s">
        <v>1007</v>
      </c>
      <c r="I757" t="str">
        <f>VLOOKUP(Table1[[#This Row],[Product_ID]],Product_Dim!$A$2:$G$101,2,FALSE)</f>
        <v>Basketball-Sports</v>
      </c>
      <c r="J757" t="s">
        <v>1585</v>
      </c>
      <c r="K757" t="str">
        <f>VLOOKUP(Table1[[#This Row],[Store_ID]],Store_Dim!$A$3:$D$22,2,FALSE)</f>
        <v>Guerrero-Schmitt-East</v>
      </c>
      <c r="L757" t="s">
        <v>1761</v>
      </c>
      <c r="M757" t="s">
        <v>3960</v>
      </c>
      <c r="N757" s="3">
        <v>671.69</v>
      </c>
      <c r="O757" s="4">
        <v>0.19</v>
      </c>
      <c r="P757" t="s">
        <v>1772</v>
      </c>
      <c r="Q757" s="4">
        <v>1088.1378</v>
      </c>
    </row>
    <row r="758" spans="1:17" x14ac:dyDescent="0.3">
      <c r="A758" t="s">
        <v>2530</v>
      </c>
      <c r="B758" t="str">
        <f t="shared" si="11"/>
        <v>Q2</v>
      </c>
      <c r="C758" t="str">
        <f>TEXT(Table1[[#This Row],[Order_Date]],"mmmm")</f>
        <v>May</v>
      </c>
      <c r="D758">
        <f>YEAR(Table1[[#This Row],[Order_Date]])</f>
        <v>2025</v>
      </c>
      <c r="E758" s="7">
        <v>45786</v>
      </c>
      <c r="F758" s="2" t="str">
        <f>VLOOKUP(Table1[[#This Row],[Customer_ID]],Customer_Dim!$A$2:$H$501,2,FALSE)</f>
        <v>Ronald Jones</v>
      </c>
      <c r="G758" s="2" t="str">
        <f>_xlfn.XLOOKUP(Table1[[#This Row],[Customer_ID]],Customer_Dim!$A$2:$A$501,Customer_Dim!$E$2:$E$501)</f>
        <v>Brownshire</v>
      </c>
      <c r="H758" t="s">
        <v>666</v>
      </c>
      <c r="I758" t="str">
        <f>VLOOKUP(Table1[[#This Row],[Product_ID]],Product_Dim!$A$2:$G$101,2,FALSE)</f>
        <v>Herbal Face Moisturizer-Beauty</v>
      </c>
      <c r="J758" t="s">
        <v>1535</v>
      </c>
      <c r="K758" t="str">
        <f>VLOOKUP(Table1[[#This Row],[Store_ID]],Store_Dim!$A$3:$D$22,2,FALSE)</f>
        <v>Martinez-Mullins-South</v>
      </c>
      <c r="L758" t="s">
        <v>1742</v>
      </c>
      <c r="M758" t="s">
        <v>3960</v>
      </c>
      <c r="N758" s="3">
        <v>257.95999999999998</v>
      </c>
      <c r="O758" s="4">
        <v>0.21</v>
      </c>
      <c r="P758" t="s">
        <v>1774</v>
      </c>
      <c r="Q758" s="4">
        <v>407.57679999999999</v>
      </c>
    </row>
    <row r="759" spans="1:17" x14ac:dyDescent="0.3">
      <c r="A759" t="s">
        <v>2531</v>
      </c>
      <c r="B759" t="str">
        <f t="shared" si="11"/>
        <v>Q3</v>
      </c>
      <c r="C759" t="str">
        <f>TEXT(Table1[[#This Row],[Order_Date]],"mmmm")</f>
        <v>July</v>
      </c>
      <c r="D759">
        <f>YEAR(Table1[[#This Row],[Order_Date]])</f>
        <v>2024</v>
      </c>
      <c r="E759" s="7">
        <v>45475</v>
      </c>
      <c r="F759" s="2" t="str">
        <f>VLOOKUP(Table1[[#This Row],[Customer_ID]],Customer_Dim!$A$2:$H$501,2,FALSE)</f>
        <v>Tiffany Herrera</v>
      </c>
      <c r="G759" s="2" t="str">
        <f>_xlfn.XLOOKUP(Table1[[#This Row],[Customer_ID]],Customer_Dim!$A$2:$A$501,Customer_Dim!$E$2:$E$501)</f>
        <v>New Dianebury</v>
      </c>
      <c r="H759" t="s">
        <v>660</v>
      </c>
      <c r="I759" t="str">
        <f>VLOOKUP(Table1[[#This Row],[Product_ID]],Product_Dim!$A$2:$G$101,2,FALSE)</f>
        <v>Portable Bluetooth Speaker-Electronics</v>
      </c>
      <c r="J759" t="s">
        <v>1719</v>
      </c>
      <c r="K759" t="str">
        <f>VLOOKUP(Table1[[#This Row],[Store_ID]],Store_Dim!$A$3:$D$22,2,FALSE)</f>
        <v>Mann-Austin-East</v>
      </c>
      <c r="L759" t="s">
        <v>1763</v>
      </c>
      <c r="M759" t="s">
        <v>3959</v>
      </c>
      <c r="N759" s="3">
        <v>281.48</v>
      </c>
      <c r="O759" s="4">
        <v>0.27</v>
      </c>
      <c r="P759" t="s">
        <v>1774</v>
      </c>
      <c r="Q759" s="4">
        <v>821.92160000000001</v>
      </c>
    </row>
    <row r="760" spans="1:17" x14ac:dyDescent="0.3">
      <c r="A760" t="s">
        <v>2532</v>
      </c>
      <c r="B760" t="str">
        <f t="shared" si="11"/>
        <v>Q2</v>
      </c>
      <c r="C760" t="str">
        <f>TEXT(Table1[[#This Row],[Order_Date]],"mmmm")</f>
        <v>June</v>
      </c>
      <c r="D760">
        <f>YEAR(Table1[[#This Row],[Order_Date]])</f>
        <v>2024</v>
      </c>
      <c r="E760" s="7">
        <v>45470</v>
      </c>
      <c r="F760" s="2" t="str">
        <f>VLOOKUP(Table1[[#This Row],[Customer_ID]],Customer_Dim!$A$2:$H$501,2,FALSE)</f>
        <v>Robert House</v>
      </c>
      <c r="G760" s="2" t="str">
        <f>_xlfn.XLOOKUP(Table1[[#This Row],[Customer_ID]],Customer_Dim!$A$2:$A$501,Customer_Dim!$E$2:$E$501)</f>
        <v>Lake James</v>
      </c>
      <c r="H760" t="s">
        <v>986</v>
      </c>
      <c r="I760" t="str">
        <f>VLOOKUP(Table1[[#This Row],[Product_ID]],Product_Dim!$A$2:$G$101,2,FALSE)</f>
        <v>Outdoor Sports Water Bottle-Sports</v>
      </c>
      <c r="J760" t="s">
        <v>1563</v>
      </c>
      <c r="K760" t="str">
        <f>VLOOKUP(Table1[[#This Row],[Store_ID]],Store_Dim!$A$3:$D$22,2,FALSE)</f>
        <v>Aguirre-Keller-South</v>
      </c>
      <c r="L760" t="s">
        <v>1750</v>
      </c>
      <c r="M760" t="s">
        <v>3957</v>
      </c>
      <c r="N760" s="3">
        <v>202.13</v>
      </c>
      <c r="O760" s="4">
        <v>0.13</v>
      </c>
      <c r="P760" t="s">
        <v>1777</v>
      </c>
      <c r="Q760" s="4">
        <v>175.85310000000001</v>
      </c>
    </row>
    <row r="761" spans="1:17" x14ac:dyDescent="0.3">
      <c r="A761" t="s">
        <v>2533</v>
      </c>
      <c r="B761" t="str">
        <f t="shared" si="11"/>
        <v>Q4</v>
      </c>
      <c r="C761" t="str">
        <f>TEXT(Table1[[#This Row],[Order_Date]],"mmmm")</f>
        <v>November</v>
      </c>
      <c r="D761">
        <f>YEAR(Table1[[#This Row],[Order_Date]])</f>
        <v>2023</v>
      </c>
      <c r="E761" s="7">
        <v>45243</v>
      </c>
      <c r="F761" s="2" t="str">
        <f>VLOOKUP(Table1[[#This Row],[Customer_ID]],Customer_Dim!$A$2:$H$501,2,FALSE)</f>
        <v>Daisy Johnson Dds</v>
      </c>
      <c r="G761" s="2" t="str">
        <f>_xlfn.XLOOKUP(Table1[[#This Row],[Customer_ID]],Customer_Dim!$A$2:$A$501,Customer_Dim!$E$2:$E$501)</f>
        <v>North Stephanie</v>
      </c>
      <c r="H761" t="s">
        <v>856</v>
      </c>
      <c r="I761" t="str">
        <f>VLOOKUP(Table1[[#This Row],[Product_ID]],Product_Dim!$A$2:$G$101,2,FALSE)</f>
        <v>Bluetooth Car Audio System-Electronics</v>
      </c>
      <c r="J761" t="s">
        <v>1671</v>
      </c>
      <c r="K761" t="str">
        <f>VLOOKUP(Table1[[#This Row],[Store_ID]],Store_Dim!$A$3:$D$22,2,FALSE)</f>
        <v>Gray Ltd-North</v>
      </c>
      <c r="L761" t="s">
        <v>1738</v>
      </c>
      <c r="M761" t="s">
        <v>3957</v>
      </c>
      <c r="N761" s="3">
        <v>370.66</v>
      </c>
      <c r="O761" s="4">
        <v>0.01</v>
      </c>
      <c r="P761" t="s">
        <v>1774</v>
      </c>
      <c r="Q761" s="4">
        <v>366.95339999999999</v>
      </c>
    </row>
    <row r="762" spans="1:17" x14ac:dyDescent="0.3">
      <c r="A762" t="s">
        <v>2534</v>
      </c>
      <c r="B762" t="str">
        <f t="shared" si="11"/>
        <v>Q1</v>
      </c>
      <c r="C762" t="str">
        <f>TEXT(Table1[[#This Row],[Order_Date]],"mmmm")</f>
        <v>February</v>
      </c>
      <c r="D762">
        <f>YEAR(Table1[[#This Row],[Order_Date]])</f>
        <v>2024</v>
      </c>
      <c r="E762" s="7">
        <v>45341</v>
      </c>
      <c r="F762" s="2" t="str">
        <f>VLOOKUP(Table1[[#This Row],[Customer_ID]],Customer_Dim!$A$2:$H$501,2,FALSE)</f>
        <v>Christine Vaughn</v>
      </c>
      <c r="G762" s="2" t="str">
        <f>_xlfn.XLOOKUP(Table1[[#This Row],[Customer_ID]],Customer_Dim!$A$2:$A$501,Customer_Dim!$E$2:$E$501)</f>
        <v>East Amandamouth</v>
      </c>
      <c r="H762" t="s">
        <v>32</v>
      </c>
      <c r="I762" t="str">
        <f>VLOOKUP(Table1[[#This Row],[Product_ID]],Product_Dim!$A$2:$G$101,2,FALSE)</f>
        <v>Tennis Ball 3-Pack-Sports</v>
      </c>
      <c r="J762" t="s">
        <v>1645</v>
      </c>
      <c r="K762" t="str">
        <f>VLOOKUP(Table1[[#This Row],[Store_ID]],Store_Dim!$A$3:$D$22,2,FALSE)</f>
        <v>Thomas, Bridges and Harris-North</v>
      </c>
      <c r="L762" t="s">
        <v>1751</v>
      </c>
      <c r="M762" t="s">
        <v>3959</v>
      </c>
      <c r="N762" s="3">
        <v>731.53</v>
      </c>
      <c r="O762" s="4">
        <v>0.12</v>
      </c>
      <c r="P762" t="s">
        <v>1772</v>
      </c>
      <c r="Q762" s="4">
        <v>2574.9856</v>
      </c>
    </row>
    <row r="763" spans="1:17" x14ac:dyDescent="0.3">
      <c r="A763" t="s">
        <v>2535</v>
      </c>
      <c r="B763" t="str">
        <f t="shared" si="11"/>
        <v>Q1</v>
      </c>
      <c r="C763" t="str">
        <f>TEXT(Table1[[#This Row],[Order_Date]],"mmmm")</f>
        <v>March</v>
      </c>
      <c r="D763">
        <f>YEAR(Table1[[#This Row],[Order_Date]])</f>
        <v>2024</v>
      </c>
      <c r="E763" s="7">
        <v>45371</v>
      </c>
      <c r="F763" s="2" t="str">
        <f>VLOOKUP(Table1[[#This Row],[Customer_ID]],Customer_Dim!$A$2:$H$501,2,FALSE)</f>
        <v>Jason Wheeler</v>
      </c>
      <c r="G763" s="2" t="str">
        <f>_xlfn.XLOOKUP(Table1[[#This Row],[Customer_ID]],Customer_Dim!$A$2:$A$501,Customer_Dim!$E$2:$E$501)</f>
        <v>Carolview</v>
      </c>
      <c r="H763" t="s">
        <v>545</v>
      </c>
      <c r="I763" t="str">
        <f>VLOOKUP(Table1[[#This Row],[Product_ID]],Product_Dim!$A$2:$G$101,2,FALSE)</f>
        <v>Essential Oil Diffuser-Home</v>
      </c>
      <c r="J763" t="s">
        <v>1679</v>
      </c>
      <c r="K763" t="str">
        <f>VLOOKUP(Table1[[#This Row],[Store_ID]],Store_Dim!$A$3:$D$22,2,FALSE)</f>
        <v>Martinez, Adkins and Johnson-North</v>
      </c>
      <c r="L763" t="s">
        <v>1728</v>
      </c>
      <c r="M763" t="s">
        <v>3958</v>
      </c>
      <c r="N763" s="3">
        <v>468.25</v>
      </c>
      <c r="O763" s="4">
        <v>7.0000000000000007E-2</v>
      </c>
      <c r="P763" t="s">
        <v>1774</v>
      </c>
      <c r="Q763" s="4">
        <v>1306.4175</v>
      </c>
    </row>
    <row r="764" spans="1:17" x14ac:dyDescent="0.3">
      <c r="A764" t="s">
        <v>2536</v>
      </c>
      <c r="B764" t="str">
        <f t="shared" si="11"/>
        <v>Q1</v>
      </c>
      <c r="C764" t="str">
        <f>TEXT(Table1[[#This Row],[Order_Date]],"mmmm")</f>
        <v>March</v>
      </c>
      <c r="D764">
        <f>YEAR(Table1[[#This Row],[Order_Date]])</f>
        <v>2024</v>
      </c>
      <c r="E764" s="7">
        <v>45360</v>
      </c>
      <c r="F764" s="2" t="str">
        <f>VLOOKUP(Table1[[#This Row],[Customer_ID]],Customer_Dim!$A$2:$H$501,2,FALSE)</f>
        <v>Eugene Nelson</v>
      </c>
      <c r="G764" s="2" t="str">
        <f>_xlfn.XLOOKUP(Table1[[#This Row],[Customer_ID]],Customer_Dim!$A$2:$A$501,Customer_Dim!$E$2:$E$501)</f>
        <v>Phillipsmouth</v>
      </c>
      <c r="H764" t="s">
        <v>14</v>
      </c>
      <c r="I764" t="str">
        <f>VLOOKUP(Table1[[#This Row],[Product_ID]],Product_Dim!$A$2:$G$101,2,FALSE)</f>
        <v>Smart LED Light Strip-Electronics</v>
      </c>
      <c r="J764" t="s">
        <v>1657</v>
      </c>
      <c r="K764" t="str">
        <f>VLOOKUP(Table1[[#This Row],[Store_ID]],Store_Dim!$A$3:$D$22,2,FALSE)</f>
        <v>Rivera-Warner-East</v>
      </c>
      <c r="L764" t="s">
        <v>1725</v>
      </c>
      <c r="M764" t="s">
        <v>3957</v>
      </c>
      <c r="N764" s="3">
        <v>928.72</v>
      </c>
      <c r="O764" s="4">
        <v>0.1</v>
      </c>
      <c r="P764" t="s">
        <v>1777</v>
      </c>
      <c r="Q764" s="4">
        <v>835.84800000000007</v>
      </c>
    </row>
    <row r="765" spans="1:17" x14ac:dyDescent="0.3">
      <c r="A765" t="s">
        <v>2537</v>
      </c>
      <c r="B765" t="str">
        <f t="shared" si="11"/>
        <v>Q3</v>
      </c>
      <c r="C765" t="str">
        <f>TEXT(Table1[[#This Row],[Order_Date]],"mmmm")</f>
        <v>July</v>
      </c>
      <c r="D765">
        <f>YEAR(Table1[[#This Row],[Order_Date]])</f>
        <v>2024</v>
      </c>
      <c r="E765" s="7">
        <v>45499</v>
      </c>
      <c r="F765" s="2" t="str">
        <f>VLOOKUP(Table1[[#This Row],[Customer_ID]],Customer_Dim!$A$2:$H$501,2,FALSE)</f>
        <v>Colleen Maynard</v>
      </c>
      <c r="G765" s="2" t="str">
        <f>_xlfn.XLOOKUP(Table1[[#This Row],[Customer_ID]],Customer_Dim!$A$2:$A$501,Customer_Dim!$E$2:$E$501)</f>
        <v>Singletonmouth</v>
      </c>
      <c r="H765" t="s">
        <v>355</v>
      </c>
      <c r="I765" t="str">
        <f>VLOOKUP(Table1[[#This Row],[Product_ID]],Product_Dim!$A$2:$G$101,2,FALSE)</f>
        <v>Women's Yoga Pants-Clothing</v>
      </c>
      <c r="J765" t="s">
        <v>1531</v>
      </c>
      <c r="K765" t="str">
        <f>VLOOKUP(Table1[[#This Row],[Store_ID]],Store_Dim!$A$3:$D$22,2,FALSE)</f>
        <v>Guerrero-Schmitt-East</v>
      </c>
      <c r="L765" t="s">
        <v>1761</v>
      </c>
      <c r="M765" t="s">
        <v>3958</v>
      </c>
      <c r="N765" s="3">
        <v>217.22</v>
      </c>
      <c r="O765" s="4">
        <v>0.06</v>
      </c>
      <c r="P765" t="s">
        <v>1774</v>
      </c>
      <c r="Q765" s="4">
        <v>612.56039999999996</v>
      </c>
    </row>
    <row r="766" spans="1:17" x14ac:dyDescent="0.3">
      <c r="A766" t="s">
        <v>2538</v>
      </c>
      <c r="B766" t="str">
        <f t="shared" si="11"/>
        <v>Q1</v>
      </c>
      <c r="C766" t="str">
        <f>TEXT(Table1[[#This Row],[Order_Date]],"mmmm")</f>
        <v>March</v>
      </c>
      <c r="D766">
        <f>YEAR(Table1[[#This Row],[Order_Date]])</f>
        <v>2025</v>
      </c>
      <c r="E766" s="7">
        <v>45745</v>
      </c>
      <c r="F766" s="2" t="str">
        <f>VLOOKUP(Table1[[#This Row],[Customer_ID]],Customer_Dim!$A$2:$H$501,2,FALSE)</f>
        <v>Eric Wolfe</v>
      </c>
      <c r="G766" s="2" t="str">
        <f>_xlfn.XLOOKUP(Table1[[#This Row],[Customer_ID]],Customer_Dim!$A$2:$A$501,Customer_Dim!$E$2:$E$501)</f>
        <v>Garciaview</v>
      </c>
      <c r="H766" t="s">
        <v>1246</v>
      </c>
      <c r="I766" t="str">
        <f>VLOOKUP(Table1[[#This Row],[Product_ID]],Product_Dim!$A$2:$G$101,2,FALSE)</f>
        <v>Foldable Camping Chair-Sports</v>
      </c>
      <c r="J766" t="s">
        <v>1571</v>
      </c>
      <c r="K766" t="str">
        <f>VLOOKUP(Table1[[#This Row],[Store_ID]],Store_Dim!$A$3:$D$22,2,FALSE)</f>
        <v>Johnson-Wright-North</v>
      </c>
      <c r="L766" t="s">
        <v>1733</v>
      </c>
      <c r="M766" t="s">
        <v>3957</v>
      </c>
      <c r="N766" s="3">
        <v>387.99</v>
      </c>
      <c r="O766" s="4">
        <v>0.3</v>
      </c>
      <c r="P766" t="s">
        <v>1772</v>
      </c>
      <c r="Q766" s="4">
        <v>271.59300000000002</v>
      </c>
    </row>
    <row r="767" spans="1:17" x14ac:dyDescent="0.3">
      <c r="A767" t="s">
        <v>2539</v>
      </c>
      <c r="B767" t="str">
        <f t="shared" si="11"/>
        <v>Q1</v>
      </c>
      <c r="C767" t="str">
        <f>TEXT(Table1[[#This Row],[Order_Date]],"mmmm")</f>
        <v>March</v>
      </c>
      <c r="D767">
        <f>YEAR(Table1[[#This Row],[Order_Date]])</f>
        <v>2025</v>
      </c>
      <c r="E767" s="7">
        <v>45718</v>
      </c>
      <c r="F767" s="2" t="str">
        <f>VLOOKUP(Table1[[#This Row],[Customer_ID]],Customer_Dim!$A$2:$H$501,2,FALSE)</f>
        <v>Elizabeth Foster</v>
      </c>
      <c r="G767" s="2" t="str">
        <f>_xlfn.XLOOKUP(Table1[[#This Row],[Customer_ID]],Customer_Dim!$A$2:$A$501,Customer_Dim!$E$2:$E$501)</f>
        <v>Anthonymouth</v>
      </c>
      <c r="H767" t="s">
        <v>1450</v>
      </c>
      <c r="I767" t="str">
        <f>VLOOKUP(Table1[[#This Row],[Product_ID]],Product_Dim!$A$2:$G$101,2,FALSE)</f>
        <v>Women's Denim Jeans-Clothing</v>
      </c>
      <c r="J767" t="s">
        <v>1559</v>
      </c>
      <c r="K767" t="str">
        <f>VLOOKUP(Table1[[#This Row],[Store_ID]],Store_Dim!$A$3:$D$22,2,FALSE)</f>
        <v>Benson-Elliott-East</v>
      </c>
      <c r="L767" t="s">
        <v>1740</v>
      </c>
      <c r="M767" t="s">
        <v>3959</v>
      </c>
      <c r="N767" s="3">
        <v>186.24</v>
      </c>
      <c r="O767" s="4">
        <v>0.23</v>
      </c>
      <c r="P767" t="s">
        <v>1772</v>
      </c>
      <c r="Q767" s="4">
        <v>573.61920000000009</v>
      </c>
    </row>
    <row r="768" spans="1:17" x14ac:dyDescent="0.3">
      <c r="A768" t="s">
        <v>2540</v>
      </c>
      <c r="B768" t="str">
        <f t="shared" si="11"/>
        <v>Q2</v>
      </c>
      <c r="C768" t="str">
        <f>TEXT(Table1[[#This Row],[Order_Date]],"mmmm")</f>
        <v>June</v>
      </c>
      <c r="D768">
        <f>YEAR(Table1[[#This Row],[Order_Date]])</f>
        <v>2024</v>
      </c>
      <c r="E768" s="7">
        <v>45454</v>
      </c>
      <c r="F768" s="2" t="str">
        <f>VLOOKUP(Table1[[#This Row],[Customer_ID]],Customer_Dim!$A$2:$H$501,2,FALSE)</f>
        <v>Jared Moran</v>
      </c>
      <c r="G768" s="2" t="str">
        <f>_xlfn.XLOOKUP(Table1[[#This Row],[Customer_ID]],Customer_Dim!$A$2:$A$501,Customer_Dim!$E$2:$E$501)</f>
        <v>South David</v>
      </c>
      <c r="H768" t="s">
        <v>928</v>
      </c>
      <c r="I768" t="str">
        <f>VLOOKUP(Table1[[#This Row],[Product_ID]],Product_Dim!$A$2:$G$101,2,FALSE)</f>
        <v>Noise-Canceling Headphones-Electronics</v>
      </c>
      <c r="J768" t="s">
        <v>1603</v>
      </c>
      <c r="K768" t="str">
        <f>VLOOKUP(Table1[[#This Row],[Store_ID]],Store_Dim!$A$3:$D$22,2,FALSE)</f>
        <v>Bean, Jones and Park-West</v>
      </c>
      <c r="L768" t="s">
        <v>1744</v>
      </c>
      <c r="M768" t="s">
        <v>3959</v>
      </c>
      <c r="N768" s="3">
        <v>609.05999999999995</v>
      </c>
      <c r="O768" s="4">
        <v>0.22</v>
      </c>
      <c r="P768" t="s">
        <v>1777</v>
      </c>
      <c r="Q768" s="4">
        <v>1900.2672</v>
      </c>
    </row>
    <row r="769" spans="1:17" x14ac:dyDescent="0.3">
      <c r="A769" t="s">
        <v>2541</v>
      </c>
      <c r="B769" t="str">
        <f t="shared" si="11"/>
        <v>Q2</v>
      </c>
      <c r="C769" t="str">
        <f>TEXT(Table1[[#This Row],[Order_Date]],"mmmm")</f>
        <v>May</v>
      </c>
      <c r="D769">
        <f>YEAR(Table1[[#This Row],[Order_Date]])</f>
        <v>2024</v>
      </c>
      <c r="E769" s="7">
        <v>45434</v>
      </c>
      <c r="F769" s="2" t="str">
        <f>VLOOKUP(Table1[[#This Row],[Customer_ID]],Customer_Dim!$A$2:$H$501,2,FALSE)</f>
        <v>Melinda Rivera</v>
      </c>
      <c r="G769" s="2" t="str">
        <f>_xlfn.XLOOKUP(Table1[[#This Row],[Customer_ID]],Customer_Dim!$A$2:$A$501,Customer_Dim!$E$2:$E$501)</f>
        <v>East Davidmouth</v>
      </c>
      <c r="H769" t="s">
        <v>1339</v>
      </c>
      <c r="I769" t="str">
        <f>VLOOKUP(Table1[[#This Row],[Product_ID]],Product_Dim!$A$2:$G$101,2,FALSE)</f>
        <v>Modern Wall Clock-Home</v>
      </c>
      <c r="J769" t="s">
        <v>1589</v>
      </c>
      <c r="K769" t="str">
        <f>VLOOKUP(Table1[[#This Row],[Store_ID]],Store_Dim!$A$3:$D$22,2,FALSE)</f>
        <v>Aguirre-Keller-South</v>
      </c>
      <c r="L769" t="s">
        <v>1750</v>
      </c>
      <c r="M769" t="s">
        <v>3957</v>
      </c>
      <c r="N769" s="3">
        <v>827.91</v>
      </c>
      <c r="O769" s="4">
        <v>0.21</v>
      </c>
      <c r="P769" t="s">
        <v>1774</v>
      </c>
      <c r="Q769" s="4">
        <v>654.0489</v>
      </c>
    </row>
    <row r="770" spans="1:17" x14ac:dyDescent="0.3">
      <c r="A770" t="s">
        <v>2542</v>
      </c>
      <c r="B770" t="str">
        <f t="shared" ref="B770:B833" si="12">"Q" &amp;ROUNDUP(MONTH(E770)/3,0)</f>
        <v>Q3</v>
      </c>
      <c r="C770" t="str">
        <f>TEXT(Table1[[#This Row],[Order_Date]],"mmmm")</f>
        <v>July</v>
      </c>
      <c r="D770">
        <f>YEAR(Table1[[#This Row],[Order_Date]])</f>
        <v>2024</v>
      </c>
      <c r="E770" s="7">
        <v>45486</v>
      </c>
      <c r="F770" s="2" t="str">
        <f>VLOOKUP(Table1[[#This Row],[Customer_ID]],Customer_Dim!$A$2:$H$501,2,FALSE)</f>
        <v>John Bradford</v>
      </c>
      <c r="G770" s="2" t="str">
        <f>_xlfn.XLOOKUP(Table1[[#This Row],[Customer_ID]],Customer_Dim!$A$2:$A$501,Customer_Dim!$E$2:$E$501)</f>
        <v>Anabury</v>
      </c>
      <c r="H770" t="s">
        <v>576</v>
      </c>
      <c r="I770" t="str">
        <f>VLOOKUP(Table1[[#This Row],[Product_ID]],Product_Dim!$A$2:$G$101,2,FALSE)</f>
        <v>Hydrating Face Cleanser-Beauty</v>
      </c>
      <c r="J770" t="s">
        <v>1689</v>
      </c>
      <c r="K770" t="str">
        <f>VLOOKUP(Table1[[#This Row],[Store_ID]],Store_Dim!$A$3:$D$22,2,FALSE)</f>
        <v>Rivera-Warner-East</v>
      </c>
      <c r="L770" t="s">
        <v>1725</v>
      </c>
      <c r="M770" t="s">
        <v>3957</v>
      </c>
      <c r="N770" s="3">
        <v>303.79000000000002</v>
      </c>
      <c r="O770" s="4">
        <v>0.24</v>
      </c>
      <c r="P770" t="s">
        <v>1774</v>
      </c>
      <c r="Q770" s="4">
        <v>230.88040000000001</v>
      </c>
    </row>
    <row r="771" spans="1:17" x14ac:dyDescent="0.3">
      <c r="A771" t="s">
        <v>2543</v>
      </c>
      <c r="B771" t="str">
        <f t="shared" si="12"/>
        <v>Q3</v>
      </c>
      <c r="C771" t="str">
        <f>TEXT(Table1[[#This Row],[Order_Date]],"mmmm")</f>
        <v>September</v>
      </c>
      <c r="D771">
        <f>YEAR(Table1[[#This Row],[Order_Date]])</f>
        <v>2025</v>
      </c>
      <c r="E771" s="7">
        <v>45902</v>
      </c>
      <c r="F771" s="2" t="str">
        <f>VLOOKUP(Table1[[#This Row],[Customer_ID]],Customer_Dim!$A$2:$H$501,2,FALSE)</f>
        <v>Christopher Lester</v>
      </c>
      <c r="G771" s="2" t="str">
        <f>_xlfn.XLOOKUP(Table1[[#This Row],[Customer_ID]],Customer_Dim!$A$2:$A$501,Customer_Dim!$E$2:$E$501)</f>
        <v>South Jenniferville</v>
      </c>
      <c r="H771" t="s">
        <v>364</v>
      </c>
      <c r="I771" t="str">
        <f>VLOOKUP(Table1[[#This Row],[Product_ID]],Product_Dim!$A$2:$G$101,2,FALSE)</f>
        <v>Men's Casual Sneakers-Clothing</v>
      </c>
      <c r="J771" t="s">
        <v>1597</v>
      </c>
      <c r="K771" t="str">
        <f>VLOOKUP(Table1[[#This Row],[Store_ID]],Store_Dim!$A$3:$D$22,2,FALSE)</f>
        <v>Benson-Elliott-East</v>
      </c>
      <c r="L771" t="s">
        <v>1740</v>
      </c>
      <c r="M771" t="s">
        <v>3960</v>
      </c>
      <c r="N771" s="3">
        <v>365.91</v>
      </c>
      <c r="O771" s="4">
        <v>0.14000000000000001</v>
      </c>
      <c r="P771" t="s">
        <v>1777</v>
      </c>
      <c r="Q771" s="4">
        <v>629.36520000000007</v>
      </c>
    </row>
    <row r="772" spans="1:17" x14ac:dyDescent="0.3">
      <c r="A772" t="s">
        <v>2544</v>
      </c>
      <c r="B772" t="str">
        <f t="shared" si="12"/>
        <v>Q2</v>
      </c>
      <c r="C772" t="str">
        <f>TEXT(Table1[[#This Row],[Order_Date]],"mmmm")</f>
        <v>April</v>
      </c>
      <c r="D772">
        <f>YEAR(Table1[[#This Row],[Order_Date]])</f>
        <v>2025</v>
      </c>
      <c r="E772" s="7">
        <v>45762</v>
      </c>
      <c r="F772" s="2" t="str">
        <f>VLOOKUP(Table1[[#This Row],[Customer_ID]],Customer_Dim!$A$2:$H$501,2,FALSE)</f>
        <v>Roy Cole</v>
      </c>
      <c r="G772" s="2" t="str">
        <f>_xlfn.XLOOKUP(Table1[[#This Row],[Customer_ID]],Customer_Dim!$A$2:$A$501,Customer_Dim!$E$2:$E$501)</f>
        <v>North Cynthiatown</v>
      </c>
      <c r="H772" t="s">
        <v>252</v>
      </c>
      <c r="I772" t="str">
        <f>VLOOKUP(Table1[[#This Row],[Product_ID]],Product_Dim!$A$2:$G$101,2,FALSE)</f>
        <v>Women's Scarf Set-Clothing</v>
      </c>
      <c r="J772" t="s">
        <v>1573</v>
      </c>
      <c r="K772" t="str">
        <f>VLOOKUP(Table1[[#This Row],[Store_ID]],Store_Dim!$A$3:$D$22,2,FALSE)</f>
        <v>Holloway Ltd-North</v>
      </c>
      <c r="L772" t="s">
        <v>1759</v>
      </c>
      <c r="M772" t="s">
        <v>3958</v>
      </c>
      <c r="N772" s="3">
        <v>852.72</v>
      </c>
      <c r="O772" s="4">
        <v>0.16</v>
      </c>
      <c r="P772" t="s">
        <v>1772</v>
      </c>
      <c r="Q772" s="4">
        <v>2148.8544000000002</v>
      </c>
    </row>
    <row r="773" spans="1:17" x14ac:dyDescent="0.3">
      <c r="A773" t="s">
        <v>2545</v>
      </c>
      <c r="B773" t="str">
        <f t="shared" si="12"/>
        <v>Q2</v>
      </c>
      <c r="C773" t="str">
        <f>TEXT(Table1[[#This Row],[Order_Date]],"mmmm")</f>
        <v>April</v>
      </c>
      <c r="D773">
        <f>YEAR(Table1[[#This Row],[Order_Date]])</f>
        <v>2025</v>
      </c>
      <c r="E773" s="7">
        <v>45752</v>
      </c>
      <c r="F773" s="2" t="str">
        <f>VLOOKUP(Table1[[#This Row],[Customer_ID]],Customer_Dim!$A$2:$H$501,2,FALSE)</f>
        <v>Douglas Rhodes</v>
      </c>
      <c r="G773" s="2" t="str">
        <f>_xlfn.XLOOKUP(Table1[[#This Row],[Customer_ID]],Customer_Dim!$A$2:$A$501,Customer_Dim!$E$2:$E$501)</f>
        <v>Mikehaven</v>
      </c>
      <c r="H773" t="s">
        <v>785</v>
      </c>
      <c r="I773" t="str">
        <f>VLOOKUP(Table1[[#This Row],[Product_ID]],Product_Dim!$A$2:$G$101,2,FALSE)</f>
        <v>Ceramic Kitchen Bowl Set-Home</v>
      </c>
      <c r="J773" t="s">
        <v>1543</v>
      </c>
      <c r="K773" t="str">
        <f>VLOOKUP(Table1[[#This Row],[Store_ID]],Store_Dim!$A$3:$D$22,2,FALSE)</f>
        <v>Alexander Group-South</v>
      </c>
      <c r="L773" t="s">
        <v>1735</v>
      </c>
      <c r="M773" t="s">
        <v>3957</v>
      </c>
      <c r="N773" s="3">
        <v>768.25</v>
      </c>
      <c r="O773" s="4">
        <v>0.18</v>
      </c>
      <c r="P773" t="s">
        <v>1772</v>
      </c>
      <c r="Q773" s="4">
        <v>629.96500000000003</v>
      </c>
    </row>
    <row r="774" spans="1:17" x14ac:dyDescent="0.3">
      <c r="A774" t="s">
        <v>2546</v>
      </c>
      <c r="B774" t="str">
        <f t="shared" si="12"/>
        <v>Q4</v>
      </c>
      <c r="C774" t="str">
        <f>TEXT(Table1[[#This Row],[Order_Date]],"mmmm")</f>
        <v>November</v>
      </c>
      <c r="D774">
        <f>YEAR(Table1[[#This Row],[Order_Date]])</f>
        <v>2023</v>
      </c>
      <c r="E774" s="7">
        <v>45254</v>
      </c>
      <c r="F774" s="2" t="str">
        <f>VLOOKUP(Table1[[#This Row],[Customer_ID]],Customer_Dim!$A$2:$H$501,2,FALSE)</f>
        <v>Charles Miller</v>
      </c>
      <c r="G774" s="2" t="str">
        <f>_xlfn.XLOOKUP(Table1[[#This Row],[Customer_ID]],Customer_Dim!$A$2:$A$501,Customer_Dim!$E$2:$E$501)</f>
        <v>Lake Allisonborough</v>
      </c>
      <c r="H774" t="s">
        <v>1086</v>
      </c>
      <c r="I774" t="str">
        <f>VLOOKUP(Table1[[#This Row],[Product_ID]],Product_Dim!$A$2:$G$101,2,FALSE)</f>
        <v>Microwave Oven-Home</v>
      </c>
      <c r="J774" t="s">
        <v>1707</v>
      </c>
      <c r="K774" t="str">
        <f>VLOOKUP(Table1[[#This Row],[Store_ID]],Store_Dim!$A$3:$D$22,2,FALSE)</f>
        <v>Mann-Austin-East</v>
      </c>
      <c r="L774" t="s">
        <v>1763</v>
      </c>
      <c r="M774" t="s">
        <v>3960</v>
      </c>
      <c r="N774" s="3">
        <v>318.62</v>
      </c>
      <c r="O774" s="4">
        <v>0.02</v>
      </c>
      <c r="P774" t="s">
        <v>1777</v>
      </c>
      <c r="Q774" s="4">
        <v>624.49519999999995</v>
      </c>
    </row>
    <row r="775" spans="1:17" x14ac:dyDescent="0.3">
      <c r="A775" t="s">
        <v>2547</v>
      </c>
      <c r="B775" t="str">
        <f t="shared" si="12"/>
        <v>Q1</v>
      </c>
      <c r="C775" t="str">
        <f>TEXT(Table1[[#This Row],[Order_Date]],"mmmm")</f>
        <v>January</v>
      </c>
      <c r="D775">
        <f>YEAR(Table1[[#This Row],[Order_Date]])</f>
        <v>2025</v>
      </c>
      <c r="E775" s="7">
        <v>45683</v>
      </c>
      <c r="F775" s="2" t="str">
        <f>VLOOKUP(Table1[[#This Row],[Customer_ID]],Customer_Dim!$A$2:$H$501,2,FALSE)</f>
        <v>Timothy Weaver</v>
      </c>
      <c r="G775" s="2" t="str">
        <f>_xlfn.XLOOKUP(Table1[[#This Row],[Customer_ID]],Customer_Dim!$A$2:$A$501,Customer_Dim!$E$2:$E$501)</f>
        <v>New Amy</v>
      </c>
      <c r="H775" t="s">
        <v>185</v>
      </c>
      <c r="I775" t="str">
        <f>VLOOKUP(Table1[[#This Row],[Product_ID]],Product_Dim!$A$2:$G$101,2,FALSE)</f>
        <v>Wireless Mouse-Electronics</v>
      </c>
      <c r="J775" t="s">
        <v>1675</v>
      </c>
      <c r="K775" t="str">
        <f>VLOOKUP(Table1[[#This Row],[Store_ID]],Store_Dim!$A$3:$D$22,2,FALSE)</f>
        <v>Black-Horn-South</v>
      </c>
      <c r="L775" t="s">
        <v>1730</v>
      </c>
      <c r="M775" t="s">
        <v>3959</v>
      </c>
      <c r="N775" s="3">
        <v>402.11</v>
      </c>
      <c r="O775" s="4">
        <v>0.14000000000000001</v>
      </c>
      <c r="P775" t="s">
        <v>1774</v>
      </c>
      <c r="Q775" s="4">
        <v>1383.2583999999999</v>
      </c>
    </row>
    <row r="776" spans="1:17" x14ac:dyDescent="0.3">
      <c r="A776" t="s">
        <v>2548</v>
      </c>
      <c r="B776" t="str">
        <f t="shared" si="12"/>
        <v>Q2</v>
      </c>
      <c r="C776" t="str">
        <f>TEXT(Table1[[#This Row],[Order_Date]],"mmmm")</f>
        <v>May</v>
      </c>
      <c r="D776">
        <f>YEAR(Table1[[#This Row],[Order_Date]])</f>
        <v>2025</v>
      </c>
      <c r="E776" s="7">
        <v>45804</v>
      </c>
      <c r="F776" s="2" t="str">
        <f>VLOOKUP(Table1[[#This Row],[Customer_ID]],Customer_Dim!$A$2:$H$501,2,FALSE)</f>
        <v>Isabel Foster</v>
      </c>
      <c r="G776" s="2" t="str">
        <f>_xlfn.XLOOKUP(Table1[[#This Row],[Customer_ID]],Customer_Dim!$A$2:$A$501,Customer_Dim!$E$2:$E$501)</f>
        <v>Port Joshuaville</v>
      </c>
      <c r="H776" t="s">
        <v>1255</v>
      </c>
      <c r="I776" t="str">
        <f>VLOOKUP(Table1[[#This Row],[Product_ID]],Product_Dim!$A$2:$G$101,2,FALSE)</f>
        <v>Wooden Bookshelf-Home</v>
      </c>
      <c r="J776" t="s">
        <v>1691</v>
      </c>
      <c r="K776" t="str">
        <f>VLOOKUP(Table1[[#This Row],[Store_ID]],Store_Dim!$A$3:$D$22,2,FALSE)</f>
        <v>Holloway Ltd-North</v>
      </c>
      <c r="L776" t="s">
        <v>1759</v>
      </c>
      <c r="M776" t="s">
        <v>3958</v>
      </c>
      <c r="N776" s="3">
        <v>846.31</v>
      </c>
      <c r="O776" s="4">
        <v>0.18</v>
      </c>
      <c r="P776" t="s">
        <v>1777</v>
      </c>
      <c r="Q776" s="4">
        <v>2081.9225999999999</v>
      </c>
    </row>
    <row r="777" spans="1:17" x14ac:dyDescent="0.3">
      <c r="A777" t="s">
        <v>2549</v>
      </c>
      <c r="B777" t="str">
        <f t="shared" si="12"/>
        <v>Q2</v>
      </c>
      <c r="C777" t="str">
        <f>TEXT(Table1[[#This Row],[Order_Date]],"mmmm")</f>
        <v>June</v>
      </c>
      <c r="D777">
        <f>YEAR(Table1[[#This Row],[Order_Date]])</f>
        <v>2025</v>
      </c>
      <c r="E777" s="7">
        <v>45821</v>
      </c>
      <c r="F777" s="2" t="str">
        <f>VLOOKUP(Table1[[#This Row],[Customer_ID]],Customer_Dim!$A$2:$H$501,2,FALSE)</f>
        <v>Daniel Contreras</v>
      </c>
      <c r="G777" s="2" t="str">
        <f>_xlfn.XLOOKUP(Table1[[#This Row],[Customer_ID]],Customer_Dim!$A$2:$A$501,Customer_Dim!$E$2:$E$501)</f>
        <v>Robertview</v>
      </c>
      <c r="H777" t="s">
        <v>554</v>
      </c>
      <c r="I777" t="str">
        <f>VLOOKUP(Table1[[#This Row],[Product_ID]],Product_Dim!$A$2:$G$101,2,FALSE)</f>
        <v>Vitamin E Body Lotion-Beauty</v>
      </c>
      <c r="J777" t="s">
        <v>1711</v>
      </c>
      <c r="K777" t="str">
        <f>VLOOKUP(Table1[[#This Row],[Store_ID]],Store_Dim!$A$3:$D$22,2,FALSE)</f>
        <v>Mcdonald Inc-South</v>
      </c>
      <c r="L777" t="s">
        <v>1754</v>
      </c>
      <c r="M777" t="s">
        <v>3957</v>
      </c>
      <c r="N777" s="3">
        <v>269.94</v>
      </c>
      <c r="O777" s="4">
        <v>7.0000000000000007E-2</v>
      </c>
      <c r="P777" t="s">
        <v>1777</v>
      </c>
      <c r="Q777" s="4">
        <v>251.04419999999999</v>
      </c>
    </row>
    <row r="778" spans="1:17" x14ac:dyDescent="0.3">
      <c r="A778" t="s">
        <v>2550</v>
      </c>
      <c r="B778" t="str">
        <f t="shared" si="12"/>
        <v>Q2</v>
      </c>
      <c r="C778" t="str">
        <f>TEXT(Table1[[#This Row],[Order_Date]],"mmmm")</f>
        <v>June</v>
      </c>
      <c r="D778">
        <f>YEAR(Table1[[#This Row],[Order_Date]])</f>
        <v>2024</v>
      </c>
      <c r="E778" s="7">
        <v>45472</v>
      </c>
      <c r="F778" s="2" t="str">
        <f>VLOOKUP(Table1[[#This Row],[Customer_ID]],Customer_Dim!$A$2:$H$501,2,FALSE)</f>
        <v>Mr. William Horton</v>
      </c>
      <c r="G778" s="2" t="str">
        <f>_xlfn.XLOOKUP(Table1[[#This Row],[Customer_ID]],Customer_Dim!$A$2:$A$501,Customer_Dim!$E$2:$E$501)</f>
        <v>Dawsonchester</v>
      </c>
      <c r="H778" t="s">
        <v>767</v>
      </c>
      <c r="I778" t="str">
        <f>VLOOKUP(Table1[[#This Row],[Product_ID]],Product_Dim!$A$2:$G$101,2,FALSE)</f>
        <v>Outdoor Sports Water Bottle-Sports</v>
      </c>
      <c r="J778" t="s">
        <v>1563</v>
      </c>
      <c r="K778" t="str">
        <f>VLOOKUP(Table1[[#This Row],[Store_ID]],Store_Dim!$A$3:$D$22,2,FALSE)</f>
        <v>Alexander Group-South</v>
      </c>
      <c r="L778" t="s">
        <v>1735</v>
      </c>
      <c r="M778" t="s">
        <v>3958</v>
      </c>
      <c r="N778" s="3">
        <v>909.25</v>
      </c>
      <c r="O778" s="4">
        <v>0.28999999999999998</v>
      </c>
      <c r="P778" t="s">
        <v>1777</v>
      </c>
      <c r="Q778" s="4">
        <v>1936.7025000000001</v>
      </c>
    </row>
    <row r="779" spans="1:17" x14ac:dyDescent="0.3">
      <c r="A779" t="s">
        <v>2551</v>
      </c>
      <c r="B779" t="str">
        <f t="shared" si="12"/>
        <v>Q1</v>
      </c>
      <c r="C779" t="str">
        <f>TEXT(Table1[[#This Row],[Order_Date]],"mmmm")</f>
        <v>February</v>
      </c>
      <c r="D779">
        <f>YEAR(Table1[[#This Row],[Order_Date]])</f>
        <v>2024</v>
      </c>
      <c r="E779" s="7">
        <v>45331</v>
      </c>
      <c r="F779" s="2" t="str">
        <f>VLOOKUP(Table1[[#This Row],[Customer_ID]],Customer_Dim!$A$2:$H$501,2,FALSE)</f>
        <v>Elizabeth Smith</v>
      </c>
      <c r="G779" s="2" t="str">
        <f>_xlfn.XLOOKUP(Table1[[#This Row],[Customer_ID]],Customer_Dim!$A$2:$A$501,Customer_Dim!$E$2:$E$501)</f>
        <v>Murphytown</v>
      </c>
      <c r="H779" t="s">
        <v>1123</v>
      </c>
      <c r="I779" t="str">
        <f>VLOOKUP(Table1[[#This Row],[Product_ID]],Product_Dim!$A$2:$G$101,2,FALSE)</f>
        <v>Women's High Heels-Clothing</v>
      </c>
      <c r="J779" t="s">
        <v>1705</v>
      </c>
      <c r="K779" t="str">
        <f>VLOOKUP(Table1[[#This Row],[Store_ID]],Store_Dim!$A$3:$D$22,2,FALSE)</f>
        <v>Thomas, Bridges and Harris-North</v>
      </c>
      <c r="L779" t="s">
        <v>1751</v>
      </c>
      <c r="M779" t="s">
        <v>3960</v>
      </c>
      <c r="N779" s="3">
        <v>229.81</v>
      </c>
      <c r="O779" s="4">
        <v>0.21</v>
      </c>
      <c r="P779" t="s">
        <v>1777</v>
      </c>
      <c r="Q779" s="4">
        <v>363.09980000000002</v>
      </c>
    </row>
    <row r="780" spans="1:17" x14ac:dyDescent="0.3">
      <c r="A780" t="s">
        <v>2552</v>
      </c>
      <c r="B780" t="str">
        <f t="shared" si="12"/>
        <v>Q2</v>
      </c>
      <c r="C780" t="str">
        <f>TEXT(Table1[[#This Row],[Order_Date]],"mmmm")</f>
        <v>June</v>
      </c>
      <c r="D780">
        <f>YEAR(Table1[[#This Row],[Order_Date]])</f>
        <v>2024</v>
      </c>
      <c r="E780" s="7">
        <v>45451</v>
      </c>
      <c r="F780" s="2" t="str">
        <f>VLOOKUP(Table1[[#This Row],[Customer_ID]],Customer_Dim!$A$2:$H$501,2,FALSE)</f>
        <v>Christopher Carter</v>
      </c>
      <c r="G780" s="2" t="str">
        <f>_xlfn.XLOOKUP(Table1[[#This Row],[Customer_ID]],Customer_Dim!$A$2:$A$501,Customer_Dim!$E$2:$E$501)</f>
        <v>Brendastad</v>
      </c>
      <c r="H780" t="s">
        <v>146</v>
      </c>
      <c r="I780" t="str">
        <f>VLOOKUP(Table1[[#This Row],[Product_ID]],Product_Dim!$A$2:$G$101,2,FALSE)</f>
        <v>Essential Oil Diffuser-Home</v>
      </c>
      <c r="J780" t="s">
        <v>1679</v>
      </c>
      <c r="K780" t="str">
        <f>VLOOKUP(Table1[[#This Row],[Store_ID]],Store_Dim!$A$3:$D$22,2,FALSE)</f>
        <v>Shelton PLC-North</v>
      </c>
      <c r="L780" t="s">
        <v>1755</v>
      </c>
      <c r="M780" t="s">
        <v>3958</v>
      </c>
      <c r="N780" s="3">
        <v>442.36</v>
      </c>
      <c r="O780" s="4">
        <v>0.06</v>
      </c>
      <c r="P780" t="s">
        <v>1774</v>
      </c>
      <c r="Q780" s="4">
        <v>1247.4552000000001</v>
      </c>
    </row>
    <row r="781" spans="1:17" x14ac:dyDescent="0.3">
      <c r="A781" t="s">
        <v>2553</v>
      </c>
      <c r="B781" t="str">
        <f t="shared" si="12"/>
        <v>Q2</v>
      </c>
      <c r="C781" t="str">
        <f>TEXT(Table1[[#This Row],[Order_Date]],"mmmm")</f>
        <v>April</v>
      </c>
      <c r="D781">
        <f>YEAR(Table1[[#This Row],[Order_Date]])</f>
        <v>2024</v>
      </c>
      <c r="E781" s="7">
        <v>45386</v>
      </c>
      <c r="F781" s="2" t="str">
        <f>VLOOKUP(Table1[[#This Row],[Customer_ID]],Customer_Dim!$A$2:$H$501,2,FALSE)</f>
        <v>Maria Hill</v>
      </c>
      <c r="G781" s="2" t="str">
        <f>_xlfn.XLOOKUP(Table1[[#This Row],[Customer_ID]],Customer_Dim!$A$2:$A$501,Customer_Dim!$E$2:$E$501)</f>
        <v>Zamoraborough</v>
      </c>
      <c r="H781" t="s">
        <v>761</v>
      </c>
      <c r="I781" t="str">
        <f>VLOOKUP(Table1[[#This Row],[Product_ID]],Product_Dim!$A$2:$G$101,2,FALSE)</f>
        <v>Kitchen Cutting Board-Home</v>
      </c>
      <c r="J781" t="s">
        <v>1695</v>
      </c>
      <c r="K781" t="str">
        <f>VLOOKUP(Table1[[#This Row],[Store_ID]],Store_Dim!$A$3:$D$22,2,FALSE)</f>
        <v>Johnson-Wright-North</v>
      </c>
      <c r="L781" t="s">
        <v>1733</v>
      </c>
      <c r="M781" t="s">
        <v>3958</v>
      </c>
      <c r="N781" s="3">
        <v>413.74</v>
      </c>
      <c r="O781" s="4">
        <v>0.01</v>
      </c>
      <c r="P781" t="s">
        <v>1772</v>
      </c>
      <c r="Q781" s="4">
        <v>1228.8078</v>
      </c>
    </row>
    <row r="782" spans="1:17" x14ac:dyDescent="0.3">
      <c r="A782" t="s">
        <v>2554</v>
      </c>
      <c r="B782" t="str">
        <f t="shared" si="12"/>
        <v>Q3</v>
      </c>
      <c r="C782" t="str">
        <f>TEXT(Table1[[#This Row],[Order_Date]],"mmmm")</f>
        <v>July</v>
      </c>
      <c r="D782">
        <f>YEAR(Table1[[#This Row],[Order_Date]])</f>
        <v>2024</v>
      </c>
      <c r="E782" s="7">
        <v>45477</v>
      </c>
      <c r="F782" s="2" t="str">
        <f>VLOOKUP(Table1[[#This Row],[Customer_ID]],Customer_Dim!$A$2:$H$501,2,FALSE)</f>
        <v>Christopher Ford</v>
      </c>
      <c r="G782" s="2" t="str">
        <f>_xlfn.XLOOKUP(Table1[[#This Row],[Customer_ID]],Customer_Dim!$A$2:$A$501,Customer_Dim!$E$2:$E$501)</f>
        <v>North Seanfurt</v>
      </c>
      <c r="H782" t="s">
        <v>1507</v>
      </c>
      <c r="I782" t="str">
        <f>VLOOKUP(Table1[[#This Row],[Product_ID]],Product_Dim!$A$2:$G$101,2,FALSE)</f>
        <v>Face Foundation Kit-Beauty</v>
      </c>
      <c r="J782" t="s">
        <v>1701</v>
      </c>
      <c r="K782" t="str">
        <f>VLOOKUP(Table1[[#This Row],[Store_ID]],Store_Dim!$A$3:$D$22,2,FALSE)</f>
        <v>Mcdonald Inc-South</v>
      </c>
      <c r="L782" t="s">
        <v>1754</v>
      </c>
      <c r="M782" t="s">
        <v>3959</v>
      </c>
      <c r="N782" s="3">
        <v>79.75</v>
      </c>
      <c r="O782" s="4">
        <v>0.18</v>
      </c>
      <c r="P782" t="s">
        <v>1774</v>
      </c>
      <c r="Q782" s="4">
        <v>261.58</v>
      </c>
    </row>
    <row r="783" spans="1:17" x14ac:dyDescent="0.3">
      <c r="A783" t="s">
        <v>2555</v>
      </c>
      <c r="B783" t="str">
        <f t="shared" si="12"/>
        <v>Q2</v>
      </c>
      <c r="C783" t="str">
        <f>TEXT(Table1[[#This Row],[Order_Date]],"mmmm")</f>
        <v>May</v>
      </c>
      <c r="D783">
        <f>YEAR(Table1[[#This Row],[Order_Date]])</f>
        <v>2024</v>
      </c>
      <c r="E783" s="7">
        <v>45433</v>
      </c>
      <c r="F783" s="2" t="str">
        <f>VLOOKUP(Table1[[#This Row],[Customer_ID]],Customer_Dim!$A$2:$H$501,2,FALSE)</f>
        <v>James Berger</v>
      </c>
      <c r="G783" s="2" t="str">
        <f>_xlfn.XLOOKUP(Table1[[#This Row],[Customer_ID]],Customer_Dim!$A$2:$A$501,Customer_Dim!$E$2:$E$501)</f>
        <v>Bryanmouth</v>
      </c>
      <c r="H783" t="s">
        <v>1504</v>
      </c>
      <c r="I783" t="str">
        <f>VLOOKUP(Table1[[#This Row],[Product_ID]],Product_Dim!$A$2:$G$101,2,FALSE)</f>
        <v>Noise-Canceling Headphones-Electronics</v>
      </c>
      <c r="J783" t="s">
        <v>1603</v>
      </c>
      <c r="K783" t="str">
        <f>VLOOKUP(Table1[[#This Row],[Store_ID]],Store_Dim!$A$3:$D$22,2,FALSE)</f>
        <v>Thomas, Bridges and Harris-North</v>
      </c>
      <c r="L783" t="s">
        <v>1751</v>
      </c>
      <c r="M783" t="s">
        <v>3959</v>
      </c>
      <c r="N783" s="3">
        <v>95.06</v>
      </c>
      <c r="O783" s="4">
        <v>0.03</v>
      </c>
      <c r="P783" t="s">
        <v>1772</v>
      </c>
      <c r="Q783" s="4">
        <v>368.83280000000002</v>
      </c>
    </row>
    <row r="784" spans="1:17" x14ac:dyDescent="0.3">
      <c r="A784" t="s">
        <v>2556</v>
      </c>
      <c r="B784" t="str">
        <f t="shared" si="12"/>
        <v>Q2</v>
      </c>
      <c r="C784" t="str">
        <f>TEXT(Table1[[#This Row],[Order_Date]],"mmmm")</f>
        <v>April</v>
      </c>
      <c r="D784">
        <f>YEAR(Table1[[#This Row],[Order_Date]])</f>
        <v>2025</v>
      </c>
      <c r="E784" s="7">
        <v>45759</v>
      </c>
      <c r="F784" s="2" t="str">
        <f>VLOOKUP(Table1[[#This Row],[Customer_ID]],Customer_Dim!$A$2:$H$501,2,FALSE)</f>
        <v>Jennifer Myers</v>
      </c>
      <c r="G784" s="2" t="str">
        <f>_xlfn.XLOOKUP(Table1[[#This Row],[Customer_ID]],Customer_Dim!$A$2:$A$501,Customer_Dim!$E$2:$E$501)</f>
        <v>Marthaborough</v>
      </c>
      <c r="H784" t="s">
        <v>1278</v>
      </c>
      <c r="I784" t="str">
        <f>VLOOKUP(Table1[[#This Row],[Product_ID]],Product_Dim!$A$2:$G$101,2,FALSE)</f>
        <v>Portable Bluetooth Speaker-Electronics</v>
      </c>
      <c r="J784" t="s">
        <v>1719</v>
      </c>
      <c r="K784" t="str">
        <f>VLOOKUP(Table1[[#This Row],[Store_ID]],Store_Dim!$A$3:$D$22,2,FALSE)</f>
        <v>Martinez-Mullins-South</v>
      </c>
      <c r="L784" t="s">
        <v>1742</v>
      </c>
      <c r="M784" t="s">
        <v>3959</v>
      </c>
      <c r="N784" s="3">
        <v>107.08</v>
      </c>
      <c r="O784" s="4">
        <v>0.27</v>
      </c>
      <c r="P784" t="s">
        <v>1777</v>
      </c>
      <c r="Q784" s="4">
        <v>312.67360000000002</v>
      </c>
    </row>
    <row r="785" spans="1:17" x14ac:dyDescent="0.3">
      <c r="A785" t="s">
        <v>2557</v>
      </c>
      <c r="B785" t="str">
        <f t="shared" si="12"/>
        <v>Q2</v>
      </c>
      <c r="C785" t="str">
        <f>TEXT(Table1[[#This Row],[Order_Date]],"mmmm")</f>
        <v>May</v>
      </c>
      <c r="D785">
        <f>YEAR(Table1[[#This Row],[Order_Date]])</f>
        <v>2025</v>
      </c>
      <c r="E785" s="7">
        <v>45794</v>
      </c>
      <c r="F785" s="2" t="str">
        <f>VLOOKUP(Table1[[#This Row],[Customer_ID]],Customer_Dim!$A$2:$H$501,2,FALSE)</f>
        <v>Joshua Howard</v>
      </c>
      <c r="G785" s="2" t="str">
        <f>_xlfn.XLOOKUP(Table1[[#This Row],[Customer_ID]],Customer_Dim!$A$2:$A$501,Customer_Dim!$E$2:$E$501)</f>
        <v>East Christopherhaven</v>
      </c>
      <c r="H785" t="s">
        <v>1445</v>
      </c>
      <c r="I785" t="str">
        <f>VLOOKUP(Table1[[#This Row],[Product_ID]],Product_Dim!$A$2:$G$101,2,FALSE)</f>
        <v>Stainless Steel Cookware Set-Home</v>
      </c>
      <c r="J785" t="s">
        <v>1721</v>
      </c>
      <c r="K785" t="str">
        <f>VLOOKUP(Table1[[#This Row],[Store_ID]],Store_Dim!$A$3:$D$22,2,FALSE)</f>
        <v>Guerrero-Schmitt-East</v>
      </c>
      <c r="L785" t="s">
        <v>1761</v>
      </c>
      <c r="M785" t="s">
        <v>3957</v>
      </c>
      <c r="N785" s="3">
        <v>873.18</v>
      </c>
      <c r="O785" s="4">
        <v>0.03</v>
      </c>
      <c r="P785" t="s">
        <v>1777</v>
      </c>
      <c r="Q785" s="4">
        <v>846.98459999999989</v>
      </c>
    </row>
    <row r="786" spans="1:17" x14ac:dyDescent="0.3">
      <c r="A786" t="s">
        <v>2558</v>
      </c>
      <c r="B786" t="str">
        <f t="shared" si="12"/>
        <v>Q2</v>
      </c>
      <c r="C786" t="str">
        <f>TEXT(Table1[[#This Row],[Order_Date]],"mmmm")</f>
        <v>April</v>
      </c>
      <c r="D786">
        <f>YEAR(Table1[[#This Row],[Order_Date]])</f>
        <v>2025</v>
      </c>
      <c r="E786" s="7">
        <v>45764</v>
      </c>
      <c r="F786" s="2" t="str">
        <f>VLOOKUP(Table1[[#This Row],[Customer_ID]],Customer_Dim!$A$2:$H$501,2,FALSE)</f>
        <v>Charles Conley</v>
      </c>
      <c r="G786" s="2" t="str">
        <f>_xlfn.XLOOKUP(Table1[[#This Row],[Customer_ID]],Customer_Dim!$A$2:$A$501,Customer_Dim!$E$2:$E$501)</f>
        <v>Nathanshire</v>
      </c>
      <c r="H786" t="s">
        <v>1165</v>
      </c>
      <c r="I786" t="str">
        <f>VLOOKUP(Table1[[#This Row],[Product_ID]],Product_Dim!$A$2:$G$101,2,FALSE)</f>
        <v>Kitchen Storage Rack-Home</v>
      </c>
      <c r="J786" t="s">
        <v>1663</v>
      </c>
      <c r="K786" t="str">
        <f>VLOOKUP(Table1[[#This Row],[Store_ID]],Store_Dim!$A$3:$D$22,2,FALSE)</f>
        <v>Guerrero-Schmitt-East</v>
      </c>
      <c r="L786" t="s">
        <v>1761</v>
      </c>
      <c r="M786" t="s">
        <v>3957</v>
      </c>
      <c r="N786" s="3">
        <v>914.75</v>
      </c>
      <c r="O786" s="4">
        <v>0.1</v>
      </c>
      <c r="P786" t="s">
        <v>1777</v>
      </c>
      <c r="Q786" s="4">
        <v>823.27499999999998</v>
      </c>
    </row>
    <row r="787" spans="1:17" x14ac:dyDescent="0.3">
      <c r="A787" t="s">
        <v>2559</v>
      </c>
      <c r="B787" t="str">
        <f t="shared" si="12"/>
        <v>Q4</v>
      </c>
      <c r="C787" t="str">
        <f>TEXT(Table1[[#This Row],[Order_Date]],"mmmm")</f>
        <v>December</v>
      </c>
      <c r="D787">
        <f>YEAR(Table1[[#This Row],[Order_Date]])</f>
        <v>2023</v>
      </c>
      <c r="E787" s="7">
        <v>45279</v>
      </c>
      <c r="F787" s="2" t="str">
        <f>VLOOKUP(Table1[[#This Row],[Customer_ID]],Customer_Dim!$A$2:$H$501,2,FALSE)</f>
        <v>Timothy Weaver</v>
      </c>
      <c r="G787" s="2" t="str">
        <f>_xlfn.XLOOKUP(Table1[[#This Row],[Customer_ID]],Customer_Dim!$A$2:$A$501,Customer_Dim!$E$2:$E$501)</f>
        <v>New Amy</v>
      </c>
      <c r="H787" t="s">
        <v>185</v>
      </c>
      <c r="I787" t="str">
        <f>VLOOKUP(Table1[[#This Row],[Product_ID]],Product_Dim!$A$2:$G$101,2,FALSE)</f>
        <v>Shin Guards – Adult-Sports</v>
      </c>
      <c r="J787" t="s">
        <v>1669</v>
      </c>
      <c r="K787" t="str">
        <f>VLOOKUP(Table1[[#This Row],[Store_ID]],Store_Dim!$A$3:$D$22,2,FALSE)</f>
        <v>Gardner, Humphrey and Contreras-East</v>
      </c>
      <c r="L787" t="s">
        <v>1753</v>
      </c>
      <c r="M787" t="s">
        <v>3959</v>
      </c>
      <c r="N787" s="3">
        <v>457.33</v>
      </c>
      <c r="O787" s="4">
        <v>0.1</v>
      </c>
      <c r="P787" t="s">
        <v>1772</v>
      </c>
      <c r="Q787" s="4">
        <v>1646.3879999999999</v>
      </c>
    </row>
    <row r="788" spans="1:17" x14ac:dyDescent="0.3">
      <c r="A788" t="s">
        <v>2560</v>
      </c>
      <c r="B788" t="str">
        <f t="shared" si="12"/>
        <v>Q4</v>
      </c>
      <c r="C788" t="str">
        <f>TEXT(Table1[[#This Row],[Order_Date]],"mmmm")</f>
        <v>November</v>
      </c>
      <c r="D788">
        <f>YEAR(Table1[[#This Row],[Order_Date]])</f>
        <v>2024</v>
      </c>
      <c r="E788" s="7">
        <v>45602</v>
      </c>
      <c r="F788" s="2" t="str">
        <f>VLOOKUP(Table1[[#This Row],[Customer_ID]],Customer_Dim!$A$2:$H$501,2,FALSE)</f>
        <v>Ricardo Jones</v>
      </c>
      <c r="G788" s="2" t="str">
        <f>_xlfn.XLOOKUP(Table1[[#This Row],[Customer_ID]],Customer_Dim!$A$2:$A$501,Customer_Dim!$E$2:$E$501)</f>
        <v>Danielland</v>
      </c>
      <c r="H788" t="s">
        <v>917</v>
      </c>
      <c r="I788" t="str">
        <f>VLOOKUP(Table1[[#This Row],[Product_ID]],Product_Dim!$A$2:$G$101,2,FALSE)</f>
        <v>Stainless Steel Cookware Set-Home</v>
      </c>
      <c r="J788" t="s">
        <v>1721</v>
      </c>
      <c r="K788" t="str">
        <f>VLOOKUP(Table1[[#This Row],[Store_ID]],Store_Dim!$A$3:$D$22,2,FALSE)</f>
        <v>Johnson-Wright-North</v>
      </c>
      <c r="L788" t="s">
        <v>1733</v>
      </c>
      <c r="M788" t="s">
        <v>3958</v>
      </c>
      <c r="N788" s="3">
        <v>761.88</v>
      </c>
      <c r="O788" s="4">
        <v>0.23</v>
      </c>
      <c r="P788" t="s">
        <v>1774</v>
      </c>
      <c r="Q788" s="4">
        <v>1759.9428</v>
      </c>
    </row>
    <row r="789" spans="1:17" x14ac:dyDescent="0.3">
      <c r="A789" t="s">
        <v>2561</v>
      </c>
      <c r="B789" t="str">
        <f t="shared" si="12"/>
        <v>Q2</v>
      </c>
      <c r="C789" t="str">
        <f>TEXT(Table1[[#This Row],[Order_Date]],"mmmm")</f>
        <v>May</v>
      </c>
      <c r="D789">
        <f>YEAR(Table1[[#This Row],[Order_Date]])</f>
        <v>2025</v>
      </c>
      <c r="E789" s="7">
        <v>45793</v>
      </c>
      <c r="F789" s="2" t="str">
        <f>VLOOKUP(Table1[[#This Row],[Customer_ID]],Customer_Dim!$A$2:$H$501,2,FALSE)</f>
        <v>Curtis Lam</v>
      </c>
      <c r="G789" s="2" t="str">
        <f>_xlfn.XLOOKUP(Table1[[#This Row],[Customer_ID]],Customer_Dim!$A$2:$A$501,Customer_Dim!$E$2:$E$501)</f>
        <v>Butlerberg</v>
      </c>
      <c r="H789" t="s">
        <v>579</v>
      </c>
      <c r="I789" t="str">
        <f>VLOOKUP(Table1[[#This Row],[Product_ID]],Product_Dim!$A$2:$G$101,2,FALSE)</f>
        <v>Men's Casual Sneakers-Clothing</v>
      </c>
      <c r="J789" t="s">
        <v>1597</v>
      </c>
      <c r="K789" t="str">
        <f>VLOOKUP(Table1[[#This Row],[Store_ID]],Store_Dim!$A$3:$D$22,2,FALSE)</f>
        <v>Mann-Austin-East</v>
      </c>
      <c r="L789" t="s">
        <v>1763</v>
      </c>
      <c r="M789" t="s">
        <v>3959</v>
      </c>
      <c r="N789" s="3">
        <v>122.87</v>
      </c>
      <c r="O789" s="4">
        <v>0.13</v>
      </c>
      <c r="P789" t="s">
        <v>1772</v>
      </c>
      <c r="Q789" s="4">
        <v>427.58760000000001</v>
      </c>
    </row>
    <row r="790" spans="1:17" x14ac:dyDescent="0.3">
      <c r="A790" t="s">
        <v>2562</v>
      </c>
      <c r="B790" t="str">
        <f t="shared" si="12"/>
        <v>Q2</v>
      </c>
      <c r="C790" t="str">
        <f>TEXT(Table1[[#This Row],[Order_Date]],"mmmm")</f>
        <v>May</v>
      </c>
      <c r="D790">
        <f>YEAR(Table1[[#This Row],[Order_Date]])</f>
        <v>2025</v>
      </c>
      <c r="E790" s="7">
        <v>45778</v>
      </c>
      <c r="F790" s="2" t="str">
        <f>VLOOKUP(Table1[[#This Row],[Customer_ID]],Customer_Dim!$A$2:$H$501,2,FALSE)</f>
        <v>Barbara Berry</v>
      </c>
      <c r="G790" s="2" t="str">
        <f>_xlfn.XLOOKUP(Table1[[#This Row],[Customer_ID]],Customer_Dim!$A$2:$A$501,Customer_Dim!$E$2:$E$501)</f>
        <v>Lake Michael</v>
      </c>
      <c r="H790" t="s">
        <v>1448</v>
      </c>
      <c r="I790" t="str">
        <f>VLOOKUP(Table1[[#This Row],[Product_ID]],Product_Dim!$A$2:$G$101,2,FALSE)</f>
        <v>Shin Guards – Adult-Sports</v>
      </c>
      <c r="J790" t="s">
        <v>1669</v>
      </c>
      <c r="K790" t="str">
        <f>VLOOKUP(Table1[[#This Row],[Store_ID]],Store_Dim!$A$3:$D$22,2,FALSE)</f>
        <v>Alexander Group-South</v>
      </c>
      <c r="L790" t="s">
        <v>1735</v>
      </c>
      <c r="M790" t="s">
        <v>3959</v>
      </c>
      <c r="N790" s="3">
        <v>753</v>
      </c>
      <c r="O790" s="4">
        <v>0.28000000000000003</v>
      </c>
      <c r="P790" t="s">
        <v>1777</v>
      </c>
      <c r="Q790" s="4">
        <v>2168.64</v>
      </c>
    </row>
    <row r="791" spans="1:17" x14ac:dyDescent="0.3">
      <c r="A791" t="s">
        <v>2563</v>
      </c>
      <c r="B791" t="str">
        <f t="shared" si="12"/>
        <v>Q1</v>
      </c>
      <c r="C791" t="str">
        <f>TEXT(Table1[[#This Row],[Order_Date]],"mmmm")</f>
        <v>February</v>
      </c>
      <c r="D791">
        <f>YEAR(Table1[[#This Row],[Order_Date]])</f>
        <v>2024</v>
      </c>
      <c r="E791" s="7">
        <v>45325</v>
      </c>
      <c r="F791" s="2" t="str">
        <f>VLOOKUP(Table1[[#This Row],[Customer_ID]],Customer_Dim!$A$2:$H$501,2,FALSE)</f>
        <v>James Holloway Jr.</v>
      </c>
      <c r="G791" s="2" t="str">
        <f>_xlfn.XLOOKUP(Table1[[#This Row],[Customer_ID]],Customer_Dim!$A$2:$A$501,Customer_Dim!$E$2:$E$501)</f>
        <v>Millston</v>
      </c>
      <c r="H791" t="s">
        <v>1144</v>
      </c>
      <c r="I791" t="str">
        <f>VLOOKUP(Table1[[#This Row],[Product_ID]],Product_Dim!$A$2:$G$101,2,FALSE)</f>
        <v>Men's Leather Belt-Clothing</v>
      </c>
      <c r="J791" t="s">
        <v>1533</v>
      </c>
      <c r="K791" t="str">
        <f>VLOOKUP(Table1[[#This Row],[Store_ID]],Store_Dim!$A$3:$D$22,2,FALSE)</f>
        <v>Gray Ltd-North</v>
      </c>
      <c r="L791" t="s">
        <v>1738</v>
      </c>
      <c r="M791" t="s">
        <v>3960</v>
      </c>
      <c r="N791" s="3">
        <v>788.05</v>
      </c>
      <c r="O791" s="4">
        <v>0.21</v>
      </c>
      <c r="P791" t="s">
        <v>1772</v>
      </c>
      <c r="Q791" s="4">
        <v>1245.1189999999999</v>
      </c>
    </row>
    <row r="792" spans="1:17" x14ac:dyDescent="0.3">
      <c r="A792" t="s">
        <v>2564</v>
      </c>
      <c r="B792" t="str">
        <f t="shared" si="12"/>
        <v>Q3</v>
      </c>
      <c r="C792" t="str">
        <f>TEXT(Table1[[#This Row],[Order_Date]],"mmmm")</f>
        <v>August</v>
      </c>
      <c r="D792">
        <f>YEAR(Table1[[#This Row],[Order_Date]])</f>
        <v>2025</v>
      </c>
      <c r="E792" s="7">
        <v>45875</v>
      </c>
      <c r="F792" s="2" t="str">
        <f>VLOOKUP(Table1[[#This Row],[Customer_ID]],Customer_Dim!$A$2:$H$501,2,FALSE)</f>
        <v>Beth Martin</v>
      </c>
      <c r="G792" s="2" t="str">
        <f>_xlfn.XLOOKUP(Table1[[#This Row],[Customer_ID]],Customer_Dim!$A$2:$A$501,Customer_Dim!$E$2:$E$501)</f>
        <v>Burkefurt</v>
      </c>
      <c r="H792" t="s">
        <v>1409</v>
      </c>
      <c r="I792" t="str">
        <f>VLOOKUP(Table1[[#This Row],[Product_ID]],Product_Dim!$A$2:$G$101,2,FALSE)</f>
        <v>Fitness Resistance Bands-Sports</v>
      </c>
      <c r="J792" t="s">
        <v>1687</v>
      </c>
      <c r="K792" t="str">
        <f>VLOOKUP(Table1[[#This Row],[Store_ID]],Store_Dim!$A$3:$D$22,2,FALSE)</f>
        <v>Hill, Wagner and Ballard-East</v>
      </c>
      <c r="L792" t="s">
        <v>1748</v>
      </c>
      <c r="M792" t="s">
        <v>3960</v>
      </c>
      <c r="N792" s="3">
        <v>807.1</v>
      </c>
      <c r="O792" s="4">
        <v>0.28999999999999998</v>
      </c>
      <c r="P792" t="s">
        <v>1772</v>
      </c>
      <c r="Q792" s="4">
        <v>1146.0820000000001</v>
      </c>
    </row>
    <row r="793" spans="1:17" x14ac:dyDescent="0.3">
      <c r="A793" t="s">
        <v>2565</v>
      </c>
      <c r="B793" t="str">
        <f t="shared" si="12"/>
        <v>Q1</v>
      </c>
      <c r="C793" t="str">
        <f>TEXT(Table1[[#This Row],[Order_Date]],"mmmm")</f>
        <v>January</v>
      </c>
      <c r="D793">
        <f>YEAR(Table1[[#This Row],[Order_Date]])</f>
        <v>2024</v>
      </c>
      <c r="E793" s="7">
        <v>45320</v>
      </c>
      <c r="F793" s="2" t="str">
        <f>VLOOKUP(Table1[[#This Row],[Customer_ID]],Customer_Dim!$A$2:$H$501,2,FALSE)</f>
        <v>Morgan Bowen</v>
      </c>
      <c r="G793" s="2" t="str">
        <f>_xlfn.XLOOKUP(Table1[[#This Row],[Customer_ID]],Customer_Dim!$A$2:$A$501,Customer_Dim!$E$2:$E$501)</f>
        <v>Parksfort</v>
      </c>
      <c r="H793" t="s">
        <v>453</v>
      </c>
      <c r="I793" t="str">
        <f>VLOOKUP(Table1[[#This Row],[Product_ID]],Product_Dim!$A$2:$G$101,2,FALSE)</f>
        <v>Wireless Bluetooth Earbuds-Electronics</v>
      </c>
      <c r="J793" t="s">
        <v>1539</v>
      </c>
      <c r="K793" t="str">
        <f>VLOOKUP(Table1[[#This Row],[Store_ID]],Store_Dim!$A$3:$D$22,2,FALSE)</f>
        <v>Martinez, Adkins and Johnson-North</v>
      </c>
      <c r="L793" t="s">
        <v>1728</v>
      </c>
      <c r="M793" t="s">
        <v>3960</v>
      </c>
      <c r="N793" s="3">
        <v>443.09</v>
      </c>
      <c r="O793" s="4">
        <v>0.02</v>
      </c>
      <c r="P793" t="s">
        <v>1774</v>
      </c>
      <c r="Q793" s="4">
        <v>868.45639999999992</v>
      </c>
    </row>
    <row r="794" spans="1:17" x14ac:dyDescent="0.3">
      <c r="A794" t="s">
        <v>2566</v>
      </c>
      <c r="B794" t="str">
        <f t="shared" si="12"/>
        <v>Q3</v>
      </c>
      <c r="C794" t="str">
        <f>TEXT(Table1[[#This Row],[Order_Date]],"mmmm")</f>
        <v>August</v>
      </c>
      <c r="D794">
        <f>YEAR(Table1[[#This Row],[Order_Date]])</f>
        <v>2025</v>
      </c>
      <c r="E794" s="7">
        <v>45870</v>
      </c>
      <c r="F794" s="2" t="str">
        <f>VLOOKUP(Table1[[#This Row],[Customer_ID]],Customer_Dim!$A$2:$H$501,2,FALSE)</f>
        <v>Gregory Curtis</v>
      </c>
      <c r="G794" s="2" t="str">
        <f>_xlfn.XLOOKUP(Table1[[#This Row],[Customer_ID]],Customer_Dim!$A$2:$A$501,Customer_Dim!$E$2:$E$501)</f>
        <v>Bergermouth</v>
      </c>
      <c r="H794" t="s">
        <v>1427</v>
      </c>
      <c r="I794" t="str">
        <f>VLOOKUP(Table1[[#This Row],[Product_ID]],Product_Dim!$A$2:$G$101,2,FALSE)</f>
        <v>Knee Support Brace-Sports</v>
      </c>
      <c r="J794" t="s">
        <v>1561</v>
      </c>
      <c r="K794" t="str">
        <f>VLOOKUP(Table1[[#This Row],[Store_ID]],Store_Dim!$A$3:$D$22,2,FALSE)</f>
        <v>Shelton PLC-North</v>
      </c>
      <c r="L794" t="s">
        <v>1755</v>
      </c>
      <c r="M794" t="s">
        <v>3957</v>
      </c>
      <c r="N794" s="3">
        <v>512.16</v>
      </c>
      <c r="O794" s="4">
        <v>0.02</v>
      </c>
      <c r="P794" t="s">
        <v>1777</v>
      </c>
      <c r="Q794" s="4">
        <v>501.91680000000002</v>
      </c>
    </row>
    <row r="795" spans="1:17" x14ac:dyDescent="0.3">
      <c r="A795" t="s">
        <v>2567</v>
      </c>
      <c r="B795" t="str">
        <f t="shared" si="12"/>
        <v>Q4</v>
      </c>
      <c r="C795" t="str">
        <f>TEXT(Table1[[#This Row],[Order_Date]],"mmmm")</f>
        <v>October</v>
      </c>
      <c r="D795">
        <f>YEAR(Table1[[#This Row],[Order_Date]])</f>
        <v>2024</v>
      </c>
      <c r="E795" s="7">
        <v>45577</v>
      </c>
      <c r="F795" s="2" t="str">
        <f>VLOOKUP(Table1[[#This Row],[Customer_ID]],Customer_Dim!$A$2:$H$501,2,FALSE)</f>
        <v>John Perez</v>
      </c>
      <c r="G795" s="2" t="str">
        <f>_xlfn.XLOOKUP(Table1[[#This Row],[Customer_ID]],Customer_Dim!$A$2:$A$501,Customer_Dim!$E$2:$E$501)</f>
        <v>Kathrynview</v>
      </c>
      <c r="H795" t="s">
        <v>672</v>
      </c>
      <c r="I795" t="str">
        <f>VLOOKUP(Table1[[#This Row],[Product_ID]],Product_Dim!$A$2:$G$101,2,FALSE)</f>
        <v>Yoga Exercise Mat-Sports</v>
      </c>
      <c r="J795" t="s">
        <v>1605</v>
      </c>
      <c r="K795" t="str">
        <f>VLOOKUP(Table1[[#This Row],[Store_ID]],Store_Dim!$A$3:$D$22,2,FALSE)</f>
        <v>Guerrero-Schmitt-East</v>
      </c>
      <c r="L795" t="s">
        <v>1761</v>
      </c>
      <c r="M795" t="s">
        <v>3960</v>
      </c>
      <c r="N795" s="3">
        <v>602.54999999999995</v>
      </c>
      <c r="O795" s="4">
        <v>0.23</v>
      </c>
      <c r="P795" t="s">
        <v>1777</v>
      </c>
      <c r="Q795" s="4">
        <v>927.92699999999991</v>
      </c>
    </row>
    <row r="796" spans="1:17" x14ac:dyDescent="0.3">
      <c r="A796" t="s">
        <v>2568</v>
      </c>
      <c r="B796" t="str">
        <f t="shared" si="12"/>
        <v>Q1</v>
      </c>
      <c r="C796" t="str">
        <f>TEXT(Table1[[#This Row],[Order_Date]],"mmmm")</f>
        <v>March</v>
      </c>
      <c r="D796">
        <f>YEAR(Table1[[#This Row],[Order_Date]])</f>
        <v>2025</v>
      </c>
      <c r="E796" s="7">
        <v>45745</v>
      </c>
      <c r="F796" s="2" t="str">
        <f>VLOOKUP(Table1[[#This Row],[Customer_ID]],Customer_Dim!$A$2:$H$501,2,FALSE)</f>
        <v>Daniel Rivas</v>
      </c>
      <c r="G796" s="2" t="str">
        <f>_xlfn.XLOOKUP(Table1[[#This Row],[Customer_ID]],Customer_Dim!$A$2:$A$501,Customer_Dim!$E$2:$E$501)</f>
        <v>Dominiquefort</v>
      </c>
      <c r="H796" t="s">
        <v>542</v>
      </c>
      <c r="I796" t="str">
        <f>VLOOKUP(Table1[[#This Row],[Product_ID]],Product_Dim!$A$2:$G$101,2,FALSE)</f>
        <v>Smart Home WiFi Camera-Electronics</v>
      </c>
      <c r="J796" t="s">
        <v>1607</v>
      </c>
      <c r="K796" t="str">
        <f>VLOOKUP(Table1[[#This Row],[Store_ID]],Store_Dim!$A$3:$D$22,2,FALSE)</f>
        <v>Rivera-Warner-East</v>
      </c>
      <c r="L796" t="s">
        <v>1725</v>
      </c>
      <c r="M796" t="s">
        <v>3958</v>
      </c>
      <c r="N796" s="3">
        <v>846.19</v>
      </c>
      <c r="O796" s="4">
        <v>0.09</v>
      </c>
      <c r="P796" t="s">
        <v>1777</v>
      </c>
      <c r="Q796" s="4">
        <v>2310.0987</v>
      </c>
    </row>
    <row r="797" spans="1:17" x14ac:dyDescent="0.3">
      <c r="A797" t="s">
        <v>2569</v>
      </c>
      <c r="B797" t="str">
        <f t="shared" si="12"/>
        <v>Q2</v>
      </c>
      <c r="C797" t="str">
        <f>TEXT(Table1[[#This Row],[Order_Date]],"mmmm")</f>
        <v>April</v>
      </c>
      <c r="D797">
        <f>YEAR(Table1[[#This Row],[Order_Date]])</f>
        <v>2025</v>
      </c>
      <c r="E797" s="7">
        <v>45772</v>
      </c>
      <c r="F797" s="2" t="str">
        <f>VLOOKUP(Table1[[#This Row],[Customer_ID]],Customer_Dim!$A$2:$H$501,2,FALSE)</f>
        <v>Robert King</v>
      </c>
      <c r="G797" s="2" t="str">
        <f>_xlfn.XLOOKUP(Table1[[#This Row],[Customer_ID]],Customer_Dim!$A$2:$A$501,Customer_Dim!$E$2:$E$501)</f>
        <v>Cindyton</v>
      </c>
      <c r="H797" t="s">
        <v>1015</v>
      </c>
      <c r="I797" t="str">
        <f>VLOOKUP(Table1[[#This Row],[Product_ID]],Product_Dim!$A$2:$G$101,2,FALSE)</f>
        <v>Men's Sports Shorts-Clothing</v>
      </c>
      <c r="J797" t="s">
        <v>1661</v>
      </c>
      <c r="K797" t="str">
        <f>VLOOKUP(Table1[[#This Row],[Store_ID]],Store_Dim!$A$3:$D$22,2,FALSE)</f>
        <v>Bean, Jones and Park-West</v>
      </c>
      <c r="L797" t="s">
        <v>1744</v>
      </c>
      <c r="M797" t="s">
        <v>3957</v>
      </c>
      <c r="N797" s="3">
        <v>506.73</v>
      </c>
      <c r="O797" s="4">
        <v>0.28999999999999998</v>
      </c>
      <c r="P797" t="s">
        <v>1772</v>
      </c>
      <c r="Q797" s="4">
        <v>359.7783</v>
      </c>
    </row>
    <row r="798" spans="1:17" x14ac:dyDescent="0.3">
      <c r="A798" t="s">
        <v>2570</v>
      </c>
      <c r="B798" t="str">
        <f t="shared" si="12"/>
        <v>Q1</v>
      </c>
      <c r="C798" t="str">
        <f>TEXT(Table1[[#This Row],[Order_Date]],"mmmm")</f>
        <v>January</v>
      </c>
      <c r="D798">
        <f>YEAR(Table1[[#This Row],[Order_Date]])</f>
        <v>2024</v>
      </c>
      <c r="E798" s="7">
        <v>45299</v>
      </c>
      <c r="F798" s="2" t="str">
        <f>VLOOKUP(Table1[[#This Row],[Customer_ID]],Customer_Dim!$A$2:$H$501,2,FALSE)</f>
        <v>Debra Liu</v>
      </c>
      <c r="G798" s="2" t="str">
        <f>_xlfn.XLOOKUP(Table1[[#This Row],[Customer_ID]],Customer_Dim!$A$2:$A$501,Customer_Dim!$E$2:$E$501)</f>
        <v>South Timtown</v>
      </c>
      <c r="H798" t="s">
        <v>195</v>
      </c>
      <c r="I798" t="str">
        <f>VLOOKUP(Table1[[#This Row],[Product_ID]],Product_Dim!$A$2:$G$101,2,FALSE)</f>
        <v>HDMI Cable – 2m-Electronics</v>
      </c>
      <c r="J798" t="s">
        <v>1625</v>
      </c>
      <c r="K798" t="str">
        <f>VLOOKUP(Table1[[#This Row],[Store_ID]],Store_Dim!$A$3:$D$22,2,FALSE)</f>
        <v>Frederick-Wright-West</v>
      </c>
      <c r="L798" t="s">
        <v>1757</v>
      </c>
      <c r="M798" t="s">
        <v>3957</v>
      </c>
      <c r="N798" s="3">
        <v>408.66</v>
      </c>
      <c r="O798" s="4">
        <v>0.13</v>
      </c>
      <c r="P798" t="s">
        <v>1777</v>
      </c>
      <c r="Q798" s="4">
        <v>355.5342</v>
      </c>
    </row>
    <row r="799" spans="1:17" x14ac:dyDescent="0.3">
      <c r="A799" t="s">
        <v>2571</v>
      </c>
      <c r="B799" t="str">
        <f t="shared" si="12"/>
        <v>Q2</v>
      </c>
      <c r="C799" t="str">
        <f>TEXT(Table1[[#This Row],[Order_Date]],"mmmm")</f>
        <v>June</v>
      </c>
      <c r="D799">
        <f>YEAR(Table1[[#This Row],[Order_Date]])</f>
        <v>2024</v>
      </c>
      <c r="E799" s="7">
        <v>45447</v>
      </c>
      <c r="F799" s="2" t="str">
        <f>VLOOKUP(Table1[[#This Row],[Customer_ID]],Customer_Dim!$A$2:$H$501,2,FALSE)</f>
        <v>Ashley Griffin</v>
      </c>
      <c r="G799" s="2" t="str">
        <f>_xlfn.XLOOKUP(Table1[[#This Row],[Customer_ID]],Customer_Dim!$A$2:$A$501,Customer_Dim!$E$2:$E$501)</f>
        <v>New Dawnton</v>
      </c>
      <c r="H799" t="s">
        <v>382</v>
      </c>
      <c r="I799" t="str">
        <f>VLOOKUP(Table1[[#This Row],[Product_ID]],Product_Dim!$A$2:$G$101,2,FALSE)</f>
        <v>Wireless Bluetooth Earbuds-Electronics</v>
      </c>
      <c r="J799" t="s">
        <v>1539</v>
      </c>
      <c r="K799" t="str">
        <f>VLOOKUP(Table1[[#This Row],[Store_ID]],Store_Dim!$A$3:$D$22,2,FALSE)</f>
        <v>Holloway Ltd-North</v>
      </c>
      <c r="L799" t="s">
        <v>1759</v>
      </c>
      <c r="M799" t="s">
        <v>3958</v>
      </c>
      <c r="N799" s="3">
        <v>170.48</v>
      </c>
      <c r="O799" s="4">
        <v>0.06</v>
      </c>
      <c r="P799" t="s">
        <v>1777</v>
      </c>
      <c r="Q799" s="4">
        <v>480.75359999999989</v>
      </c>
    </row>
    <row r="800" spans="1:17" x14ac:dyDescent="0.3">
      <c r="A800" t="s">
        <v>2572</v>
      </c>
      <c r="B800" t="str">
        <f t="shared" si="12"/>
        <v>Q1</v>
      </c>
      <c r="C800" t="str">
        <f>TEXT(Table1[[#This Row],[Order_Date]],"mmmm")</f>
        <v>March</v>
      </c>
      <c r="D800">
        <f>YEAR(Table1[[#This Row],[Order_Date]])</f>
        <v>2025</v>
      </c>
      <c r="E800" s="7">
        <v>45717</v>
      </c>
      <c r="F800" s="2" t="str">
        <f>VLOOKUP(Table1[[#This Row],[Customer_ID]],Customer_Dim!$A$2:$H$501,2,FALSE)</f>
        <v>David Cobb</v>
      </c>
      <c r="G800" s="2" t="str">
        <f>_xlfn.XLOOKUP(Table1[[#This Row],[Customer_ID]],Customer_Dim!$A$2:$A$501,Customer_Dim!$E$2:$E$501)</f>
        <v>Lake Thomas</v>
      </c>
      <c r="H800" t="s">
        <v>342</v>
      </c>
      <c r="I800" t="str">
        <f>VLOOKUP(Table1[[#This Row],[Product_ID]],Product_Dim!$A$2:$G$101,2,FALSE)</f>
        <v>Women's Denim Jeans-Clothing</v>
      </c>
      <c r="J800" t="s">
        <v>1559</v>
      </c>
      <c r="K800" t="str">
        <f>VLOOKUP(Table1[[#This Row],[Store_ID]],Store_Dim!$A$3:$D$22,2,FALSE)</f>
        <v>Moore, Padilla and Butler-South</v>
      </c>
      <c r="L800" t="s">
        <v>1746</v>
      </c>
      <c r="M800" t="s">
        <v>3957</v>
      </c>
      <c r="N800" s="3">
        <v>423.48</v>
      </c>
      <c r="O800" s="4">
        <v>0.18</v>
      </c>
      <c r="P800" t="s">
        <v>1774</v>
      </c>
      <c r="Q800" s="4">
        <v>347.25360000000012</v>
      </c>
    </row>
    <row r="801" spans="1:17" x14ac:dyDescent="0.3">
      <c r="A801" t="s">
        <v>2573</v>
      </c>
      <c r="B801" t="str">
        <f t="shared" si="12"/>
        <v>Q4</v>
      </c>
      <c r="C801" t="str">
        <f>TEXT(Table1[[#This Row],[Order_Date]],"mmmm")</f>
        <v>October</v>
      </c>
      <c r="D801">
        <f>YEAR(Table1[[#This Row],[Order_Date]])</f>
        <v>2023</v>
      </c>
      <c r="E801" s="7">
        <v>45213</v>
      </c>
      <c r="F801" s="2" t="str">
        <f>VLOOKUP(Table1[[#This Row],[Customer_ID]],Customer_Dim!$A$2:$H$501,2,FALSE)</f>
        <v>Jon Ortiz</v>
      </c>
      <c r="G801" s="2" t="str">
        <f>_xlfn.XLOOKUP(Table1[[#This Row],[Customer_ID]],Customer_Dim!$A$2:$A$501,Customer_Dim!$E$2:$E$501)</f>
        <v>South Angelaport</v>
      </c>
      <c r="H801" t="s">
        <v>749</v>
      </c>
      <c r="I801" t="str">
        <f>VLOOKUP(Table1[[#This Row],[Product_ID]],Product_Dim!$A$2:$G$101,2,FALSE)</f>
        <v>Microwave Oven-Home</v>
      </c>
      <c r="J801" t="s">
        <v>1707</v>
      </c>
      <c r="K801" t="str">
        <f>VLOOKUP(Table1[[#This Row],[Store_ID]],Store_Dim!$A$3:$D$22,2,FALSE)</f>
        <v>Aguirre-Keller-South</v>
      </c>
      <c r="L801" t="s">
        <v>1750</v>
      </c>
      <c r="M801" t="s">
        <v>3959</v>
      </c>
      <c r="N801" s="3">
        <v>23.57</v>
      </c>
      <c r="O801" s="4">
        <v>0.1</v>
      </c>
      <c r="P801" t="s">
        <v>1772</v>
      </c>
      <c r="Q801" s="4">
        <v>84.852000000000004</v>
      </c>
    </row>
    <row r="802" spans="1:17" x14ac:dyDescent="0.3">
      <c r="A802" t="s">
        <v>2574</v>
      </c>
      <c r="B802" t="str">
        <f t="shared" si="12"/>
        <v>Q2</v>
      </c>
      <c r="C802" t="str">
        <f>TEXT(Table1[[#This Row],[Order_Date]],"mmmm")</f>
        <v>June</v>
      </c>
      <c r="D802">
        <f>YEAR(Table1[[#This Row],[Order_Date]])</f>
        <v>2025</v>
      </c>
      <c r="E802" s="7">
        <v>45837</v>
      </c>
      <c r="F802" s="2" t="str">
        <f>VLOOKUP(Table1[[#This Row],[Customer_ID]],Customer_Dim!$A$2:$H$501,2,FALSE)</f>
        <v>Erika Padilla</v>
      </c>
      <c r="G802" s="2" t="str">
        <f>_xlfn.XLOOKUP(Table1[[#This Row],[Customer_ID]],Customer_Dim!$A$2:$A$501,Customer_Dim!$E$2:$E$501)</f>
        <v>Andrewsland</v>
      </c>
      <c r="H802" t="s">
        <v>1177</v>
      </c>
      <c r="I802" t="str">
        <f>VLOOKUP(Table1[[#This Row],[Product_ID]],Product_Dim!$A$2:$G$101,2,FALSE)</f>
        <v>Smart Home WiFi Camera-Electronics</v>
      </c>
      <c r="J802" t="s">
        <v>1607</v>
      </c>
      <c r="K802" t="str">
        <f>VLOOKUP(Table1[[#This Row],[Store_ID]],Store_Dim!$A$3:$D$22,2,FALSE)</f>
        <v>Guerrero-Schmitt-East</v>
      </c>
      <c r="L802" t="s">
        <v>1761</v>
      </c>
      <c r="M802" t="s">
        <v>3960</v>
      </c>
      <c r="N802" s="3">
        <v>953.26</v>
      </c>
      <c r="O802" s="4">
        <v>0.1</v>
      </c>
      <c r="P802" t="s">
        <v>1777</v>
      </c>
      <c r="Q802" s="4">
        <v>1715.8679999999999</v>
      </c>
    </row>
    <row r="803" spans="1:17" x14ac:dyDescent="0.3">
      <c r="A803" t="s">
        <v>2575</v>
      </c>
      <c r="B803" t="str">
        <f t="shared" si="12"/>
        <v>Q4</v>
      </c>
      <c r="C803" t="str">
        <f>TEXT(Table1[[#This Row],[Order_Date]],"mmmm")</f>
        <v>December</v>
      </c>
      <c r="D803">
        <f>YEAR(Table1[[#This Row],[Order_Date]])</f>
        <v>2023</v>
      </c>
      <c r="E803" s="7">
        <v>45277</v>
      </c>
      <c r="F803" s="2" t="str">
        <f>VLOOKUP(Table1[[#This Row],[Customer_ID]],Customer_Dim!$A$2:$H$501,2,FALSE)</f>
        <v>Justin Mason Dds</v>
      </c>
      <c r="G803" s="2" t="str">
        <f>_xlfn.XLOOKUP(Table1[[#This Row],[Customer_ID]],Customer_Dim!$A$2:$A$501,Customer_Dim!$E$2:$E$501)</f>
        <v>Peggystad</v>
      </c>
      <c r="H803" t="s">
        <v>1078</v>
      </c>
      <c r="I803" t="str">
        <f>VLOOKUP(Table1[[#This Row],[Product_ID]],Product_Dim!$A$2:$G$101,2,FALSE)</f>
        <v>Shin Guards – Adult-Sports</v>
      </c>
      <c r="J803" t="s">
        <v>1669</v>
      </c>
      <c r="K803" t="str">
        <f>VLOOKUP(Table1[[#This Row],[Store_ID]],Store_Dim!$A$3:$D$22,2,FALSE)</f>
        <v>Martinez-Mullins-South</v>
      </c>
      <c r="L803" t="s">
        <v>1742</v>
      </c>
      <c r="M803" t="s">
        <v>3958</v>
      </c>
      <c r="N803" s="3">
        <v>405.13</v>
      </c>
      <c r="O803" s="4">
        <v>0.14000000000000001</v>
      </c>
      <c r="P803" t="s">
        <v>1777</v>
      </c>
      <c r="Q803" s="4">
        <v>1045.2354</v>
      </c>
    </row>
    <row r="804" spans="1:17" x14ac:dyDescent="0.3">
      <c r="A804" t="s">
        <v>2576</v>
      </c>
      <c r="B804" t="str">
        <f t="shared" si="12"/>
        <v>Q4</v>
      </c>
      <c r="C804" t="str">
        <f>TEXT(Table1[[#This Row],[Order_Date]],"mmmm")</f>
        <v>November</v>
      </c>
      <c r="D804">
        <f>YEAR(Table1[[#This Row],[Order_Date]])</f>
        <v>2023</v>
      </c>
      <c r="E804" s="7">
        <v>45248</v>
      </c>
      <c r="F804" s="2" t="str">
        <f>VLOOKUP(Table1[[#This Row],[Customer_ID]],Customer_Dim!$A$2:$H$501,2,FALSE)</f>
        <v>Mrs. Susan Buckley</v>
      </c>
      <c r="G804" s="2" t="str">
        <f>_xlfn.XLOOKUP(Table1[[#This Row],[Customer_ID]],Customer_Dim!$A$2:$A$501,Customer_Dim!$E$2:$E$501)</f>
        <v>Stevensbury</v>
      </c>
      <c r="H804" t="s">
        <v>1054</v>
      </c>
      <c r="I804" t="str">
        <f>VLOOKUP(Table1[[#This Row],[Product_ID]],Product_Dim!$A$2:$G$101,2,FALSE)</f>
        <v>Women's Casual Hoodie-Clothing</v>
      </c>
      <c r="J804" t="s">
        <v>1527</v>
      </c>
      <c r="K804" t="str">
        <f>VLOOKUP(Table1[[#This Row],[Store_ID]],Store_Dim!$A$3:$D$22,2,FALSE)</f>
        <v>Alexander Group-South</v>
      </c>
      <c r="L804" t="s">
        <v>1735</v>
      </c>
      <c r="M804" t="s">
        <v>3960</v>
      </c>
      <c r="N804" s="3">
        <v>333.83</v>
      </c>
      <c r="O804" s="4">
        <v>0.26</v>
      </c>
      <c r="P804" t="s">
        <v>1774</v>
      </c>
      <c r="Q804" s="4">
        <v>494.0684</v>
      </c>
    </row>
    <row r="805" spans="1:17" x14ac:dyDescent="0.3">
      <c r="A805" t="s">
        <v>2577</v>
      </c>
      <c r="B805" t="str">
        <f t="shared" si="12"/>
        <v>Q1</v>
      </c>
      <c r="C805" t="str">
        <f>TEXT(Table1[[#This Row],[Order_Date]],"mmmm")</f>
        <v>March</v>
      </c>
      <c r="D805">
        <f>YEAR(Table1[[#This Row],[Order_Date]])</f>
        <v>2025</v>
      </c>
      <c r="E805" s="7">
        <v>45741</v>
      </c>
      <c r="F805" s="2" t="str">
        <f>VLOOKUP(Table1[[#This Row],[Customer_ID]],Customer_Dim!$A$2:$H$501,2,FALSE)</f>
        <v>Teresa Johnson</v>
      </c>
      <c r="G805" s="2" t="str">
        <f>_xlfn.XLOOKUP(Table1[[#This Row],[Customer_ID]],Customer_Dim!$A$2:$A$501,Customer_Dim!$E$2:$E$501)</f>
        <v>Johnsonbury</v>
      </c>
      <c r="H805" t="s">
        <v>1036</v>
      </c>
      <c r="I805" t="str">
        <f>VLOOKUP(Table1[[#This Row],[Product_ID]],Product_Dim!$A$2:$G$101,2,FALSE)</f>
        <v>Women's High Heels-Clothing</v>
      </c>
      <c r="J805" t="s">
        <v>1705</v>
      </c>
      <c r="K805" t="str">
        <f>VLOOKUP(Table1[[#This Row],[Store_ID]],Store_Dim!$A$3:$D$22,2,FALSE)</f>
        <v>Johnson-Wright-North</v>
      </c>
      <c r="L805" t="s">
        <v>1733</v>
      </c>
      <c r="M805" t="s">
        <v>3960</v>
      </c>
      <c r="N805" s="3">
        <v>727.18</v>
      </c>
      <c r="O805" s="4">
        <v>0.22</v>
      </c>
      <c r="P805" t="s">
        <v>1774</v>
      </c>
      <c r="Q805" s="4">
        <v>1134.4007999999999</v>
      </c>
    </row>
    <row r="806" spans="1:17" x14ac:dyDescent="0.3">
      <c r="A806" t="s">
        <v>2578</v>
      </c>
      <c r="B806" t="str">
        <f t="shared" si="12"/>
        <v>Q2</v>
      </c>
      <c r="C806" t="str">
        <f>TEXT(Table1[[#This Row],[Order_Date]],"mmmm")</f>
        <v>May</v>
      </c>
      <c r="D806">
        <f>YEAR(Table1[[#This Row],[Order_Date]])</f>
        <v>2025</v>
      </c>
      <c r="E806" s="7">
        <v>45778</v>
      </c>
      <c r="F806" s="2" t="str">
        <f>VLOOKUP(Table1[[#This Row],[Customer_ID]],Customer_Dim!$A$2:$H$501,2,FALSE)</f>
        <v>Angela Robinson</v>
      </c>
      <c r="G806" s="2" t="str">
        <f>_xlfn.XLOOKUP(Table1[[#This Row],[Customer_ID]],Customer_Dim!$A$2:$A$501,Customer_Dim!$E$2:$E$501)</f>
        <v>New Nicholasstad</v>
      </c>
      <c r="H806" t="s">
        <v>956</v>
      </c>
      <c r="I806" t="str">
        <f>VLOOKUP(Table1[[#This Row],[Product_ID]],Product_Dim!$A$2:$G$101,2,FALSE)</f>
        <v>Men's Leather Belt-Clothing</v>
      </c>
      <c r="J806" t="s">
        <v>1533</v>
      </c>
      <c r="K806" t="str">
        <f>VLOOKUP(Table1[[#This Row],[Store_ID]],Store_Dim!$A$3:$D$22,2,FALSE)</f>
        <v>Hill, Wagner and Ballard-East</v>
      </c>
      <c r="L806" t="s">
        <v>1748</v>
      </c>
      <c r="M806" t="s">
        <v>3960</v>
      </c>
      <c r="N806" s="3">
        <v>516.02</v>
      </c>
      <c r="O806" s="4">
        <v>0.19</v>
      </c>
      <c r="P806" t="s">
        <v>1777</v>
      </c>
      <c r="Q806" s="4">
        <v>835.95240000000001</v>
      </c>
    </row>
    <row r="807" spans="1:17" x14ac:dyDescent="0.3">
      <c r="A807" t="s">
        <v>2579</v>
      </c>
      <c r="B807" t="str">
        <f t="shared" si="12"/>
        <v>Q1</v>
      </c>
      <c r="C807" t="str">
        <f>TEXT(Table1[[#This Row],[Order_Date]],"mmmm")</f>
        <v>March</v>
      </c>
      <c r="D807">
        <f>YEAR(Table1[[#This Row],[Order_Date]])</f>
        <v>2024</v>
      </c>
      <c r="E807" s="7">
        <v>45361</v>
      </c>
      <c r="F807" s="2" t="str">
        <f>VLOOKUP(Table1[[#This Row],[Customer_ID]],Customer_Dim!$A$2:$H$501,2,FALSE)</f>
        <v>Lisa Chandler</v>
      </c>
      <c r="G807" s="2" t="str">
        <f>_xlfn.XLOOKUP(Table1[[#This Row],[Customer_ID]],Customer_Dim!$A$2:$A$501,Customer_Dim!$E$2:$E$501)</f>
        <v>Port Richard</v>
      </c>
      <c r="H807" t="s">
        <v>923</v>
      </c>
      <c r="I807" t="str">
        <f>VLOOKUP(Table1[[#This Row],[Product_ID]],Product_Dim!$A$2:$G$101,2,FALSE)</f>
        <v>Smart Home WiFi Camera-Electronics</v>
      </c>
      <c r="J807" t="s">
        <v>1607</v>
      </c>
      <c r="K807" t="str">
        <f>VLOOKUP(Table1[[#This Row],[Store_ID]],Store_Dim!$A$3:$D$22,2,FALSE)</f>
        <v>Aguirre-Keller-South</v>
      </c>
      <c r="L807" t="s">
        <v>1750</v>
      </c>
      <c r="M807" t="s">
        <v>3960</v>
      </c>
      <c r="N807" s="3">
        <v>705.61</v>
      </c>
      <c r="O807" s="4">
        <v>0.28000000000000003</v>
      </c>
      <c r="P807" t="s">
        <v>1772</v>
      </c>
      <c r="Q807" s="4">
        <v>1016.0784</v>
      </c>
    </row>
    <row r="808" spans="1:17" x14ac:dyDescent="0.3">
      <c r="A808" t="s">
        <v>2580</v>
      </c>
      <c r="B808" t="str">
        <f t="shared" si="12"/>
        <v>Q2</v>
      </c>
      <c r="C808" t="str">
        <f>TEXT(Table1[[#This Row],[Order_Date]],"mmmm")</f>
        <v>May</v>
      </c>
      <c r="D808">
        <f>YEAR(Table1[[#This Row],[Order_Date]])</f>
        <v>2024</v>
      </c>
      <c r="E808" s="7">
        <v>45414</v>
      </c>
      <c r="F808" s="2" t="str">
        <f>VLOOKUP(Table1[[#This Row],[Customer_ID]],Customer_Dim!$A$2:$H$501,2,FALSE)</f>
        <v>Shannon Miller</v>
      </c>
      <c r="G808" s="2" t="str">
        <f>_xlfn.XLOOKUP(Table1[[#This Row],[Customer_ID]],Customer_Dim!$A$2:$A$501,Customer_Dim!$E$2:$E$501)</f>
        <v>North Austinport</v>
      </c>
      <c r="H808" t="s">
        <v>867</v>
      </c>
      <c r="I808" t="str">
        <f>VLOOKUP(Table1[[#This Row],[Product_ID]],Product_Dim!$A$2:$G$101,2,FALSE)</f>
        <v>Wooden Bookshelf-Home</v>
      </c>
      <c r="J808" t="s">
        <v>1691</v>
      </c>
      <c r="K808" t="str">
        <f>VLOOKUP(Table1[[#This Row],[Store_ID]],Store_Dim!$A$3:$D$22,2,FALSE)</f>
        <v>Bean, Jones and Park-West</v>
      </c>
      <c r="L808" t="s">
        <v>1744</v>
      </c>
      <c r="M808" t="s">
        <v>3958</v>
      </c>
      <c r="N808" s="3">
        <v>654.47</v>
      </c>
      <c r="O808" s="4">
        <v>0.18</v>
      </c>
      <c r="P808" t="s">
        <v>1777</v>
      </c>
      <c r="Q808" s="4">
        <v>1609.9962</v>
      </c>
    </row>
    <row r="809" spans="1:17" x14ac:dyDescent="0.3">
      <c r="A809" t="s">
        <v>2581</v>
      </c>
      <c r="B809" t="str">
        <f t="shared" si="12"/>
        <v>Q1</v>
      </c>
      <c r="C809" t="str">
        <f>TEXT(Table1[[#This Row],[Order_Date]],"mmmm")</f>
        <v>March</v>
      </c>
      <c r="D809">
        <f>YEAR(Table1[[#This Row],[Order_Date]])</f>
        <v>2025</v>
      </c>
      <c r="E809" s="7">
        <v>45734</v>
      </c>
      <c r="F809" s="2" t="str">
        <f>VLOOKUP(Table1[[#This Row],[Customer_ID]],Customer_Dim!$A$2:$H$501,2,FALSE)</f>
        <v>Amy Wilson</v>
      </c>
      <c r="G809" s="2" t="str">
        <f>_xlfn.XLOOKUP(Table1[[#This Row],[Customer_ID]],Customer_Dim!$A$2:$A$501,Customer_Dim!$E$2:$E$501)</f>
        <v>Morrisburgh</v>
      </c>
      <c r="H809" t="s">
        <v>562</v>
      </c>
      <c r="I809" t="str">
        <f>VLOOKUP(Table1[[#This Row],[Product_ID]],Product_Dim!$A$2:$G$101,2,FALSE)</f>
        <v>Sports Wrist Sweatbands-Sports</v>
      </c>
      <c r="J809" t="s">
        <v>1699</v>
      </c>
      <c r="K809" t="str">
        <f>VLOOKUP(Table1[[#This Row],[Store_ID]],Store_Dim!$A$3:$D$22,2,FALSE)</f>
        <v>Shelton PLC-North</v>
      </c>
      <c r="L809" t="s">
        <v>1755</v>
      </c>
      <c r="M809" t="s">
        <v>3960</v>
      </c>
      <c r="N809" s="3">
        <v>315.27</v>
      </c>
      <c r="O809" s="4">
        <v>0.23</v>
      </c>
      <c r="P809" t="s">
        <v>1772</v>
      </c>
      <c r="Q809" s="4">
        <v>485.51580000000001</v>
      </c>
    </row>
    <row r="810" spans="1:17" x14ac:dyDescent="0.3">
      <c r="A810" t="s">
        <v>2582</v>
      </c>
      <c r="B810" t="str">
        <f t="shared" si="12"/>
        <v>Q4</v>
      </c>
      <c r="C810" t="str">
        <f>TEXT(Table1[[#This Row],[Order_Date]],"mmmm")</f>
        <v>November</v>
      </c>
      <c r="D810">
        <f>YEAR(Table1[[#This Row],[Order_Date]])</f>
        <v>2024</v>
      </c>
      <c r="E810" s="7">
        <v>45623</v>
      </c>
      <c r="F810" s="2" t="str">
        <f>VLOOKUP(Table1[[#This Row],[Customer_ID]],Customer_Dim!$A$2:$H$501,2,FALSE)</f>
        <v>Alejandro Doyle</v>
      </c>
      <c r="G810" s="2" t="str">
        <f>_xlfn.XLOOKUP(Table1[[#This Row],[Customer_ID]],Customer_Dim!$A$2:$A$501,Customer_Dim!$E$2:$E$501)</f>
        <v>East Crystalton</v>
      </c>
      <c r="H810" t="s">
        <v>713</v>
      </c>
      <c r="I810" t="str">
        <f>VLOOKUP(Table1[[#This Row],[Product_ID]],Product_Dim!$A$2:$G$101,2,FALSE)</f>
        <v>Sports Stopwatch Timer-Sports</v>
      </c>
      <c r="J810" t="s">
        <v>1579</v>
      </c>
      <c r="K810" t="str">
        <f>VLOOKUP(Table1[[#This Row],[Store_ID]],Store_Dim!$A$3:$D$22,2,FALSE)</f>
        <v>Black-Horn-South</v>
      </c>
      <c r="L810" t="s">
        <v>1730</v>
      </c>
      <c r="M810" t="s">
        <v>3957</v>
      </c>
      <c r="N810" s="3">
        <v>974.47</v>
      </c>
      <c r="O810" s="4">
        <v>0.05</v>
      </c>
      <c r="P810" t="s">
        <v>1772</v>
      </c>
      <c r="Q810" s="4">
        <v>925.74649999999997</v>
      </c>
    </row>
    <row r="811" spans="1:17" x14ac:dyDescent="0.3">
      <c r="A811" t="s">
        <v>2583</v>
      </c>
      <c r="B811" t="str">
        <f t="shared" si="12"/>
        <v>Q1</v>
      </c>
      <c r="C811" t="str">
        <f>TEXT(Table1[[#This Row],[Order_Date]],"mmmm")</f>
        <v>February</v>
      </c>
      <c r="D811">
        <f>YEAR(Table1[[#This Row],[Order_Date]])</f>
        <v>2024</v>
      </c>
      <c r="E811" s="7">
        <v>45340</v>
      </c>
      <c r="F811" s="2" t="str">
        <f>VLOOKUP(Table1[[#This Row],[Customer_ID]],Customer_Dim!$A$2:$H$501,2,FALSE)</f>
        <v>Amber Mcclain</v>
      </c>
      <c r="G811" s="2" t="str">
        <f>_xlfn.XLOOKUP(Table1[[#This Row],[Customer_ID]],Customer_Dim!$A$2:$A$501,Customer_Dim!$E$2:$E$501)</f>
        <v>Brendaburgh</v>
      </c>
      <c r="H811" t="s">
        <v>244</v>
      </c>
      <c r="I811" t="str">
        <f>VLOOKUP(Table1[[#This Row],[Product_ID]],Product_Dim!$A$2:$G$101,2,FALSE)</f>
        <v>Women's Casual Hoodie-Clothing</v>
      </c>
      <c r="J811" t="s">
        <v>1527</v>
      </c>
      <c r="K811" t="str">
        <f>VLOOKUP(Table1[[#This Row],[Store_ID]],Store_Dim!$A$3:$D$22,2,FALSE)</f>
        <v>Alexander Group-South</v>
      </c>
      <c r="L811" t="s">
        <v>1735</v>
      </c>
      <c r="M811" t="s">
        <v>3960</v>
      </c>
      <c r="N811" s="3">
        <v>803.3</v>
      </c>
      <c r="O811" s="4">
        <v>0.17</v>
      </c>
      <c r="P811" t="s">
        <v>1772</v>
      </c>
      <c r="Q811" s="4">
        <v>1333.4780000000001</v>
      </c>
    </row>
    <row r="812" spans="1:17" x14ac:dyDescent="0.3">
      <c r="A812" t="s">
        <v>2584</v>
      </c>
      <c r="B812" t="str">
        <f t="shared" si="12"/>
        <v>Q2</v>
      </c>
      <c r="C812" t="str">
        <f>TEXT(Table1[[#This Row],[Order_Date]],"mmmm")</f>
        <v>June</v>
      </c>
      <c r="D812">
        <f>YEAR(Table1[[#This Row],[Order_Date]])</f>
        <v>2024</v>
      </c>
      <c r="E812" s="7">
        <v>45447</v>
      </c>
      <c r="F812" s="2" t="str">
        <f>VLOOKUP(Table1[[#This Row],[Customer_ID]],Customer_Dim!$A$2:$H$501,2,FALSE)</f>
        <v>Nathan Hernandez</v>
      </c>
      <c r="G812" s="2" t="str">
        <f>_xlfn.XLOOKUP(Table1[[#This Row],[Customer_ID]],Customer_Dim!$A$2:$A$501,Customer_Dim!$E$2:$E$501)</f>
        <v>New Becky</v>
      </c>
      <c r="H812" t="s">
        <v>63</v>
      </c>
      <c r="I812" t="str">
        <f>VLOOKUP(Table1[[#This Row],[Product_ID]],Product_Dim!$A$2:$G$101,2,FALSE)</f>
        <v>Women's Casual Hoodie-Clothing</v>
      </c>
      <c r="J812" t="s">
        <v>1527</v>
      </c>
      <c r="K812" t="str">
        <f>VLOOKUP(Table1[[#This Row],[Store_ID]],Store_Dim!$A$3:$D$22,2,FALSE)</f>
        <v>Hill, Wagner and Ballard-East</v>
      </c>
      <c r="L812" t="s">
        <v>1748</v>
      </c>
      <c r="M812" t="s">
        <v>3959</v>
      </c>
      <c r="N812" s="3">
        <v>863.87</v>
      </c>
      <c r="O812" s="4">
        <v>0.21</v>
      </c>
      <c r="P812" t="s">
        <v>1777</v>
      </c>
      <c r="Q812" s="4">
        <v>2729.8292000000001</v>
      </c>
    </row>
    <row r="813" spans="1:17" x14ac:dyDescent="0.3">
      <c r="A813" t="s">
        <v>2585</v>
      </c>
      <c r="B813" t="str">
        <f t="shared" si="12"/>
        <v>Q3</v>
      </c>
      <c r="C813" t="str">
        <f>TEXT(Table1[[#This Row],[Order_Date]],"mmmm")</f>
        <v>August</v>
      </c>
      <c r="D813">
        <f>YEAR(Table1[[#This Row],[Order_Date]])</f>
        <v>2024</v>
      </c>
      <c r="E813" s="7">
        <v>45513</v>
      </c>
      <c r="F813" s="2" t="str">
        <f>VLOOKUP(Table1[[#This Row],[Customer_ID]],Customer_Dim!$A$2:$H$501,2,FALSE)</f>
        <v>James Foster</v>
      </c>
      <c r="G813" s="2" t="str">
        <f>_xlfn.XLOOKUP(Table1[[#This Row],[Customer_ID]],Customer_Dim!$A$2:$A$501,Customer_Dim!$E$2:$E$501)</f>
        <v>East Audrey</v>
      </c>
      <c r="H813" t="s">
        <v>1430</v>
      </c>
      <c r="I813" t="str">
        <f>VLOOKUP(Table1[[#This Row],[Product_ID]],Product_Dim!$A$2:$G$101,2,FALSE)</f>
        <v>Wall-Mounted Spice Rack-Home</v>
      </c>
      <c r="J813" t="s">
        <v>1683</v>
      </c>
      <c r="K813" t="str">
        <f>VLOOKUP(Table1[[#This Row],[Store_ID]],Store_Dim!$A$3:$D$22,2,FALSE)</f>
        <v>Guerrero-Schmitt-East</v>
      </c>
      <c r="L813" t="s">
        <v>1761</v>
      </c>
      <c r="M813" t="s">
        <v>3957</v>
      </c>
      <c r="N813" s="3">
        <v>450.11</v>
      </c>
      <c r="O813" s="4">
        <v>0.17</v>
      </c>
      <c r="P813" t="s">
        <v>1772</v>
      </c>
      <c r="Q813" s="4">
        <v>373.59129999999999</v>
      </c>
    </row>
    <row r="814" spans="1:17" x14ac:dyDescent="0.3">
      <c r="A814" t="s">
        <v>2586</v>
      </c>
      <c r="B814" t="str">
        <f t="shared" si="12"/>
        <v>Q3</v>
      </c>
      <c r="C814" t="str">
        <f>TEXT(Table1[[#This Row],[Order_Date]],"mmmm")</f>
        <v>July</v>
      </c>
      <c r="D814">
        <f>YEAR(Table1[[#This Row],[Order_Date]])</f>
        <v>2024</v>
      </c>
      <c r="E814" s="7">
        <v>45486</v>
      </c>
      <c r="F814" s="2" t="str">
        <f>VLOOKUP(Table1[[#This Row],[Customer_ID]],Customer_Dim!$A$2:$H$501,2,FALSE)</f>
        <v>Timothy Sanders</v>
      </c>
      <c r="G814" s="2" t="str">
        <f>_xlfn.XLOOKUP(Table1[[#This Row],[Customer_ID]],Customer_Dim!$A$2:$A$501,Customer_Dim!$E$2:$E$501)</f>
        <v>Aaronmouth</v>
      </c>
      <c r="H814" t="s">
        <v>734</v>
      </c>
      <c r="I814" t="str">
        <f>VLOOKUP(Table1[[#This Row],[Product_ID]],Product_Dim!$A$2:$G$101,2,FALSE)</f>
        <v>Wooden Nightstand-Home</v>
      </c>
      <c r="J814" t="s">
        <v>1659</v>
      </c>
      <c r="K814" t="str">
        <f>VLOOKUP(Table1[[#This Row],[Store_ID]],Store_Dim!$A$3:$D$22,2,FALSE)</f>
        <v>Gardner, Humphrey and Contreras-East</v>
      </c>
      <c r="L814" t="s">
        <v>1753</v>
      </c>
      <c r="M814" t="s">
        <v>3957</v>
      </c>
      <c r="N814" s="3">
        <v>289.82</v>
      </c>
      <c r="O814" s="4">
        <v>0.18</v>
      </c>
      <c r="P814" t="s">
        <v>1777</v>
      </c>
      <c r="Q814" s="4">
        <v>237.6524</v>
      </c>
    </row>
    <row r="815" spans="1:17" x14ac:dyDescent="0.3">
      <c r="A815" t="s">
        <v>2587</v>
      </c>
      <c r="B815" t="str">
        <f t="shared" si="12"/>
        <v>Q3</v>
      </c>
      <c r="C815" t="str">
        <f>TEXT(Table1[[#This Row],[Order_Date]],"mmmm")</f>
        <v>August</v>
      </c>
      <c r="D815">
        <f>YEAR(Table1[[#This Row],[Order_Date]])</f>
        <v>2025</v>
      </c>
      <c r="E815" s="7">
        <v>45890</v>
      </c>
      <c r="F815" s="2" t="str">
        <f>VLOOKUP(Table1[[#This Row],[Customer_ID]],Customer_Dim!$A$2:$H$501,2,FALSE)</f>
        <v>Mr. Christopher Sims</v>
      </c>
      <c r="G815" s="2" t="str">
        <f>_xlfn.XLOOKUP(Table1[[#This Row],[Customer_ID]],Customer_Dim!$A$2:$A$501,Customer_Dim!$E$2:$E$501)</f>
        <v>Donaldsontown</v>
      </c>
      <c r="H815" t="s">
        <v>1039</v>
      </c>
      <c r="I815" t="str">
        <f>VLOOKUP(Table1[[#This Row],[Product_ID]],Product_Dim!$A$2:$G$101,2,FALSE)</f>
        <v>Sports Stopwatch Pro-Sports</v>
      </c>
      <c r="J815" t="s">
        <v>1631</v>
      </c>
      <c r="K815" t="str">
        <f>VLOOKUP(Table1[[#This Row],[Store_ID]],Store_Dim!$A$3:$D$22,2,FALSE)</f>
        <v>Hill, Wagner and Ballard-East</v>
      </c>
      <c r="L815" t="s">
        <v>1748</v>
      </c>
      <c r="M815" t="s">
        <v>3959</v>
      </c>
      <c r="N815" s="3">
        <v>250.64</v>
      </c>
      <c r="O815" s="4">
        <v>0.1</v>
      </c>
      <c r="P815" t="s">
        <v>1774</v>
      </c>
      <c r="Q815" s="4">
        <v>902.30399999999997</v>
      </c>
    </row>
    <row r="816" spans="1:17" x14ac:dyDescent="0.3">
      <c r="A816" t="s">
        <v>2588</v>
      </c>
      <c r="B816" t="str">
        <f t="shared" si="12"/>
        <v>Q3</v>
      </c>
      <c r="C816" t="str">
        <f>TEXT(Table1[[#This Row],[Order_Date]],"mmmm")</f>
        <v>August</v>
      </c>
      <c r="D816">
        <f>YEAR(Table1[[#This Row],[Order_Date]])</f>
        <v>2025</v>
      </c>
      <c r="E816" s="7">
        <v>45876</v>
      </c>
      <c r="F816" s="2" t="str">
        <f>VLOOKUP(Table1[[#This Row],[Customer_ID]],Customer_Dim!$A$2:$H$501,2,FALSE)</f>
        <v>Cynthia Roberts</v>
      </c>
      <c r="G816" s="2" t="str">
        <f>_xlfn.XLOOKUP(Table1[[#This Row],[Customer_ID]],Customer_Dim!$A$2:$A$501,Customer_Dim!$E$2:$E$501)</f>
        <v>Millerfort</v>
      </c>
      <c r="H816" t="s">
        <v>903</v>
      </c>
      <c r="I816" t="str">
        <f>VLOOKUP(Table1[[#This Row],[Product_ID]],Product_Dim!$A$2:$G$101,2,FALSE)</f>
        <v>Men's Sports Shorts-Clothing</v>
      </c>
      <c r="J816" t="s">
        <v>1661</v>
      </c>
      <c r="K816" t="str">
        <f>VLOOKUP(Table1[[#This Row],[Store_ID]],Store_Dim!$A$3:$D$22,2,FALSE)</f>
        <v>Mann-Austin-East</v>
      </c>
      <c r="L816" t="s">
        <v>1763</v>
      </c>
      <c r="M816" t="s">
        <v>3959</v>
      </c>
      <c r="N816" s="3">
        <v>373.49</v>
      </c>
      <c r="O816" s="4">
        <v>0.16</v>
      </c>
      <c r="P816" t="s">
        <v>1777</v>
      </c>
      <c r="Q816" s="4">
        <v>1254.9264000000001</v>
      </c>
    </row>
    <row r="817" spans="1:17" x14ac:dyDescent="0.3">
      <c r="A817" t="s">
        <v>2589</v>
      </c>
      <c r="B817" t="str">
        <f t="shared" si="12"/>
        <v>Q2</v>
      </c>
      <c r="C817" t="str">
        <f>TEXT(Table1[[#This Row],[Order_Date]],"mmmm")</f>
        <v>April</v>
      </c>
      <c r="D817">
        <f>YEAR(Table1[[#This Row],[Order_Date]])</f>
        <v>2024</v>
      </c>
      <c r="E817" s="7">
        <v>45398</v>
      </c>
      <c r="F817" s="2" t="str">
        <f>VLOOKUP(Table1[[#This Row],[Customer_ID]],Customer_Dim!$A$2:$H$501,2,FALSE)</f>
        <v>Cody Diaz</v>
      </c>
      <c r="G817" s="2" t="str">
        <f>_xlfn.XLOOKUP(Table1[[#This Row],[Customer_ID]],Customer_Dim!$A$2:$A$501,Customer_Dim!$E$2:$E$501)</f>
        <v>South Aaronside</v>
      </c>
      <c r="H817" t="s">
        <v>241</v>
      </c>
      <c r="I817" t="str">
        <f>VLOOKUP(Table1[[#This Row],[Product_ID]],Product_Dim!$A$2:$G$101,2,FALSE)</f>
        <v>Men's Running Jacket-Clothing</v>
      </c>
      <c r="J817" t="s">
        <v>1529</v>
      </c>
      <c r="K817" t="str">
        <f>VLOOKUP(Table1[[#This Row],[Store_ID]],Store_Dim!$A$3:$D$22,2,FALSE)</f>
        <v>Moore, Padilla and Butler-South</v>
      </c>
      <c r="L817" t="s">
        <v>1746</v>
      </c>
      <c r="M817" t="s">
        <v>3959</v>
      </c>
      <c r="N817" s="3">
        <v>348.91</v>
      </c>
      <c r="O817" s="4">
        <v>0.18</v>
      </c>
      <c r="P817" t="s">
        <v>1774</v>
      </c>
      <c r="Q817" s="4">
        <v>1144.4248</v>
      </c>
    </row>
    <row r="818" spans="1:17" x14ac:dyDescent="0.3">
      <c r="A818" t="s">
        <v>2590</v>
      </c>
      <c r="B818" t="str">
        <f t="shared" si="12"/>
        <v>Q2</v>
      </c>
      <c r="C818" t="str">
        <f>TEXT(Table1[[#This Row],[Order_Date]],"mmmm")</f>
        <v>April</v>
      </c>
      <c r="D818">
        <f>YEAR(Table1[[#This Row],[Order_Date]])</f>
        <v>2024</v>
      </c>
      <c r="E818" s="7">
        <v>45390</v>
      </c>
      <c r="F818" s="2" t="str">
        <f>VLOOKUP(Table1[[#This Row],[Customer_ID]],Customer_Dim!$A$2:$H$501,2,FALSE)</f>
        <v>Ashley Griffin</v>
      </c>
      <c r="G818" s="2" t="str">
        <f>_xlfn.XLOOKUP(Table1[[#This Row],[Customer_ID]],Customer_Dim!$A$2:$A$501,Customer_Dim!$E$2:$E$501)</f>
        <v>New Dawnton</v>
      </c>
      <c r="H818" t="s">
        <v>382</v>
      </c>
      <c r="I818" t="str">
        <f>VLOOKUP(Table1[[#This Row],[Product_ID]],Product_Dim!$A$2:$G$101,2,FALSE)</f>
        <v>Vitamin E Body Lotion-Beauty</v>
      </c>
      <c r="J818" t="s">
        <v>1711</v>
      </c>
      <c r="K818" t="str">
        <f>VLOOKUP(Table1[[#This Row],[Store_ID]],Store_Dim!$A$3:$D$22,2,FALSE)</f>
        <v>Holloway Ltd-North</v>
      </c>
      <c r="L818" t="s">
        <v>1759</v>
      </c>
      <c r="M818" t="s">
        <v>3959</v>
      </c>
      <c r="N818" s="3">
        <v>212.96</v>
      </c>
      <c r="O818" s="4">
        <v>0.17</v>
      </c>
      <c r="P818" t="s">
        <v>1772</v>
      </c>
      <c r="Q818" s="4">
        <v>707.02719999999999</v>
      </c>
    </row>
    <row r="819" spans="1:17" x14ac:dyDescent="0.3">
      <c r="A819" t="s">
        <v>2591</v>
      </c>
      <c r="B819" t="str">
        <f t="shared" si="12"/>
        <v>Q2</v>
      </c>
      <c r="C819" t="str">
        <f>TEXT(Table1[[#This Row],[Order_Date]],"mmmm")</f>
        <v>April</v>
      </c>
      <c r="D819">
        <f>YEAR(Table1[[#This Row],[Order_Date]])</f>
        <v>2024</v>
      </c>
      <c r="E819" s="7">
        <v>45406</v>
      </c>
      <c r="F819" s="2" t="str">
        <f>VLOOKUP(Table1[[#This Row],[Customer_ID]],Customer_Dim!$A$2:$H$501,2,FALSE)</f>
        <v>Christopher Stewart</v>
      </c>
      <c r="G819" s="2" t="str">
        <f>_xlfn.XLOOKUP(Table1[[#This Row],[Customer_ID]],Customer_Dim!$A$2:$A$501,Customer_Dim!$E$2:$E$501)</f>
        <v>Amandaside</v>
      </c>
      <c r="H819" t="s">
        <v>619</v>
      </c>
      <c r="I819" t="str">
        <f>VLOOKUP(Table1[[#This Row],[Product_ID]],Product_Dim!$A$2:$G$101,2,FALSE)</f>
        <v>Decorative Floor Vase-Home</v>
      </c>
      <c r="J819" t="s">
        <v>1577</v>
      </c>
      <c r="K819" t="str">
        <f>VLOOKUP(Table1[[#This Row],[Store_ID]],Store_Dim!$A$3:$D$22,2,FALSE)</f>
        <v>Mann-Austin-East</v>
      </c>
      <c r="L819" t="s">
        <v>1763</v>
      </c>
      <c r="M819" t="s">
        <v>3958</v>
      </c>
      <c r="N819" s="3">
        <v>871.34</v>
      </c>
      <c r="O819" s="4">
        <v>0.11</v>
      </c>
      <c r="P819" t="s">
        <v>1777</v>
      </c>
      <c r="Q819" s="4">
        <v>2326.4778000000001</v>
      </c>
    </row>
    <row r="820" spans="1:17" x14ac:dyDescent="0.3">
      <c r="A820" t="s">
        <v>2592</v>
      </c>
      <c r="B820" t="str">
        <f t="shared" si="12"/>
        <v>Q3</v>
      </c>
      <c r="C820" t="str">
        <f>TEXT(Table1[[#This Row],[Order_Date]],"mmmm")</f>
        <v>July</v>
      </c>
      <c r="D820">
        <f>YEAR(Table1[[#This Row],[Order_Date]])</f>
        <v>2025</v>
      </c>
      <c r="E820" s="7">
        <v>45844</v>
      </c>
      <c r="F820" s="2" t="str">
        <f>VLOOKUP(Table1[[#This Row],[Customer_ID]],Customer_Dim!$A$2:$H$501,2,FALSE)</f>
        <v>Diane Watson</v>
      </c>
      <c r="G820" s="2" t="str">
        <f>_xlfn.XLOOKUP(Table1[[#This Row],[Customer_ID]],Customer_Dim!$A$2:$A$501,Customer_Dim!$E$2:$E$501)</f>
        <v>North Codyport</v>
      </c>
      <c r="H820" t="s">
        <v>351</v>
      </c>
      <c r="I820" t="str">
        <f>VLOOKUP(Table1[[#This Row],[Product_ID]],Product_Dim!$A$2:$G$101,2,FALSE)</f>
        <v>Vitamin E Body Lotion-Beauty</v>
      </c>
      <c r="J820" t="s">
        <v>1711</v>
      </c>
      <c r="K820" t="str">
        <f>VLOOKUP(Table1[[#This Row],[Store_ID]],Store_Dim!$A$3:$D$22,2,FALSE)</f>
        <v>Rivera-Warner-East</v>
      </c>
      <c r="L820" t="s">
        <v>1725</v>
      </c>
      <c r="M820" t="s">
        <v>3960</v>
      </c>
      <c r="N820" s="3">
        <v>698.94</v>
      </c>
      <c r="O820" s="4">
        <v>0.06</v>
      </c>
      <c r="P820" t="s">
        <v>1772</v>
      </c>
      <c r="Q820" s="4">
        <v>1314.0072</v>
      </c>
    </row>
    <row r="821" spans="1:17" x14ac:dyDescent="0.3">
      <c r="A821" t="s">
        <v>2593</v>
      </c>
      <c r="B821" t="str">
        <f t="shared" si="12"/>
        <v>Q1</v>
      </c>
      <c r="C821" t="str">
        <f>TEXT(Table1[[#This Row],[Order_Date]],"mmmm")</f>
        <v>February</v>
      </c>
      <c r="D821">
        <f>YEAR(Table1[[#This Row],[Order_Date]])</f>
        <v>2025</v>
      </c>
      <c r="E821" s="7">
        <v>45697</v>
      </c>
      <c r="F821" s="2" t="str">
        <f>VLOOKUP(Table1[[#This Row],[Customer_ID]],Customer_Dim!$A$2:$H$501,2,FALSE)</f>
        <v>Robert House</v>
      </c>
      <c r="G821" s="2" t="str">
        <f>_xlfn.XLOOKUP(Table1[[#This Row],[Customer_ID]],Customer_Dim!$A$2:$A$501,Customer_Dim!$E$2:$E$501)</f>
        <v>Lake James</v>
      </c>
      <c r="H821" t="s">
        <v>986</v>
      </c>
      <c r="I821" t="str">
        <f>VLOOKUP(Table1[[#This Row],[Product_ID]],Product_Dim!$A$2:$G$101,2,FALSE)</f>
        <v>Bluetooth Car Audio System-Electronics</v>
      </c>
      <c r="J821" t="s">
        <v>1671</v>
      </c>
      <c r="K821" t="str">
        <f>VLOOKUP(Table1[[#This Row],[Store_ID]],Store_Dim!$A$3:$D$22,2,FALSE)</f>
        <v>Rivera-Warner-East</v>
      </c>
      <c r="L821" t="s">
        <v>1725</v>
      </c>
      <c r="M821" t="s">
        <v>3957</v>
      </c>
      <c r="N821" s="3">
        <v>719.94</v>
      </c>
      <c r="O821" s="4">
        <v>0.23</v>
      </c>
      <c r="P821" t="s">
        <v>1777</v>
      </c>
      <c r="Q821" s="4">
        <v>554.35380000000009</v>
      </c>
    </row>
    <row r="822" spans="1:17" x14ac:dyDescent="0.3">
      <c r="A822" t="s">
        <v>2594</v>
      </c>
      <c r="B822" t="str">
        <f t="shared" si="12"/>
        <v>Q4</v>
      </c>
      <c r="C822" t="str">
        <f>TEXT(Table1[[#This Row],[Order_Date]],"mmmm")</f>
        <v>November</v>
      </c>
      <c r="D822">
        <f>YEAR(Table1[[#This Row],[Order_Date]])</f>
        <v>2024</v>
      </c>
      <c r="E822" s="7">
        <v>45607</v>
      </c>
      <c r="F822" s="2" t="str">
        <f>VLOOKUP(Table1[[#This Row],[Customer_ID]],Customer_Dim!$A$2:$H$501,2,FALSE)</f>
        <v>Amber Jackson</v>
      </c>
      <c r="G822" s="2" t="str">
        <f>_xlfn.XLOOKUP(Table1[[#This Row],[Customer_ID]],Customer_Dim!$A$2:$A$501,Customer_Dim!$E$2:$E$501)</f>
        <v>Deborahborough</v>
      </c>
      <c r="H822" t="s">
        <v>36</v>
      </c>
      <c r="I822" t="str">
        <f>VLOOKUP(Table1[[#This Row],[Product_ID]],Product_Dim!$A$2:$G$101,2,FALSE)</f>
        <v>Sports Stopwatch Timer-Sports</v>
      </c>
      <c r="J822" t="s">
        <v>1579</v>
      </c>
      <c r="K822" t="str">
        <f>VLOOKUP(Table1[[#This Row],[Store_ID]],Store_Dim!$A$3:$D$22,2,FALSE)</f>
        <v>Alexander Group-South</v>
      </c>
      <c r="L822" t="s">
        <v>1735</v>
      </c>
      <c r="M822" t="s">
        <v>3960</v>
      </c>
      <c r="N822" s="3">
        <v>278.16000000000003</v>
      </c>
      <c r="O822" s="4">
        <v>0.22</v>
      </c>
      <c r="P822" t="s">
        <v>1774</v>
      </c>
      <c r="Q822" s="4">
        <v>433.92960000000011</v>
      </c>
    </row>
    <row r="823" spans="1:17" x14ac:dyDescent="0.3">
      <c r="A823" t="s">
        <v>2595</v>
      </c>
      <c r="B823" t="str">
        <f t="shared" si="12"/>
        <v>Q1</v>
      </c>
      <c r="C823" t="str">
        <f>TEXT(Table1[[#This Row],[Order_Date]],"mmmm")</f>
        <v>January</v>
      </c>
      <c r="D823">
        <f>YEAR(Table1[[#This Row],[Order_Date]])</f>
        <v>2024</v>
      </c>
      <c r="E823" s="7">
        <v>45307</v>
      </c>
      <c r="F823" s="2" t="str">
        <f>VLOOKUP(Table1[[#This Row],[Customer_ID]],Customer_Dim!$A$2:$H$501,2,FALSE)</f>
        <v>Sharon Brown</v>
      </c>
      <c r="G823" s="2" t="str">
        <f>_xlfn.XLOOKUP(Table1[[#This Row],[Customer_ID]],Customer_Dim!$A$2:$A$501,Customer_Dim!$E$2:$E$501)</f>
        <v>East Andrea</v>
      </c>
      <c r="H823" t="s">
        <v>199</v>
      </c>
      <c r="I823" t="str">
        <f>VLOOKUP(Table1[[#This Row],[Product_ID]],Product_Dim!$A$2:$G$101,2,FALSE)</f>
        <v>Men's Roll-On Perfume-Beauty</v>
      </c>
      <c r="J823" t="s">
        <v>1621</v>
      </c>
      <c r="K823" t="str">
        <f>VLOOKUP(Table1[[#This Row],[Store_ID]],Store_Dim!$A$3:$D$22,2,FALSE)</f>
        <v>Gray Ltd-North</v>
      </c>
      <c r="L823" t="s">
        <v>1738</v>
      </c>
      <c r="M823" t="s">
        <v>3957</v>
      </c>
      <c r="N823" s="3">
        <v>678.9</v>
      </c>
      <c r="O823" s="4">
        <v>0.17</v>
      </c>
      <c r="P823" t="s">
        <v>1772</v>
      </c>
      <c r="Q823" s="4">
        <v>563.48699999999997</v>
      </c>
    </row>
    <row r="824" spans="1:17" x14ac:dyDescent="0.3">
      <c r="A824" t="s">
        <v>2596</v>
      </c>
      <c r="B824" t="str">
        <f t="shared" si="12"/>
        <v>Q3</v>
      </c>
      <c r="C824" t="str">
        <f>TEXT(Table1[[#This Row],[Order_Date]],"mmmm")</f>
        <v>August</v>
      </c>
      <c r="D824">
        <f>YEAR(Table1[[#This Row],[Order_Date]])</f>
        <v>2024</v>
      </c>
      <c r="E824" s="7">
        <v>45520</v>
      </c>
      <c r="F824" s="2" t="str">
        <f>VLOOKUP(Table1[[#This Row],[Customer_ID]],Customer_Dim!$A$2:$H$501,2,FALSE)</f>
        <v>Laura Alvarez</v>
      </c>
      <c r="G824" s="2" t="str">
        <f>_xlfn.XLOOKUP(Table1[[#This Row],[Customer_ID]],Customer_Dim!$A$2:$A$501,Customer_Dim!$E$2:$E$501)</f>
        <v>Lawsonhaven</v>
      </c>
      <c r="H824" t="s">
        <v>71</v>
      </c>
      <c r="I824" t="str">
        <f>VLOOKUP(Table1[[#This Row],[Product_ID]],Product_Dim!$A$2:$G$101,2,FALSE)</f>
        <v>Women's Scarf Set-Clothing</v>
      </c>
      <c r="J824" t="s">
        <v>1573</v>
      </c>
      <c r="K824" t="str">
        <f>VLOOKUP(Table1[[#This Row],[Store_ID]],Store_Dim!$A$3:$D$22,2,FALSE)</f>
        <v>Shelton PLC-North</v>
      </c>
      <c r="L824" t="s">
        <v>1755</v>
      </c>
      <c r="M824" t="s">
        <v>3959</v>
      </c>
      <c r="N824" s="3">
        <v>94.13</v>
      </c>
      <c r="O824" s="4">
        <v>0.15</v>
      </c>
      <c r="P824" t="s">
        <v>1772</v>
      </c>
      <c r="Q824" s="4">
        <v>320.04199999999997</v>
      </c>
    </row>
    <row r="825" spans="1:17" x14ac:dyDescent="0.3">
      <c r="A825" t="s">
        <v>2597</v>
      </c>
      <c r="B825" t="str">
        <f t="shared" si="12"/>
        <v>Q4</v>
      </c>
      <c r="C825" t="str">
        <f>TEXT(Table1[[#This Row],[Order_Date]],"mmmm")</f>
        <v>October</v>
      </c>
      <c r="D825">
        <f>YEAR(Table1[[#This Row],[Order_Date]])</f>
        <v>2025</v>
      </c>
      <c r="E825" s="7">
        <v>45933</v>
      </c>
      <c r="F825" s="2" t="str">
        <f>VLOOKUP(Table1[[#This Row],[Customer_ID]],Customer_Dim!$A$2:$H$501,2,FALSE)</f>
        <v>Dalton Walters</v>
      </c>
      <c r="G825" s="2" t="str">
        <f>_xlfn.XLOOKUP(Table1[[#This Row],[Customer_ID]],Customer_Dim!$A$2:$A$501,Customer_Dim!$E$2:$E$501)</f>
        <v>Jonesstad</v>
      </c>
      <c r="H825" t="s">
        <v>1349</v>
      </c>
      <c r="I825" t="str">
        <f>VLOOKUP(Table1[[#This Row],[Product_ID]],Product_Dim!$A$2:$G$101,2,FALSE)</f>
        <v>Adjustable Jump Rope-Sports</v>
      </c>
      <c r="J825" t="s">
        <v>1611</v>
      </c>
      <c r="K825" t="str">
        <f>VLOOKUP(Table1[[#This Row],[Store_ID]],Store_Dim!$A$3:$D$22,2,FALSE)</f>
        <v>Martinez, Adkins and Johnson-North</v>
      </c>
      <c r="L825" t="s">
        <v>1728</v>
      </c>
      <c r="M825" t="s">
        <v>3959</v>
      </c>
      <c r="N825" s="3">
        <v>415.02</v>
      </c>
      <c r="O825" s="4">
        <v>0.01</v>
      </c>
      <c r="P825" t="s">
        <v>1774</v>
      </c>
      <c r="Q825" s="4">
        <v>1643.4792</v>
      </c>
    </row>
    <row r="826" spans="1:17" x14ac:dyDescent="0.3">
      <c r="A826" t="s">
        <v>2598</v>
      </c>
      <c r="B826" t="str">
        <f t="shared" si="12"/>
        <v>Q3</v>
      </c>
      <c r="C826" t="str">
        <f>TEXT(Table1[[#This Row],[Order_Date]],"mmmm")</f>
        <v>July</v>
      </c>
      <c r="D826">
        <f>YEAR(Table1[[#This Row],[Order_Date]])</f>
        <v>2025</v>
      </c>
      <c r="E826" s="7">
        <v>45841</v>
      </c>
      <c r="F826" s="2" t="str">
        <f>VLOOKUP(Table1[[#This Row],[Customer_ID]],Customer_Dim!$A$2:$H$501,2,FALSE)</f>
        <v>Sarah Rodgers</v>
      </c>
      <c r="G826" s="2" t="str">
        <f>_xlfn.XLOOKUP(Table1[[#This Row],[Customer_ID]],Customer_Dim!$A$2:$A$501,Customer_Dim!$E$2:$E$501)</f>
        <v>New Julia</v>
      </c>
      <c r="H826" t="s">
        <v>192</v>
      </c>
      <c r="I826" t="str">
        <f>VLOOKUP(Table1[[#This Row],[Product_ID]],Product_Dim!$A$2:$G$101,2,FALSE)</f>
        <v>HD Smart TV Stick-Electronics</v>
      </c>
      <c r="J826" t="s">
        <v>1545</v>
      </c>
      <c r="K826" t="str">
        <f>VLOOKUP(Table1[[#This Row],[Store_ID]],Store_Dim!$A$3:$D$22,2,FALSE)</f>
        <v>Alexander Group-South</v>
      </c>
      <c r="L826" t="s">
        <v>1735</v>
      </c>
      <c r="M826" t="s">
        <v>3959</v>
      </c>
      <c r="N826" s="3">
        <v>780.07</v>
      </c>
      <c r="O826" s="4">
        <v>0.03</v>
      </c>
      <c r="P826" t="s">
        <v>1772</v>
      </c>
      <c r="Q826" s="4">
        <v>3026.6716000000001</v>
      </c>
    </row>
    <row r="827" spans="1:17" x14ac:dyDescent="0.3">
      <c r="A827" t="s">
        <v>2599</v>
      </c>
      <c r="B827" t="str">
        <f t="shared" si="12"/>
        <v>Q3</v>
      </c>
      <c r="C827" t="str">
        <f>TEXT(Table1[[#This Row],[Order_Date]],"mmmm")</f>
        <v>August</v>
      </c>
      <c r="D827">
        <f>YEAR(Table1[[#This Row],[Order_Date]])</f>
        <v>2025</v>
      </c>
      <c r="E827" s="7">
        <v>45877</v>
      </c>
      <c r="F827" s="2" t="str">
        <f>VLOOKUP(Table1[[#This Row],[Customer_ID]],Customer_Dim!$A$2:$H$501,2,FALSE)</f>
        <v>Samuel Mullins</v>
      </c>
      <c r="G827" s="2" t="str">
        <f>_xlfn.XLOOKUP(Table1[[#This Row],[Customer_ID]],Customer_Dim!$A$2:$A$501,Customer_Dim!$E$2:$E$501)</f>
        <v>Hartmouth</v>
      </c>
      <c r="H827" t="s">
        <v>1312</v>
      </c>
      <c r="I827" t="str">
        <f>VLOOKUP(Table1[[#This Row],[Product_ID]],Product_Dim!$A$2:$G$101,2,FALSE)</f>
        <v>Men's Casual Sneakers-Clothing</v>
      </c>
      <c r="J827" t="s">
        <v>1597</v>
      </c>
      <c r="K827" t="str">
        <f>VLOOKUP(Table1[[#This Row],[Store_ID]],Store_Dim!$A$3:$D$22,2,FALSE)</f>
        <v>Shelton PLC-North</v>
      </c>
      <c r="L827" t="s">
        <v>1755</v>
      </c>
      <c r="M827" t="s">
        <v>3959</v>
      </c>
      <c r="N827" s="3">
        <v>184.57</v>
      </c>
      <c r="O827" s="4">
        <v>0.28000000000000003</v>
      </c>
      <c r="P827" t="s">
        <v>1772</v>
      </c>
      <c r="Q827" s="4">
        <v>531.5616</v>
      </c>
    </row>
    <row r="828" spans="1:17" x14ac:dyDescent="0.3">
      <c r="A828" t="s">
        <v>2600</v>
      </c>
      <c r="B828" t="str">
        <f t="shared" si="12"/>
        <v>Q3</v>
      </c>
      <c r="C828" t="str">
        <f>TEXT(Table1[[#This Row],[Order_Date]],"mmmm")</f>
        <v>August</v>
      </c>
      <c r="D828">
        <f>YEAR(Table1[[#This Row],[Order_Date]])</f>
        <v>2024</v>
      </c>
      <c r="E828" s="7">
        <v>45532</v>
      </c>
      <c r="F828" s="2" t="str">
        <f>VLOOKUP(Table1[[#This Row],[Customer_ID]],Customer_Dim!$A$2:$H$501,2,FALSE)</f>
        <v>Cynthia Roberts</v>
      </c>
      <c r="G828" s="2" t="str">
        <f>_xlfn.XLOOKUP(Table1[[#This Row],[Customer_ID]],Customer_Dim!$A$2:$A$501,Customer_Dim!$E$2:$E$501)</f>
        <v>Millerfort</v>
      </c>
      <c r="H828" t="s">
        <v>903</v>
      </c>
      <c r="I828" t="str">
        <f>VLOOKUP(Table1[[#This Row],[Product_ID]],Product_Dim!$A$2:$G$101,2,FALSE)</f>
        <v>Adjustable Dumbbells 20kg-Sports</v>
      </c>
      <c r="J828" t="s">
        <v>1653</v>
      </c>
      <c r="K828" t="str">
        <f>VLOOKUP(Table1[[#This Row],[Store_ID]],Store_Dim!$A$3:$D$22,2,FALSE)</f>
        <v>Alexander Group-South</v>
      </c>
      <c r="L828" t="s">
        <v>1735</v>
      </c>
      <c r="M828" t="s">
        <v>3959</v>
      </c>
      <c r="N828" s="3">
        <v>277.58</v>
      </c>
      <c r="O828" s="4">
        <v>0.22</v>
      </c>
      <c r="P828" t="s">
        <v>1774</v>
      </c>
      <c r="Q828" s="4">
        <v>866.04959999999994</v>
      </c>
    </row>
    <row r="829" spans="1:17" x14ac:dyDescent="0.3">
      <c r="A829" t="s">
        <v>2601</v>
      </c>
      <c r="B829" t="str">
        <f t="shared" si="12"/>
        <v>Q1</v>
      </c>
      <c r="C829" t="str">
        <f>TEXT(Table1[[#This Row],[Order_Date]],"mmmm")</f>
        <v>March</v>
      </c>
      <c r="D829">
        <f>YEAR(Table1[[#This Row],[Order_Date]])</f>
        <v>2025</v>
      </c>
      <c r="E829" s="7">
        <v>45734</v>
      </c>
      <c r="F829" s="2" t="str">
        <f>VLOOKUP(Table1[[#This Row],[Customer_ID]],Customer_Dim!$A$2:$H$501,2,FALSE)</f>
        <v>Christopher Lester</v>
      </c>
      <c r="G829" s="2" t="str">
        <f>_xlfn.XLOOKUP(Table1[[#This Row],[Customer_ID]],Customer_Dim!$A$2:$A$501,Customer_Dim!$E$2:$E$501)</f>
        <v>South Jenniferville</v>
      </c>
      <c r="H829" t="s">
        <v>364</v>
      </c>
      <c r="I829" t="str">
        <f>VLOOKUP(Table1[[#This Row],[Product_ID]],Product_Dim!$A$2:$G$101,2,FALSE)</f>
        <v>Basketball-Sports</v>
      </c>
      <c r="J829" t="s">
        <v>1585</v>
      </c>
      <c r="K829" t="str">
        <f>VLOOKUP(Table1[[#This Row],[Store_ID]],Store_Dim!$A$3:$D$22,2,FALSE)</f>
        <v>Johnson-Wright-North</v>
      </c>
      <c r="L829" t="s">
        <v>1733</v>
      </c>
      <c r="M829" t="s">
        <v>3957</v>
      </c>
      <c r="N829" s="3">
        <v>36.799999999999997</v>
      </c>
      <c r="O829" s="4">
        <v>0.18</v>
      </c>
      <c r="P829" t="s">
        <v>1772</v>
      </c>
      <c r="Q829" s="4">
        <v>30.175999999999998</v>
      </c>
    </row>
    <row r="830" spans="1:17" x14ac:dyDescent="0.3">
      <c r="A830" t="s">
        <v>2602</v>
      </c>
      <c r="B830" t="str">
        <f t="shared" si="12"/>
        <v>Q2</v>
      </c>
      <c r="C830" t="str">
        <f>TEXT(Table1[[#This Row],[Order_Date]],"mmmm")</f>
        <v>June</v>
      </c>
      <c r="D830">
        <f>YEAR(Table1[[#This Row],[Order_Date]])</f>
        <v>2025</v>
      </c>
      <c r="E830" s="7">
        <v>45809</v>
      </c>
      <c r="F830" s="2" t="str">
        <f>VLOOKUP(Table1[[#This Row],[Customer_ID]],Customer_Dim!$A$2:$H$501,2,FALSE)</f>
        <v>Steve Hunt</v>
      </c>
      <c r="G830" s="2" t="str">
        <f>_xlfn.XLOOKUP(Table1[[#This Row],[Customer_ID]],Customer_Dim!$A$2:$A$501,Customer_Dim!$E$2:$E$501)</f>
        <v>North Richard</v>
      </c>
      <c r="H830" t="s">
        <v>1103</v>
      </c>
      <c r="I830" t="str">
        <f>VLOOKUP(Table1[[#This Row],[Product_ID]],Product_Dim!$A$2:$G$101,2,FALSE)</f>
        <v>Sports Wrist Sweatbands-Sports</v>
      </c>
      <c r="J830" t="s">
        <v>1699</v>
      </c>
      <c r="K830" t="str">
        <f>VLOOKUP(Table1[[#This Row],[Store_ID]],Store_Dim!$A$3:$D$22,2,FALSE)</f>
        <v>Benson-Elliott-East</v>
      </c>
      <c r="L830" t="s">
        <v>1740</v>
      </c>
      <c r="M830" t="s">
        <v>3957</v>
      </c>
      <c r="N830" s="3">
        <v>539.37</v>
      </c>
      <c r="O830" s="4">
        <v>0.14000000000000001</v>
      </c>
      <c r="P830" t="s">
        <v>1772</v>
      </c>
      <c r="Q830" s="4">
        <v>463.85820000000001</v>
      </c>
    </row>
    <row r="831" spans="1:17" x14ac:dyDescent="0.3">
      <c r="A831" t="s">
        <v>2603</v>
      </c>
      <c r="B831" t="str">
        <f t="shared" si="12"/>
        <v>Q2</v>
      </c>
      <c r="C831" t="str">
        <f>TEXT(Table1[[#This Row],[Order_Date]],"mmmm")</f>
        <v>April</v>
      </c>
      <c r="D831">
        <f>YEAR(Table1[[#This Row],[Order_Date]])</f>
        <v>2025</v>
      </c>
      <c r="E831" s="7">
        <v>45760</v>
      </c>
      <c r="F831" s="2" t="str">
        <f>VLOOKUP(Table1[[#This Row],[Customer_ID]],Customer_Dim!$A$2:$H$501,2,FALSE)</f>
        <v>Jamie Yoder</v>
      </c>
      <c r="G831" s="2" t="str">
        <f>_xlfn.XLOOKUP(Table1[[#This Row],[Customer_ID]],Customer_Dim!$A$2:$A$501,Customer_Dim!$E$2:$E$501)</f>
        <v>New Gabrielleville</v>
      </c>
      <c r="H831" t="s">
        <v>316</v>
      </c>
      <c r="I831" t="str">
        <f>VLOOKUP(Table1[[#This Row],[Product_ID]],Product_Dim!$A$2:$G$101,2,FALSE)</f>
        <v>Outdoor Sports Water Bottle-Sports</v>
      </c>
      <c r="J831" t="s">
        <v>1563</v>
      </c>
      <c r="K831" t="str">
        <f>VLOOKUP(Table1[[#This Row],[Store_ID]],Store_Dim!$A$3:$D$22,2,FALSE)</f>
        <v>Guerrero-Schmitt-East</v>
      </c>
      <c r="L831" t="s">
        <v>1761</v>
      </c>
      <c r="M831" t="s">
        <v>3957</v>
      </c>
      <c r="N831" s="3">
        <v>27.83</v>
      </c>
      <c r="O831" s="4">
        <v>0.3</v>
      </c>
      <c r="P831" t="s">
        <v>1774</v>
      </c>
      <c r="Q831" s="4">
        <v>19.481000000000002</v>
      </c>
    </row>
    <row r="832" spans="1:17" x14ac:dyDescent="0.3">
      <c r="A832" t="s">
        <v>2604</v>
      </c>
      <c r="B832" t="str">
        <f t="shared" si="12"/>
        <v>Q2</v>
      </c>
      <c r="C832" t="str">
        <f>TEXT(Table1[[#This Row],[Order_Date]],"mmmm")</f>
        <v>June</v>
      </c>
      <c r="D832">
        <f>YEAR(Table1[[#This Row],[Order_Date]])</f>
        <v>2024</v>
      </c>
      <c r="E832" s="7">
        <v>45456</v>
      </c>
      <c r="F832" s="2" t="str">
        <f>VLOOKUP(Table1[[#This Row],[Customer_ID]],Customer_Dim!$A$2:$H$501,2,FALSE)</f>
        <v>Bryan Garcia</v>
      </c>
      <c r="G832" s="2" t="str">
        <f>_xlfn.XLOOKUP(Table1[[#This Row],[Customer_ID]],Customer_Dim!$A$2:$A$501,Customer_Dim!$E$2:$E$501)</f>
        <v>Garciaborough</v>
      </c>
      <c r="H832" t="s">
        <v>891</v>
      </c>
      <c r="I832" t="str">
        <f>VLOOKUP(Table1[[#This Row],[Product_ID]],Product_Dim!$A$2:$G$101,2,FALSE)</f>
        <v>Kitchen Storage Rack-Home</v>
      </c>
      <c r="J832" t="s">
        <v>1663</v>
      </c>
      <c r="K832" t="str">
        <f>VLOOKUP(Table1[[#This Row],[Store_ID]],Store_Dim!$A$3:$D$22,2,FALSE)</f>
        <v>Alexander Group-South</v>
      </c>
      <c r="L832" t="s">
        <v>1735</v>
      </c>
      <c r="M832" t="s">
        <v>3958</v>
      </c>
      <c r="N832" s="3">
        <v>698.72</v>
      </c>
      <c r="O832" s="4">
        <v>0.28000000000000003</v>
      </c>
      <c r="P832" t="s">
        <v>1777</v>
      </c>
      <c r="Q832" s="4">
        <v>1509.2352000000001</v>
      </c>
    </row>
    <row r="833" spans="1:17" x14ac:dyDescent="0.3">
      <c r="A833" t="s">
        <v>2605</v>
      </c>
      <c r="B833" t="str">
        <f t="shared" si="12"/>
        <v>Q1</v>
      </c>
      <c r="C833" t="str">
        <f>TEXT(Table1[[#This Row],[Order_Date]],"mmmm")</f>
        <v>February</v>
      </c>
      <c r="D833">
        <f>YEAR(Table1[[#This Row],[Order_Date]])</f>
        <v>2025</v>
      </c>
      <c r="E833" s="7">
        <v>45698</v>
      </c>
      <c r="F833" s="2" t="str">
        <f>VLOOKUP(Table1[[#This Row],[Customer_ID]],Customer_Dim!$A$2:$H$501,2,FALSE)</f>
        <v>Kenneth Lambert</v>
      </c>
      <c r="G833" s="2" t="str">
        <f>_xlfn.XLOOKUP(Table1[[#This Row],[Customer_ID]],Customer_Dim!$A$2:$A$501,Customer_Dim!$E$2:$E$501)</f>
        <v>North Kathryn</v>
      </c>
      <c r="H833" t="s">
        <v>59</v>
      </c>
      <c r="I833" t="str">
        <f>VLOOKUP(Table1[[#This Row],[Product_ID]],Product_Dim!$A$2:$G$101,2,FALSE)</f>
        <v>Wireless Mouse-Electronics</v>
      </c>
      <c r="J833" t="s">
        <v>1675</v>
      </c>
      <c r="K833" t="str">
        <f>VLOOKUP(Table1[[#This Row],[Store_ID]],Store_Dim!$A$3:$D$22,2,FALSE)</f>
        <v>Gardner, Humphrey and Contreras-East</v>
      </c>
      <c r="L833" t="s">
        <v>1753</v>
      </c>
      <c r="M833" t="s">
        <v>3959</v>
      </c>
      <c r="N833" s="3">
        <v>528.23</v>
      </c>
      <c r="O833" s="4">
        <v>0.15</v>
      </c>
      <c r="P833" t="s">
        <v>1777</v>
      </c>
      <c r="Q833" s="4">
        <v>1795.982</v>
      </c>
    </row>
    <row r="834" spans="1:17" x14ac:dyDescent="0.3">
      <c r="A834" t="s">
        <v>2606</v>
      </c>
      <c r="B834" t="str">
        <f t="shared" ref="B834:B897" si="13">"Q" &amp;ROUNDUP(MONTH(E834)/3,0)</f>
        <v>Q3</v>
      </c>
      <c r="C834" t="str">
        <f>TEXT(Table1[[#This Row],[Order_Date]],"mmmm")</f>
        <v>September</v>
      </c>
      <c r="D834">
        <f>YEAR(Table1[[#This Row],[Order_Date]])</f>
        <v>2024</v>
      </c>
      <c r="E834" s="7">
        <v>45548</v>
      </c>
      <c r="F834" s="2" t="str">
        <f>VLOOKUP(Table1[[#This Row],[Customer_ID]],Customer_Dim!$A$2:$H$501,2,FALSE)</f>
        <v>Darrell Miller</v>
      </c>
      <c r="G834" s="2" t="str">
        <f>_xlfn.XLOOKUP(Table1[[#This Row],[Customer_ID]],Customer_Dim!$A$2:$A$501,Customer_Dim!$E$2:$E$501)</f>
        <v>Port Carol</v>
      </c>
      <c r="H834" t="s">
        <v>1496</v>
      </c>
      <c r="I834" t="str">
        <f>VLOOKUP(Table1[[#This Row],[Product_ID]],Product_Dim!$A$2:$G$101,2,FALSE)</f>
        <v>Men's Winter Jacket-Clothing</v>
      </c>
      <c r="J834" t="s">
        <v>1615</v>
      </c>
      <c r="K834" t="str">
        <f>VLOOKUP(Table1[[#This Row],[Store_ID]],Store_Dim!$A$3:$D$22,2,FALSE)</f>
        <v>Frederick-Wright-West</v>
      </c>
      <c r="L834" t="s">
        <v>1757</v>
      </c>
      <c r="M834" t="s">
        <v>3960</v>
      </c>
      <c r="N834" s="3">
        <v>780.9</v>
      </c>
      <c r="O834" s="4">
        <v>0.24</v>
      </c>
      <c r="P834" t="s">
        <v>1774</v>
      </c>
      <c r="Q834" s="4">
        <v>1186.9680000000001</v>
      </c>
    </row>
    <row r="835" spans="1:17" x14ac:dyDescent="0.3">
      <c r="A835" t="s">
        <v>2607</v>
      </c>
      <c r="B835" t="str">
        <f t="shared" si="13"/>
        <v>Q4</v>
      </c>
      <c r="C835" t="str">
        <f>TEXT(Table1[[#This Row],[Order_Date]],"mmmm")</f>
        <v>November</v>
      </c>
      <c r="D835">
        <f>YEAR(Table1[[#This Row],[Order_Date]])</f>
        <v>2023</v>
      </c>
      <c r="E835" s="7">
        <v>45236</v>
      </c>
      <c r="F835" s="2" t="str">
        <f>VLOOKUP(Table1[[#This Row],[Customer_ID]],Customer_Dim!$A$2:$H$501,2,FALSE)</f>
        <v>Wesley Thompson</v>
      </c>
      <c r="G835" s="2" t="str">
        <f>_xlfn.XLOOKUP(Table1[[#This Row],[Customer_ID]],Customer_Dim!$A$2:$A$501,Customer_Dim!$E$2:$E$501)</f>
        <v>East Davidmouth</v>
      </c>
      <c r="H835" t="s">
        <v>589</v>
      </c>
      <c r="I835" t="str">
        <f>VLOOKUP(Table1[[#This Row],[Product_ID]],Product_Dim!$A$2:$G$101,2,FALSE)</f>
        <v>Multi-Purpose Storage Box-Home</v>
      </c>
      <c r="J835" t="s">
        <v>1565</v>
      </c>
      <c r="K835" t="str">
        <f>VLOOKUP(Table1[[#This Row],[Store_ID]],Store_Dim!$A$3:$D$22,2,FALSE)</f>
        <v>Mcdonald Inc-South</v>
      </c>
      <c r="L835" t="s">
        <v>1754</v>
      </c>
      <c r="M835" t="s">
        <v>3957</v>
      </c>
      <c r="N835" s="3">
        <v>977.97</v>
      </c>
      <c r="O835" s="4">
        <v>0.06</v>
      </c>
      <c r="P835" t="s">
        <v>1777</v>
      </c>
      <c r="Q835" s="4">
        <v>919.29179999999997</v>
      </c>
    </row>
    <row r="836" spans="1:17" x14ac:dyDescent="0.3">
      <c r="A836" t="s">
        <v>2608</v>
      </c>
      <c r="B836" t="str">
        <f t="shared" si="13"/>
        <v>Q1</v>
      </c>
      <c r="C836" t="str">
        <f>TEXT(Table1[[#This Row],[Order_Date]],"mmmm")</f>
        <v>January</v>
      </c>
      <c r="D836">
        <f>YEAR(Table1[[#This Row],[Order_Date]])</f>
        <v>2024</v>
      </c>
      <c r="E836" s="7">
        <v>45310</v>
      </c>
      <c r="F836" s="2" t="str">
        <f>VLOOKUP(Table1[[#This Row],[Customer_ID]],Customer_Dim!$A$2:$H$501,2,FALSE)</f>
        <v>Gregory Allen</v>
      </c>
      <c r="G836" s="2" t="str">
        <f>_xlfn.XLOOKUP(Table1[[#This Row],[Customer_ID]],Customer_Dim!$A$2:$A$501,Customer_Dim!$E$2:$E$501)</f>
        <v>West Bruce</v>
      </c>
      <c r="H836" t="s">
        <v>1141</v>
      </c>
      <c r="I836" t="str">
        <f>VLOOKUP(Table1[[#This Row],[Product_ID]],Product_Dim!$A$2:$G$101,2,FALSE)</f>
        <v>Hydrating Face Cleanser-Beauty</v>
      </c>
      <c r="J836" t="s">
        <v>1689</v>
      </c>
      <c r="K836" t="str">
        <f>VLOOKUP(Table1[[#This Row],[Store_ID]],Store_Dim!$A$3:$D$22,2,FALSE)</f>
        <v>Thomas, Bridges and Harris-North</v>
      </c>
      <c r="L836" t="s">
        <v>1751</v>
      </c>
      <c r="M836" t="s">
        <v>3959</v>
      </c>
      <c r="N836" s="3">
        <v>354.65</v>
      </c>
      <c r="O836" s="4">
        <v>0.19</v>
      </c>
      <c r="P836" t="s">
        <v>1772</v>
      </c>
      <c r="Q836" s="4">
        <v>1149.066</v>
      </c>
    </row>
    <row r="837" spans="1:17" x14ac:dyDescent="0.3">
      <c r="A837" t="s">
        <v>2609</v>
      </c>
      <c r="B837" t="str">
        <f t="shared" si="13"/>
        <v>Q1</v>
      </c>
      <c r="C837" t="str">
        <f>TEXT(Table1[[#This Row],[Order_Date]],"mmmm")</f>
        <v>March</v>
      </c>
      <c r="D837">
        <f>YEAR(Table1[[#This Row],[Order_Date]])</f>
        <v>2024</v>
      </c>
      <c r="E837" s="7">
        <v>45376</v>
      </c>
      <c r="F837" s="2" t="str">
        <f>VLOOKUP(Table1[[#This Row],[Customer_ID]],Customer_Dim!$A$2:$H$501,2,FALSE)</f>
        <v>Bryan Garcia</v>
      </c>
      <c r="G837" s="2" t="str">
        <f>_xlfn.XLOOKUP(Table1[[#This Row],[Customer_ID]],Customer_Dim!$A$2:$A$501,Customer_Dim!$E$2:$E$501)</f>
        <v>Garciaborough</v>
      </c>
      <c r="H837" t="s">
        <v>891</v>
      </c>
      <c r="I837" t="str">
        <f>VLOOKUP(Table1[[#This Row],[Product_ID]],Product_Dim!$A$2:$G$101,2,FALSE)</f>
        <v>Wooden Nightstand-Home</v>
      </c>
      <c r="J837" t="s">
        <v>1659</v>
      </c>
      <c r="K837" t="str">
        <f>VLOOKUP(Table1[[#This Row],[Store_ID]],Store_Dim!$A$3:$D$22,2,FALSE)</f>
        <v>Mann-Austin-East</v>
      </c>
      <c r="L837" t="s">
        <v>1763</v>
      </c>
      <c r="M837" t="s">
        <v>3957</v>
      </c>
      <c r="N837" s="3">
        <v>671.62</v>
      </c>
      <c r="O837" s="4">
        <v>0.09</v>
      </c>
      <c r="P837" t="s">
        <v>1777</v>
      </c>
      <c r="Q837" s="4">
        <v>611.17420000000004</v>
      </c>
    </row>
    <row r="838" spans="1:17" x14ac:dyDescent="0.3">
      <c r="A838" t="s">
        <v>2610</v>
      </c>
      <c r="B838" t="str">
        <f t="shared" si="13"/>
        <v>Q3</v>
      </c>
      <c r="C838" t="str">
        <f>TEXT(Table1[[#This Row],[Order_Date]],"mmmm")</f>
        <v>September</v>
      </c>
      <c r="D838">
        <f>YEAR(Table1[[#This Row],[Order_Date]])</f>
        <v>2025</v>
      </c>
      <c r="E838" s="7">
        <v>45914</v>
      </c>
      <c r="F838" s="2" t="str">
        <f>VLOOKUP(Table1[[#This Row],[Customer_ID]],Customer_Dim!$A$2:$H$501,2,FALSE)</f>
        <v>Tiffany Williams</v>
      </c>
      <c r="G838" s="2" t="str">
        <f>_xlfn.XLOOKUP(Table1[[#This Row],[Customer_ID]],Customer_Dim!$A$2:$A$501,Customer_Dim!$E$2:$E$501)</f>
        <v>Richardsport</v>
      </c>
      <c r="H838" t="s">
        <v>989</v>
      </c>
      <c r="I838" t="str">
        <f>VLOOKUP(Table1[[#This Row],[Product_ID]],Product_Dim!$A$2:$G$101,2,FALSE)</f>
        <v>Fitness Resistance Bands-Sports</v>
      </c>
      <c r="J838" t="s">
        <v>1687</v>
      </c>
      <c r="K838" t="str">
        <f>VLOOKUP(Table1[[#This Row],[Store_ID]],Store_Dim!$A$3:$D$22,2,FALSE)</f>
        <v>Johnson-Wright-North</v>
      </c>
      <c r="L838" t="s">
        <v>1733</v>
      </c>
      <c r="M838" t="s">
        <v>3957</v>
      </c>
      <c r="N838" s="3">
        <v>867.32</v>
      </c>
      <c r="O838" s="4">
        <v>0.28999999999999998</v>
      </c>
      <c r="P838" t="s">
        <v>1774</v>
      </c>
      <c r="Q838" s="4">
        <v>615.79719999999998</v>
      </c>
    </row>
    <row r="839" spans="1:17" x14ac:dyDescent="0.3">
      <c r="A839" t="s">
        <v>2611</v>
      </c>
      <c r="B839" t="str">
        <f t="shared" si="13"/>
        <v>Q1</v>
      </c>
      <c r="C839" t="str">
        <f>TEXT(Table1[[#This Row],[Order_Date]],"mmmm")</f>
        <v>February</v>
      </c>
      <c r="D839">
        <f>YEAR(Table1[[#This Row],[Order_Date]])</f>
        <v>2024</v>
      </c>
      <c r="E839" s="7">
        <v>45336</v>
      </c>
      <c r="F839" s="2" t="str">
        <f>VLOOKUP(Table1[[#This Row],[Customer_ID]],Customer_Dim!$A$2:$H$501,2,FALSE)</f>
        <v>Krystal Ford</v>
      </c>
      <c r="G839" s="2" t="str">
        <f>_xlfn.XLOOKUP(Table1[[#This Row],[Customer_ID]],Customer_Dim!$A$2:$A$501,Customer_Dim!$E$2:$E$501)</f>
        <v>South David</v>
      </c>
      <c r="H839" t="s">
        <v>292</v>
      </c>
      <c r="I839" t="str">
        <f>VLOOKUP(Table1[[#This Row],[Product_ID]],Product_Dim!$A$2:$G$101,2,FALSE)</f>
        <v>Ceramic Kitchen Bowl Set-Home</v>
      </c>
      <c r="J839" t="s">
        <v>1543</v>
      </c>
      <c r="K839" t="str">
        <f>VLOOKUP(Table1[[#This Row],[Store_ID]],Store_Dim!$A$3:$D$22,2,FALSE)</f>
        <v>Thomas, Bridges and Harris-North</v>
      </c>
      <c r="L839" t="s">
        <v>1751</v>
      </c>
      <c r="M839" t="s">
        <v>3958</v>
      </c>
      <c r="N839" s="3">
        <v>240.27</v>
      </c>
      <c r="O839" s="4">
        <v>0.15</v>
      </c>
      <c r="P839" t="s">
        <v>1774</v>
      </c>
      <c r="Q839" s="4">
        <v>612.68850000000009</v>
      </c>
    </row>
    <row r="840" spans="1:17" x14ac:dyDescent="0.3">
      <c r="A840" t="s">
        <v>2612</v>
      </c>
      <c r="B840" t="str">
        <f t="shared" si="13"/>
        <v>Q1</v>
      </c>
      <c r="C840" t="str">
        <f>TEXT(Table1[[#This Row],[Order_Date]],"mmmm")</f>
        <v>March</v>
      </c>
      <c r="D840">
        <f>YEAR(Table1[[#This Row],[Order_Date]])</f>
        <v>2025</v>
      </c>
      <c r="E840" s="7">
        <v>45728</v>
      </c>
      <c r="F840" s="2" t="str">
        <f>VLOOKUP(Table1[[#This Row],[Customer_ID]],Customer_Dim!$A$2:$H$501,2,FALSE)</f>
        <v>Rhonda Morales</v>
      </c>
      <c r="G840" s="2" t="str">
        <f>_xlfn.XLOOKUP(Table1[[#This Row],[Customer_ID]],Customer_Dim!$A$2:$A$501,Customer_Dim!$E$2:$E$501)</f>
        <v>Lake Barryfurt</v>
      </c>
      <c r="H840" t="s">
        <v>272</v>
      </c>
      <c r="I840" t="str">
        <f>VLOOKUP(Table1[[#This Row],[Product_ID]],Product_Dim!$A$2:$G$101,2,FALSE)</f>
        <v>Sports Stopwatch Timer-Sports</v>
      </c>
      <c r="J840" t="s">
        <v>1579</v>
      </c>
      <c r="K840" t="str">
        <f>VLOOKUP(Table1[[#This Row],[Store_ID]],Store_Dim!$A$3:$D$22,2,FALSE)</f>
        <v>Frederick-Wright-West</v>
      </c>
      <c r="L840" t="s">
        <v>1757</v>
      </c>
      <c r="M840" t="s">
        <v>3960</v>
      </c>
      <c r="N840" s="3">
        <v>619.12</v>
      </c>
      <c r="O840" s="4">
        <v>0.28000000000000003</v>
      </c>
      <c r="P840" t="s">
        <v>1777</v>
      </c>
      <c r="Q840" s="4">
        <v>891.53279999999995</v>
      </c>
    </row>
    <row r="841" spans="1:17" x14ac:dyDescent="0.3">
      <c r="A841" t="s">
        <v>2613</v>
      </c>
      <c r="B841" t="str">
        <f t="shared" si="13"/>
        <v>Q2</v>
      </c>
      <c r="C841" t="str">
        <f>TEXT(Table1[[#This Row],[Order_Date]],"mmmm")</f>
        <v>April</v>
      </c>
      <c r="D841">
        <f>YEAR(Table1[[#This Row],[Order_Date]])</f>
        <v>2025</v>
      </c>
      <c r="E841" s="7">
        <v>45755</v>
      </c>
      <c r="F841" s="2" t="str">
        <f>VLOOKUP(Table1[[#This Row],[Customer_ID]],Customer_Dim!$A$2:$H$501,2,FALSE)</f>
        <v>Stuart Johnson</v>
      </c>
      <c r="G841" s="2" t="str">
        <f>_xlfn.XLOOKUP(Table1[[#This Row],[Customer_ID]],Customer_Dim!$A$2:$A$501,Customer_Dim!$E$2:$E$501)</f>
        <v>West Markport</v>
      </c>
      <c r="H841" t="s">
        <v>687</v>
      </c>
      <c r="I841" t="str">
        <f>VLOOKUP(Table1[[#This Row],[Product_ID]],Product_Dim!$A$2:$G$101,2,FALSE)</f>
        <v>LED Bedside Lamp-Home</v>
      </c>
      <c r="J841" t="s">
        <v>1697</v>
      </c>
      <c r="K841" t="str">
        <f>VLOOKUP(Table1[[#This Row],[Store_ID]],Store_Dim!$A$3:$D$22,2,FALSE)</f>
        <v>Rivera-Warner-East</v>
      </c>
      <c r="L841" t="s">
        <v>1725</v>
      </c>
      <c r="M841" t="s">
        <v>3958</v>
      </c>
      <c r="N841" s="3">
        <v>693.42</v>
      </c>
      <c r="O841" s="4">
        <v>0.08</v>
      </c>
      <c r="P841" t="s">
        <v>1774</v>
      </c>
      <c r="Q841" s="4">
        <v>1913.8391999999999</v>
      </c>
    </row>
    <row r="842" spans="1:17" x14ac:dyDescent="0.3">
      <c r="A842" t="s">
        <v>2614</v>
      </c>
      <c r="B842" t="str">
        <f t="shared" si="13"/>
        <v>Q1</v>
      </c>
      <c r="C842" t="str">
        <f>TEXT(Table1[[#This Row],[Order_Date]],"mmmm")</f>
        <v>February</v>
      </c>
      <c r="D842">
        <f>YEAR(Table1[[#This Row],[Order_Date]])</f>
        <v>2025</v>
      </c>
      <c r="E842" s="7">
        <v>45695</v>
      </c>
      <c r="F842" s="2" t="str">
        <f>VLOOKUP(Table1[[#This Row],[Customer_ID]],Customer_Dim!$A$2:$H$501,2,FALSE)</f>
        <v>Travis Holland</v>
      </c>
      <c r="G842" s="2" t="str">
        <f>_xlfn.XLOOKUP(Table1[[#This Row],[Customer_ID]],Customer_Dim!$A$2:$A$501,Customer_Dim!$E$2:$E$501)</f>
        <v>Webstermouth</v>
      </c>
      <c r="H842" t="s">
        <v>376</v>
      </c>
      <c r="I842" t="str">
        <f>VLOOKUP(Table1[[#This Row],[Product_ID]],Product_Dim!$A$2:$G$101,2,FALSE)</f>
        <v>Car Dashboard Phone Holder-Electronics</v>
      </c>
      <c r="J842" t="s">
        <v>1619</v>
      </c>
      <c r="K842" t="str">
        <f>VLOOKUP(Table1[[#This Row],[Store_ID]],Store_Dim!$A$3:$D$22,2,FALSE)</f>
        <v>Hill, Wagner and Ballard-East</v>
      </c>
      <c r="L842" t="s">
        <v>1748</v>
      </c>
      <c r="M842" t="s">
        <v>3959</v>
      </c>
      <c r="N842" s="3">
        <v>751.63</v>
      </c>
      <c r="O842" s="4">
        <v>0.28000000000000003</v>
      </c>
      <c r="P842" t="s">
        <v>1777</v>
      </c>
      <c r="Q842" s="4">
        <v>2164.6943999999999</v>
      </c>
    </row>
    <row r="843" spans="1:17" x14ac:dyDescent="0.3">
      <c r="A843" t="s">
        <v>2615</v>
      </c>
      <c r="B843" t="str">
        <f t="shared" si="13"/>
        <v>Q1</v>
      </c>
      <c r="C843" t="str">
        <f>TEXT(Table1[[#This Row],[Order_Date]],"mmmm")</f>
        <v>March</v>
      </c>
      <c r="D843">
        <f>YEAR(Table1[[#This Row],[Order_Date]])</f>
        <v>2024</v>
      </c>
      <c r="E843" s="7">
        <v>45380</v>
      </c>
      <c r="F843" s="2" t="str">
        <f>VLOOKUP(Table1[[#This Row],[Customer_ID]],Customer_Dim!$A$2:$H$501,2,FALSE)</f>
        <v>Ashley Griffin</v>
      </c>
      <c r="G843" s="2" t="str">
        <f>_xlfn.XLOOKUP(Table1[[#This Row],[Customer_ID]],Customer_Dim!$A$2:$A$501,Customer_Dim!$E$2:$E$501)</f>
        <v>New Dawnton</v>
      </c>
      <c r="H843" t="s">
        <v>382</v>
      </c>
      <c r="I843" t="str">
        <f>VLOOKUP(Table1[[#This Row],[Product_ID]],Product_Dim!$A$2:$G$101,2,FALSE)</f>
        <v>Basketball-Sports</v>
      </c>
      <c r="J843" t="s">
        <v>1585</v>
      </c>
      <c r="K843" t="str">
        <f>VLOOKUP(Table1[[#This Row],[Store_ID]],Store_Dim!$A$3:$D$22,2,FALSE)</f>
        <v>Shelton PLC-North</v>
      </c>
      <c r="L843" t="s">
        <v>1755</v>
      </c>
      <c r="M843" t="s">
        <v>3958</v>
      </c>
      <c r="N843" s="3">
        <v>108.14</v>
      </c>
      <c r="O843" s="4">
        <v>0.19</v>
      </c>
      <c r="P843" t="s">
        <v>1777</v>
      </c>
      <c r="Q843" s="4">
        <v>262.78019999999998</v>
      </c>
    </row>
    <row r="844" spans="1:17" x14ac:dyDescent="0.3">
      <c r="A844" t="s">
        <v>2616</v>
      </c>
      <c r="B844" t="str">
        <f t="shared" si="13"/>
        <v>Q2</v>
      </c>
      <c r="C844" t="str">
        <f>TEXT(Table1[[#This Row],[Order_Date]],"mmmm")</f>
        <v>June</v>
      </c>
      <c r="D844">
        <f>YEAR(Table1[[#This Row],[Order_Date]])</f>
        <v>2024</v>
      </c>
      <c r="E844" s="7">
        <v>45446</v>
      </c>
      <c r="F844" s="2" t="str">
        <f>VLOOKUP(Table1[[#This Row],[Customer_ID]],Customer_Dim!$A$2:$H$501,2,FALSE)</f>
        <v>Kristen Fischer</v>
      </c>
      <c r="G844" s="2" t="str">
        <f>_xlfn.XLOOKUP(Table1[[#This Row],[Customer_ID]],Customer_Dim!$A$2:$A$501,Customer_Dim!$E$2:$E$501)</f>
        <v>Lake Christopher</v>
      </c>
      <c r="H844" t="s">
        <v>811</v>
      </c>
      <c r="I844" t="str">
        <f>VLOOKUP(Table1[[#This Row],[Product_ID]],Product_Dim!$A$2:$G$101,2,FALSE)</f>
        <v>Decorative Floor Vase-Home</v>
      </c>
      <c r="J844" t="s">
        <v>1577</v>
      </c>
      <c r="K844" t="str">
        <f>VLOOKUP(Table1[[#This Row],[Store_ID]],Store_Dim!$A$3:$D$22,2,FALSE)</f>
        <v>Alexander Group-South</v>
      </c>
      <c r="L844" t="s">
        <v>1735</v>
      </c>
      <c r="M844" t="s">
        <v>3957</v>
      </c>
      <c r="N844" s="3">
        <v>964.11</v>
      </c>
      <c r="O844" s="4">
        <v>0.17</v>
      </c>
      <c r="P844" t="s">
        <v>1777</v>
      </c>
      <c r="Q844" s="4">
        <v>800.21129999999994</v>
      </c>
    </row>
    <row r="845" spans="1:17" x14ac:dyDescent="0.3">
      <c r="A845" t="s">
        <v>2617</v>
      </c>
      <c r="B845" t="str">
        <f t="shared" si="13"/>
        <v>Q3</v>
      </c>
      <c r="C845" t="str">
        <f>TEXT(Table1[[#This Row],[Order_Date]],"mmmm")</f>
        <v>August</v>
      </c>
      <c r="D845">
        <f>YEAR(Table1[[#This Row],[Order_Date]])</f>
        <v>2024</v>
      </c>
      <c r="E845" s="7">
        <v>45525</v>
      </c>
      <c r="F845" s="2" t="str">
        <f>VLOOKUP(Table1[[#This Row],[Customer_ID]],Customer_Dim!$A$2:$H$501,2,FALSE)</f>
        <v>Joseph Richards</v>
      </c>
      <c r="G845" s="2" t="str">
        <f>_xlfn.XLOOKUP(Table1[[#This Row],[Customer_ID]],Customer_Dim!$A$2:$A$501,Customer_Dim!$E$2:$E$501)</f>
        <v>Wigginsville</v>
      </c>
      <c r="H845" t="s">
        <v>444</v>
      </c>
      <c r="I845" t="str">
        <f>VLOOKUP(Table1[[#This Row],[Product_ID]],Product_Dim!$A$2:$G$101,2,FALSE)</f>
        <v>Knee Support Brace-Sports</v>
      </c>
      <c r="J845" t="s">
        <v>1561</v>
      </c>
      <c r="K845" t="str">
        <f>VLOOKUP(Table1[[#This Row],[Store_ID]],Store_Dim!$A$3:$D$22,2,FALSE)</f>
        <v>Rivera-Warner-East</v>
      </c>
      <c r="L845" t="s">
        <v>1725</v>
      </c>
      <c r="M845" t="s">
        <v>3957</v>
      </c>
      <c r="N845" s="3">
        <v>346.2</v>
      </c>
      <c r="O845" s="4">
        <v>0.28999999999999998</v>
      </c>
      <c r="P845" t="s">
        <v>1772</v>
      </c>
      <c r="Q845" s="4">
        <v>245.80199999999999</v>
      </c>
    </row>
    <row r="846" spans="1:17" x14ac:dyDescent="0.3">
      <c r="A846" t="s">
        <v>2618</v>
      </c>
      <c r="B846" t="str">
        <f t="shared" si="13"/>
        <v>Q3</v>
      </c>
      <c r="C846" t="str">
        <f>TEXT(Table1[[#This Row],[Order_Date]],"mmmm")</f>
        <v>August</v>
      </c>
      <c r="D846">
        <f>YEAR(Table1[[#This Row],[Order_Date]])</f>
        <v>2024</v>
      </c>
      <c r="E846" s="7">
        <v>45527</v>
      </c>
      <c r="F846" s="2" t="str">
        <f>VLOOKUP(Table1[[#This Row],[Customer_ID]],Customer_Dim!$A$2:$H$501,2,FALSE)</f>
        <v>Christina Robertson</v>
      </c>
      <c r="G846" s="2" t="str">
        <f>_xlfn.XLOOKUP(Table1[[#This Row],[Customer_ID]],Customer_Dim!$A$2:$A$501,Customer_Dim!$E$2:$E$501)</f>
        <v>Hubbardborough</v>
      </c>
      <c r="H846" t="s">
        <v>1395</v>
      </c>
      <c r="I846" t="str">
        <f>VLOOKUP(Table1[[#This Row],[Product_ID]],Product_Dim!$A$2:$G$101,2,FALSE)</f>
        <v>USB External Hard Drive-Electronics</v>
      </c>
      <c r="J846" t="s">
        <v>1609</v>
      </c>
      <c r="K846" t="str">
        <f>VLOOKUP(Table1[[#This Row],[Store_ID]],Store_Dim!$A$3:$D$22,2,FALSE)</f>
        <v>Shelton PLC-North</v>
      </c>
      <c r="L846" t="s">
        <v>1755</v>
      </c>
      <c r="M846" t="s">
        <v>3958</v>
      </c>
      <c r="N846" s="3">
        <v>791.75</v>
      </c>
      <c r="O846" s="4">
        <v>0.28999999999999998</v>
      </c>
      <c r="P846" t="s">
        <v>1772</v>
      </c>
      <c r="Q846" s="4">
        <v>1686.4275</v>
      </c>
    </row>
    <row r="847" spans="1:17" x14ac:dyDescent="0.3">
      <c r="A847" t="s">
        <v>2619</v>
      </c>
      <c r="B847" t="str">
        <f t="shared" si="13"/>
        <v>Q4</v>
      </c>
      <c r="C847" t="str">
        <f>TEXT(Table1[[#This Row],[Order_Date]],"mmmm")</f>
        <v>December</v>
      </c>
      <c r="D847">
        <f>YEAR(Table1[[#This Row],[Order_Date]])</f>
        <v>2023</v>
      </c>
      <c r="E847" s="7">
        <v>45265</v>
      </c>
      <c r="F847" s="2" t="str">
        <f>VLOOKUP(Table1[[#This Row],[Customer_ID]],Customer_Dim!$A$2:$H$501,2,FALSE)</f>
        <v>Casey Simpson</v>
      </c>
      <c r="G847" s="2" t="str">
        <f>_xlfn.XLOOKUP(Table1[[#This Row],[Customer_ID]],Customer_Dim!$A$2:$A$501,Customer_Dim!$E$2:$E$501)</f>
        <v>West Mathewside</v>
      </c>
      <c r="H847" t="s">
        <v>995</v>
      </c>
      <c r="I847" t="str">
        <f>VLOOKUP(Table1[[#This Row],[Product_ID]],Product_Dim!$A$2:$G$101,2,FALSE)</f>
        <v>Portable Power Bank-Electronics</v>
      </c>
      <c r="J847" t="s">
        <v>1601</v>
      </c>
      <c r="K847" t="str">
        <f>VLOOKUP(Table1[[#This Row],[Store_ID]],Store_Dim!$A$3:$D$22,2,FALSE)</f>
        <v>Gardner, Humphrey and Contreras-East</v>
      </c>
      <c r="L847" t="s">
        <v>1753</v>
      </c>
      <c r="M847" t="s">
        <v>3957</v>
      </c>
      <c r="N847" s="3">
        <v>529.84</v>
      </c>
      <c r="O847" s="4">
        <v>0.13</v>
      </c>
      <c r="P847" t="s">
        <v>1774</v>
      </c>
      <c r="Q847" s="4">
        <v>460.96080000000001</v>
      </c>
    </row>
    <row r="848" spans="1:17" x14ac:dyDescent="0.3">
      <c r="A848" t="s">
        <v>2620</v>
      </c>
      <c r="B848" t="str">
        <f t="shared" si="13"/>
        <v>Q4</v>
      </c>
      <c r="C848" t="str">
        <f>TEXT(Table1[[#This Row],[Order_Date]],"mmmm")</f>
        <v>October</v>
      </c>
      <c r="D848">
        <f>YEAR(Table1[[#This Row],[Order_Date]])</f>
        <v>2025</v>
      </c>
      <c r="E848" s="7">
        <v>45936</v>
      </c>
      <c r="F848" s="2" t="str">
        <f>VLOOKUP(Table1[[#This Row],[Customer_ID]],Customer_Dim!$A$2:$H$501,2,FALSE)</f>
        <v>Debra Mccullough</v>
      </c>
      <c r="G848" s="2" t="str">
        <f>_xlfn.XLOOKUP(Table1[[#This Row],[Customer_ID]],Customer_Dim!$A$2:$A$501,Customer_Dim!$E$2:$E$501)</f>
        <v>Mcdanielfurt</v>
      </c>
      <c r="H848" t="s">
        <v>1436</v>
      </c>
      <c r="I848" t="str">
        <f>VLOOKUP(Table1[[#This Row],[Product_ID]],Product_Dim!$A$2:$G$101,2,FALSE)</f>
        <v>Sports Stopwatch Pro-Sports</v>
      </c>
      <c r="J848" t="s">
        <v>1631</v>
      </c>
      <c r="K848" t="str">
        <f>VLOOKUP(Table1[[#This Row],[Store_ID]],Store_Dim!$A$3:$D$22,2,FALSE)</f>
        <v>Johnson-Wright-North</v>
      </c>
      <c r="L848" t="s">
        <v>1733</v>
      </c>
      <c r="M848" t="s">
        <v>3958</v>
      </c>
      <c r="N848" s="3">
        <v>582.57000000000005</v>
      </c>
      <c r="O848" s="4">
        <v>0.11</v>
      </c>
      <c r="P848" t="s">
        <v>1774</v>
      </c>
      <c r="Q848" s="4">
        <v>1555.4619</v>
      </c>
    </row>
    <row r="849" spans="1:17" x14ac:dyDescent="0.3">
      <c r="A849" t="s">
        <v>2621</v>
      </c>
      <c r="B849" t="str">
        <f t="shared" si="13"/>
        <v>Q4</v>
      </c>
      <c r="C849" t="str">
        <f>TEXT(Table1[[#This Row],[Order_Date]],"mmmm")</f>
        <v>November</v>
      </c>
      <c r="D849">
        <f>YEAR(Table1[[#This Row],[Order_Date]])</f>
        <v>2023</v>
      </c>
      <c r="E849" s="7">
        <v>45242</v>
      </c>
      <c r="F849" s="2" t="str">
        <f>VLOOKUP(Table1[[#This Row],[Customer_ID]],Customer_Dim!$A$2:$H$501,2,FALSE)</f>
        <v>Rodney Huffman</v>
      </c>
      <c r="G849" s="2" t="str">
        <f>_xlfn.XLOOKUP(Table1[[#This Row],[Customer_ID]],Customer_Dim!$A$2:$A$501,Customer_Dim!$E$2:$E$501)</f>
        <v>Garzafort</v>
      </c>
      <c r="H849" t="s">
        <v>681</v>
      </c>
      <c r="I849" t="str">
        <f>VLOOKUP(Table1[[#This Row],[Product_ID]],Product_Dim!$A$2:$G$101,2,FALSE)</f>
        <v>Sports Stopwatch Basic-Sports</v>
      </c>
      <c r="J849" t="s">
        <v>1713</v>
      </c>
      <c r="K849" t="str">
        <f>VLOOKUP(Table1[[#This Row],[Store_ID]],Store_Dim!$A$3:$D$22,2,FALSE)</f>
        <v>Holloway Ltd-North</v>
      </c>
      <c r="L849" t="s">
        <v>1759</v>
      </c>
      <c r="M849" t="s">
        <v>3957</v>
      </c>
      <c r="N849" s="3">
        <v>219.81</v>
      </c>
      <c r="O849" s="4">
        <v>0.22</v>
      </c>
      <c r="P849" t="s">
        <v>1777</v>
      </c>
      <c r="Q849" s="4">
        <v>171.45179999999999</v>
      </c>
    </row>
    <row r="850" spans="1:17" x14ac:dyDescent="0.3">
      <c r="A850" t="s">
        <v>2622</v>
      </c>
      <c r="B850" t="str">
        <f t="shared" si="13"/>
        <v>Q2</v>
      </c>
      <c r="C850" t="str">
        <f>TEXT(Table1[[#This Row],[Order_Date]],"mmmm")</f>
        <v>May</v>
      </c>
      <c r="D850">
        <f>YEAR(Table1[[#This Row],[Order_Date]])</f>
        <v>2024</v>
      </c>
      <c r="E850" s="7">
        <v>45437</v>
      </c>
      <c r="F850" s="2" t="str">
        <f>VLOOKUP(Table1[[#This Row],[Customer_ID]],Customer_Dim!$A$2:$H$501,2,FALSE)</f>
        <v>Sarah Marsh</v>
      </c>
      <c r="G850" s="2" t="str">
        <f>_xlfn.XLOOKUP(Table1[[#This Row],[Customer_ID]],Customer_Dim!$A$2:$A$501,Customer_Dim!$E$2:$E$501)</f>
        <v>Port William</v>
      </c>
      <c r="H850" t="s">
        <v>1510</v>
      </c>
      <c r="I850" t="str">
        <f>VLOOKUP(Table1[[#This Row],[Product_ID]],Product_Dim!$A$2:$G$101,2,FALSE)</f>
        <v>Kitchen Storage Rack-Home</v>
      </c>
      <c r="J850" t="s">
        <v>1663</v>
      </c>
      <c r="K850" t="str">
        <f>VLOOKUP(Table1[[#This Row],[Store_ID]],Store_Dim!$A$3:$D$22,2,FALSE)</f>
        <v>Guerrero-Schmitt-East</v>
      </c>
      <c r="L850" t="s">
        <v>1761</v>
      </c>
      <c r="M850" t="s">
        <v>3959</v>
      </c>
      <c r="N850" s="3">
        <v>883.31</v>
      </c>
      <c r="O850" s="4">
        <v>0.27</v>
      </c>
      <c r="P850" t="s">
        <v>1772</v>
      </c>
      <c r="Q850" s="4">
        <v>2579.2651999999998</v>
      </c>
    </row>
    <row r="851" spans="1:17" x14ac:dyDescent="0.3">
      <c r="A851" t="s">
        <v>2623</v>
      </c>
      <c r="B851" t="str">
        <f t="shared" si="13"/>
        <v>Q4</v>
      </c>
      <c r="C851" t="str">
        <f>TEXT(Table1[[#This Row],[Order_Date]],"mmmm")</f>
        <v>December</v>
      </c>
      <c r="D851">
        <f>YEAR(Table1[[#This Row],[Order_Date]])</f>
        <v>2024</v>
      </c>
      <c r="E851" s="7">
        <v>45627</v>
      </c>
      <c r="F851" s="2" t="str">
        <f>VLOOKUP(Table1[[#This Row],[Customer_ID]],Customer_Dim!$A$2:$H$501,2,FALSE)</f>
        <v>Nathaniel Hill</v>
      </c>
      <c r="G851" s="2" t="str">
        <f>_xlfn.XLOOKUP(Table1[[#This Row],[Customer_ID]],Customer_Dim!$A$2:$A$501,Customer_Dim!$E$2:$E$501)</f>
        <v>Lake Mark</v>
      </c>
      <c r="H851" t="s">
        <v>746</v>
      </c>
      <c r="I851" t="str">
        <f>VLOOKUP(Table1[[#This Row],[Product_ID]],Product_Dim!$A$2:$G$101,2,FALSE)</f>
        <v>Soccer Training Cone Set-Sports</v>
      </c>
      <c r="J851" t="s">
        <v>1557</v>
      </c>
      <c r="K851" t="str">
        <f>VLOOKUP(Table1[[#This Row],[Store_ID]],Store_Dim!$A$3:$D$22,2,FALSE)</f>
        <v>Mcdonald Inc-South</v>
      </c>
      <c r="L851" t="s">
        <v>1754</v>
      </c>
      <c r="M851" t="s">
        <v>3959</v>
      </c>
      <c r="N851" s="3">
        <v>329.06</v>
      </c>
      <c r="O851" s="4">
        <v>0.04</v>
      </c>
      <c r="P851" t="s">
        <v>1777</v>
      </c>
      <c r="Q851" s="4">
        <v>1263.5904</v>
      </c>
    </row>
    <row r="852" spans="1:17" x14ac:dyDescent="0.3">
      <c r="A852" t="s">
        <v>2624</v>
      </c>
      <c r="B852" t="str">
        <f t="shared" si="13"/>
        <v>Q1</v>
      </c>
      <c r="C852" t="str">
        <f>TEXT(Table1[[#This Row],[Order_Date]],"mmmm")</f>
        <v>January</v>
      </c>
      <c r="D852">
        <f>YEAR(Table1[[#This Row],[Order_Date]])</f>
        <v>2025</v>
      </c>
      <c r="E852" s="7">
        <v>45678</v>
      </c>
      <c r="F852" s="2" t="str">
        <f>VLOOKUP(Table1[[#This Row],[Customer_ID]],Customer_Dim!$A$2:$H$501,2,FALSE)</f>
        <v>Lance Baker</v>
      </c>
      <c r="G852" s="2" t="str">
        <f>_xlfn.XLOOKUP(Table1[[#This Row],[Customer_ID]],Customer_Dim!$A$2:$A$501,Customer_Dim!$E$2:$E$501)</f>
        <v>Port Victoria</v>
      </c>
      <c r="H852" t="s">
        <v>367</v>
      </c>
      <c r="I852" t="str">
        <f>VLOOKUP(Table1[[#This Row],[Product_ID]],Product_Dim!$A$2:$G$101,2,FALSE)</f>
        <v>Wooden Nightstand-Home</v>
      </c>
      <c r="J852" t="s">
        <v>1659</v>
      </c>
      <c r="K852" t="str">
        <f>VLOOKUP(Table1[[#This Row],[Store_ID]],Store_Dim!$A$3:$D$22,2,FALSE)</f>
        <v>Aguirre-Keller-South</v>
      </c>
      <c r="L852" t="s">
        <v>1750</v>
      </c>
      <c r="M852" t="s">
        <v>3957</v>
      </c>
      <c r="N852" s="3">
        <v>935.78</v>
      </c>
      <c r="O852" s="4">
        <v>0.03</v>
      </c>
      <c r="P852" t="s">
        <v>1774</v>
      </c>
      <c r="Q852" s="4">
        <v>907.70659999999998</v>
      </c>
    </row>
    <row r="853" spans="1:17" x14ac:dyDescent="0.3">
      <c r="A853" t="s">
        <v>2625</v>
      </c>
      <c r="B853" t="str">
        <f t="shared" si="13"/>
        <v>Q3</v>
      </c>
      <c r="C853" t="str">
        <f>TEXT(Table1[[#This Row],[Order_Date]],"mmmm")</f>
        <v>July</v>
      </c>
      <c r="D853">
        <f>YEAR(Table1[[#This Row],[Order_Date]])</f>
        <v>2024</v>
      </c>
      <c r="E853" s="7">
        <v>45484</v>
      </c>
      <c r="F853" s="2" t="str">
        <f>VLOOKUP(Table1[[#This Row],[Customer_ID]],Customer_Dim!$A$2:$H$501,2,FALSE)</f>
        <v>Jessica Gonzalez</v>
      </c>
      <c r="G853" s="2" t="str">
        <f>_xlfn.XLOOKUP(Table1[[#This Row],[Customer_ID]],Customer_Dim!$A$2:$A$501,Customer_Dim!$E$2:$E$501)</f>
        <v>South Darrenland</v>
      </c>
      <c r="H853" t="s">
        <v>998</v>
      </c>
      <c r="I853" t="str">
        <f>VLOOKUP(Table1[[#This Row],[Product_ID]],Product_Dim!$A$2:$G$101,2,FALSE)</f>
        <v>Luxury Perfume Spray-Beauty</v>
      </c>
      <c r="J853" t="s">
        <v>1643</v>
      </c>
      <c r="K853" t="str">
        <f>VLOOKUP(Table1[[#This Row],[Store_ID]],Store_Dim!$A$3:$D$22,2,FALSE)</f>
        <v>Hill, Wagner and Ballard-East</v>
      </c>
      <c r="L853" t="s">
        <v>1748</v>
      </c>
      <c r="M853" t="s">
        <v>3959</v>
      </c>
      <c r="N853" s="3">
        <v>597.79999999999995</v>
      </c>
      <c r="O853" s="4">
        <v>0.2</v>
      </c>
      <c r="P853" t="s">
        <v>1772</v>
      </c>
      <c r="Q853" s="4">
        <v>1912.96</v>
      </c>
    </row>
    <row r="854" spans="1:17" x14ac:dyDescent="0.3">
      <c r="A854" t="s">
        <v>2626</v>
      </c>
      <c r="B854" t="str">
        <f t="shared" si="13"/>
        <v>Q1</v>
      </c>
      <c r="C854" t="str">
        <f>TEXT(Table1[[#This Row],[Order_Date]],"mmmm")</f>
        <v>February</v>
      </c>
      <c r="D854">
        <f>YEAR(Table1[[#This Row],[Order_Date]])</f>
        <v>2025</v>
      </c>
      <c r="E854" s="7">
        <v>45700</v>
      </c>
      <c r="F854" s="2" t="str">
        <f>VLOOKUP(Table1[[#This Row],[Customer_ID]],Customer_Dim!$A$2:$H$501,2,FALSE)</f>
        <v>Beth Allen</v>
      </c>
      <c r="G854" s="2" t="str">
        <f>_xlfn.XLOOKUP(Table1[[#This Row],[Customer_ID]],Customer_Dim!$A$2:$A$501,Customer_Dim!$E$2:$E$501)</f>
        <v>South Kathrynmouth</v>
      </c>
      <c r="H854" t="s">
        <v>820</v>
      </c>
      <c r="I854" t="str">
        <f>VLOOKUP(Table1[[#This Row],[Product_ID]],Product_Dim!$A$2:$G$101,2,FALSE)</f>
        <v>USB-C Fast Charger-Electronics</v>
      </c>
      <c r="J854" t="s">
        <v>1549</v>
      </c>
      <c r="K854" t="str">
        <f>VLOOKUP(Table1[[#This Row],[Store_ID]],Store_Dim!$A$3:$D$22,2,FALSE)</f>
        <v>Guerrero-Schmitt-East</v>
      </c>
      <c r="L854" t="s">
        <v>1761</v>
      </c>
      <c r="M854" t="s">
        <v>3959</v>
      </c>
      <c r="N854" s="3">
        <v>266.98</v>
      </c>
      <c r="O854" s="4">
        <v>0.16</v>
      </c>
      <c r="P854" t="s">
        <v>1772</v>
      </c>
      <c r="Q854" s="4">
        <v>897.05280000000005</v>
      </c>
    </row>
    <row r="855" spans="1:17" x14ac:dyDescent="0.3">
      <c r="A855" t="s">
        <v>2627</v>
      </c>
      <c r="B855" t="str">
        <f t="shared" si="13"/>
        <v>Q3</v>
      </c>
      <c r="C855" t="str">
        <f>TEXT(Table1[[#This Row],[Order_Date]],"mmmm")</f>
        <v>August</v>
      </c>
      <c r="D855">
        <f>YEAR(Table1[[#This Row],[Order_Date]])</f>
        <v>2025</v>
      </c>
      <c r="E855" s="7">
        <v>45873</v>
      </c>
      <c r="F855" s="2" t="str">
        <f>VLOOKUP(Table1[[#This Row],[Customer_ID]],Customer_Dim!$A$2:$H$501,2,FALSE)</f>
        <v>Joseph Mendoza</v>
      </c>
      <c r="G855" s="2" t="str">
        <f>_xlfn.XLOOKUP(Table1[[#This Row],[Customer_ID]],Customer_Dim!$A$2:$A$501,Customer_Dim!$E$2:$E$501)</f>
        <v>Ashleymouth</v>
      </c>
      <c r="H855" t="s">
        <v>1252</v>
      </c>
      <c r="I855" t="str">
        <f>VLOOKUP(Table1[[#This Row],[Product_ID]],Product_Dim!$A$2:$G$101,2,FALSE)</f>
        <v>Kitchen Storage Rack-Home</v>
      </c>
      <c r="J855" t="s">
        <v>1663</v>
      </c>
      <c r="K855" t="str">
        <f>VLOOKUP(Table1[[#This Row],[Store_ID]],Store_Dim!$A$3:$D$22,2,FALSE)</f>
        <v>Shelton PLC-North</v>
      </c>
      <c r="L855" t="s">
        <v>1755</v>
      </c>
      <c r="M855" t="s">
        <v>3958</v>
      </c>
      <c r="N855" s="3">
        <v>360.18</v>
      </c>
      <c r="O855" s="4">
        <v>0.03</v>
      </c>
      <c r="P855" t="s">
        <v>1772</v>
      </c>
      <c r="Q855" s="4">
        <v>1048.1238000000001</v>
      </c>
    </row>
    <row r="856" spans="1:17" x14ac:dyDescent="0.3">
      <c r="A856" t="s">
        <v>2628</v>
      </c>
      <c r="B856" t="str">
        <f t="shared" si="13"/>
        <v>Q3</v>
      </c>
      <c r="C856" t="str">
        <f>TEXT(Table1[[#This Row],[Order_Date]],"mmmm")</f>
        <v>July</v>
      </c>
      <c r="D856">
        <f>YEAR(Table1[[#This Row],[Order_Date]])</f>
        <v>2025</v>
      </c>
      <c r="E856" s="7">
        <v>45860</v>
      </c>
      <c r="F856" s="2" t="str">
        <f>VLOOKUP(Table1[[#This Row],[Customer_ID]],Customer_Dim!$A$2:$H$501,2,FALSE)</f>
        <v>Elizabeth Smith</v>
      </c>
      <c r="G856" s="2" t="str">
        <f>_xlfn.XLOOKUP(Table1[[#This Row],[Customer_ID]],Customer_Dim!$A$2:$A$501,Customer_Dim!$E$2:$E$501)</f>
        <v>Murphytown</v>
      </c>
      <c r="H856" t="s">
        <v>1123</v>
      </c>
      <c r="I856" t="str">
        <f>VLOOKUP(Table1[[#This Row],[Product_ID]],Product_Dim!$A$2:$G$101,2,FALSE)</f>
        <v>Premium Blanket Throw-Home</v>
      </c>
      <c r="J856" t="s">
        <v>1635</v>
      </c>
      <c r="K856" t="str">
        <f>VLOOKUP(Table1[[#This Row],[Store_ID]],Store_Dim!$A$3:$D$22,2,FALSE)</f>
        <v>Rivera-Warner-East</v>
      </c>
      <c r="L856" t="s">
        <v>1725</v>
      </c>
      <c r="M856" t="s">
        <v>3958</v>
      </c>
      <c r="N856" s="3">
        <v>247.41</v>
      </c>
      <c r="O856" s="4">
        <v>0.05</v>
      </c>
      <c r="P856" t="s">
        <v>1777</v>
      </c>
      <c r="Q856" s="4">
        <v>705.11850000000004</v>
      </c>
    </row>
    <row r="857" spans="1:17" x14ac:dyDescent="0.3">
      <c r="A857" t="s">
        <v>2629</v>
      </c>
      <c r="B857" t="str">
        <f t="shared" si="13"/>
        <v>Q4</v>
      </c>
      <c r="C857" t="str">
        <f>TEXT(Table1[[#This Row],[Order_Date]],"mmmm")</f>
        <v>November</v>
      </c>
      <c r="D857">
        <f>YEAR(Table1[[#This Row],[Order_Date]])</f>
        <v>2023</v>
      </c>
      <c r="E857" s="7">
        <v>45235</v>
      </c>
      <c r="F857" s="2" t="str">
        <f>VLOOKUP(Table1[[#This Row],[Customer_ID]],Customer_Dim!$A$2:$H$501,2,FALSE)</f>
        <v>Cody Blake</v>
      </c>
      <c r="G857" s="2" t="str">
        <f>_xlfn.XLOOKUP(Table1[[#This Row],[Customer_ID]],Customer_Dim!$A$2:$A$501,Customer_Dim!$E$2:$E$501)</f>
        <v>North Scottport</v>
      </c>
      <c r="H857" t="s">
        <v>281</v>
      </c>
      <c r="I857" t="str">
        <f>VLOOKUP(Table1[[#This Row],[Product_ID]],Product_Dim!$A$2:$G$101,2,FALSE)</f>
        <v>High-Grip Football-Sports</v>
      </c>
      <c r="J857" t="s">
        <v>1613</v>
      </c>
      <c r="K857" t="str">
        <f>VLOOKUP(Table1[[#This Row],[Store_ID]],Store_Dim!$A$3:$D$22,2,FALSE)</f>
        <v>Shelton PLC-North</v>
      </c>
      <c r="L857" t="s">
        <v>1755</v>
      </c>
      <c r="M857" t="s">
        <v>3958</v>
      </c>
      <c r="N857" s="3">
        <v>674.66</v>
      </c>
      <c r="O857" s="4">
        <v>0.23</v>
      </c>
      <c r="P857" t="s">
        <v>1772</v>
      </c>
      <c r="Q857" s="4">
        <v>1558.4646</v>
      </c>
    </row>
    <row r="858" spans="1:17" x14ac:dyDescent="0.3">
      <c r="A858" t="s">
        <v>2630</v>
      </c>
      <c r="B858" t="str">
        <f t="shared" si="13"/>
        <v>Q3</v>
      </c>
      <c r="C858" t="str">
        <f>TEXT(Table1[[#This Row],[Order_Date]],"mmmm")</f>
        <v>August</v>
      </c>
      <c r="D858">
        <f>YEAR(Table1[[#This Row],[Order_Date]])</f>
        <v>2025</v>
      </c>
      <c r="E858" s="7">
        <v>45874</v>
      </c>
      <c r="F858" s="2" t="str">
        <f>VLOOKUP(Table1[[#This Row],[Customer_ID]],Customer_Dim!$A$2:$H$501,2,FALSE)</f>
        <v>Tyler Cook</v>
      </c>
      <c r="G858" s="2" t="str">
        <f>_xlfn.XLOOKUP(Table1[[#This Row],[Customer_ID]],Customer_Dim!$A$2:$A$501,Customer_Dim!$E$2:$E$501)</f>
        <v>Kramerview</v>
      </c>
      <c r="H858" t="s">
        <v>1275</v>
      </c>
      <c r="I858" t="str">
        <f>VLOOKUP(Table1[[#This Row],[Product_ID]],Product_Dim!$A$2:$G$101,2,FALSE)</f>
        <v>Smart Home WiFi Camera-Electronics</v>
      </c>
      <c r="J858" t="s">
        <v>1607</v>
      </c>
      <c r="K858" t="str">
        <f>VLOOKUP(Table1[[#This Row],[Store_ID]],Store_Dim!$A$3:$D$22,2,FALSE)</f>
        <v>Alexander Group-South</v>
      </c>
      <c r="L858" t="s">
        <v>1735</v>
      </c>
      <c r="M858" t="s">
        <v>3957</v>
      </c>
      <c r="N858" s="3">
        <v>913.98</v>
      </c>
      <c r="O858" s="4">
        <v>0.27</v>
      </c>
      <c r="P858" t="s">
        <v>1774</v>
      </c>
      <c r="Q858" s="4">
        <v>667.20539999999994</v>
      </c>
    </row>
    <row r="859" spans="1:17" x14ac:dyDescent="0.3">
      <c r="A859" t="s">
        <v>2631</v>
      </c>
      <c r="B859" t="str">
        <f t="shared" si="13"/>
        <v>Q2</v>
      </c>
      <c r="C859" t="str">
        <f>TEXT(Table1[[#This Row],[Order_Date]],"mmmm")</f>
        <v>April</v>
      </c>
      <c r="D859">
        <f>YEAR(Table1[[#This Row],[Order_Date]])</f>
        <v>2025</v>
      </c>
      <c r="E859" s="7">
        <v>45769</v>
      </c>
      <c r="F859" s="2" t="str">
        <f>VLOOKUP(Table1[[#This Row],[Customer_ID]],Customer_Dim!$A$2:$H$501,2,FALSE)</f>
        <v>Elizabeth Johnson</v>
      </c>
      <c r="G859" s="2" t="str">
        <f>_xlfn.XLOOKUP(Table1[[#This Row],[Customer_ID]],Customer_Dim!$A$2:$A$501,Customer_Dim!$E$2:$E$501)</f>
        <v>Anitaland</v>
      </c>
      <c r="H859" t="s">
        <v>980</v>
      </c>
      <c r="I859" t="str">
        <f>VLOOKUP(Table1[[#This Row],[Product_ID]],Product_Dim!$A$2:$G$101,2,FALSE)</f>
        <v>USB-C Laptop Charger-Electronics</v>
      </c>
      <c r="J859" t="s">
        <v>1709</v>
      </c>
      <c r="K859" t="str">
        <f>VLOOKUP(Table1[[#This Row],[Store_ID]],Store_Dim!$A$3:$D$22,2,FALSE)</f>
        <v>Hill, Wagner and Ballard-East</v>
      </c>
      <c r="L859" t="s">
        <v>1748</v>
      </c>
      <c r="M859" t="s">
        <v>3959</v>
      </c>
      <c r="N859" s="3">
        <v>370.5</v>
      </c>
      <c r="O859" s="4">
        <v>0.13</v>
      </c>
      <c r="P859" t="s">
        <v>1774</v>
      </c>
      <c r="Q859" s="4">
        <v>1289.3399999999999</v>
      </c>
    </row>
    <row r="860" spans="1:17" x14ac:dyDescent="0.3">
      <c r="A860" t="s">
        <v>2632</v>
      </c>
      <c r="B860" t="str">
        <f t="shared" si="13"/>
        <v>Q4</v>
      </c>
      <c r="C860" t="str">
        <f>TEXT(Table1[[#This Row],[Order_Date]],"mmmm")</f>
        <v>November</v>
      </c>
      <c r="D860">
        <f>YEAR(Table1[[#This Row],[Order_Date]])</f>
        <v>2024</v>
      </c>
      <c r="E860" s="7">
        <v>45619</v>
      </c>
      <c r="F860" s="2" t="str">
        <f>VLOOKUP(Table1[[#This Row],[Customer_ID]],Customer_Dim!$A$2:$H$501,2,FALSE)</f>
        <v>Ashley Anderson</v>
      </c>
      <c r="G860" s="2" t="str">
        <f>_xlfn.XLOOKUP(Table1[[#This Row],[Customer_ID]],Customer_Dim!$A$2:$A$501,Customer_Dim!$E$2:$E$501)</f>
        <v>West Johnmouth</v>
      </c>
      <c r="H860" t="s">
        <v>1109</v>
      </c>
      <c r="I860" t="str">
        <f>VLOOKUP(Table1[[#This Row],[Product_ID]],Product_Dim!$A$2:$G$101,2,FALSE)</f>
        <v>Professional Jump Rope-Sports</v>
      </c>
      <c r="J860" t="s">
        <v>1667</v>
      </c>
      <c r="K860" t="str">
        <f>VLOOKUP(Table1[[#This Row],[Store_ID]],Store_Dim!$A$3:$D$22,2,FALSE)</f>
        <v>Gardner, Humphrey and Contreras-East</v>
      </c>
      <c r="L860" t="s">
        <v>1753</v>
      </c>
      <c r="M860" t="s">
        <v>3957</v>
      </c>
      <c r="N860" s="3">
        <v>735.1</v>
      </c>
      <c r="O860" s="4">
        <v>0.1</v>
      </c>
      <c r="P860" t="s">
        <v>1774</v>
      </c>
      <c r="Q860" s="4">
        <v>661.59</v>
      </c>
    </row>
    <row r="861" spans="1:17" x14ac:dyDescent="0.3">
      <c r="A861" t="s">
        <v>2633</v>
      </c>
      <c r="B861" t="str">
        <f t="shared" si="13"/>
        <v>Q4</v>
      </c>
      <c r="C861" t="str">
        <f>TEXT(Table1[[#This Row],[Order_Date]],"mmmm")</f>
        <v>November</v>
      </c>
      <c r="D861">
        <f>YEAR(Table1[[#This Row],[Order_Date]])</f>
        <v>2024</v>
      </c>
      <c r="E861" s="7">
        <v>45614</v>
      </c>
      <c r="F861" s="2" t="str">
        <f>VLOOKUP(Table1[[#This Row],[Customer_ID]],Customer_Dim!$A$2:$H$501,2,FALSE)</f>
        <v>Matthew Hanna</v>
      </c>
      <c r="G861" s="2" t="str">
        <f>_xlfn.XLOOKUP(Table1[[#This Row],[Customer_ID]],Customer_Dim!$A$2:$A$501,Customer_Dim!$E$2:$E$501)</f>
        <v>Gonzalezbury</v>
      </c>
      <c r="H861" t="s">
        <v>456</v>
      </c>
      <c r="I861" t="str">
        <f>VLOOKUP(Table1[[#This Row],[Product_ID]],Product_Dim!$A$2:$G$101,2,FALSE)</f>
        <v>Decorative Lamp Shade-Home</v>
      </c>
      <c r="J861" t="s">
        <v>1681</v>
      </c>
      <c r="K861" t="str">
        <f>VLOOKUP(Table1[[#This Row],[Store_ID]],Store_Dim!$A$3:$D$22,2,FALSE)</f>
        <v>Black-Horn-South</v>
      </c>
      <c r="L861" t="s">
        <v>1730</v>
      </c>
      <c r="M861" t="s">
        <v>3958</v>
      </c>
      <c r="N861" s="3">
        <v>448.55</v>
      </c>
      <c r="O861" s="4">
        <v>0.05</v>
      </c>
      <c r="P861" t="s">
        <v>1772</v>
      </c>
      <c r="Q861" s="4">
        <v>1278.3675000000001</v>
      </c>
    </row>
    <row r="862" spans="1:17" x14ac:dyDescent="0.3">
      <c r="A862" t="s">
        <v>2634</v>
      </c>
      <c r="B862" t="str">
        <f t="shared" si="13"/>
        <v>Q1</v>
      </c>
      <c r="C862" t="str">
        <f>TEXT(Table1[[#This Row],[Order_Date]],"mmmm")</f>
        <v>February</v>
      </c>
      <c r="D862">
        <f>YEAR(Table1[[#This Row],[Order_Date]])</f>
        <v>2025</v>
      </c>
      <c r="E862" s="7">
        <v>45691</v>
      </c>
      <c r="F862" s="2" t="str">
        <f>VLOOKUP(Table1[[#This Row],[Customer_ID]],Customer_Dim!$A$2:$H$501,2,FALSE)</f>
        <v>Alyssa Vargas</v>
      </c>
      <c r="G862" s="2" t="str">
        <f>_xlfn.XLOOKUP(Table1[[#This Row],[Customer_ID]],Customer_Dim!$A$2:$A$501,Customer_Dim!$E$2:$E$501)</f>
        <v>New Kathrynland</v>
      </c>
      <c r="H862" t="s">
        <v>218</v>
      </c>
      <c r="I862" t="str">
        <f>VLOOKUP(Table1[[#This Row],[Product_ID]],Product_Dim!$A$2:$G$101,2,FALSE)</f>
        <v>Wooden Bookshelf-Home</v>
      </c>
      <c r="J862" t="s">
        <v>1691</v>
      </c>
      <c r="K862" t="str">
        <f>VLOOKUP(Table1[[#This Row],[Store_ID]],Store_Dim!$A$3:$D$22,2,FALSE)</f>
        <v>Gardner, Humphrey and Contreras-East</v>
      </c>
      <c r="L862" t="s">
        <v>1753</v>
      </c>
      <c r="M862" t="s">
        <v>3958</v>
      </c>
      <c r="N862" s="3">
        <v>904.96</v>
      </c>
      <c r="O862" s="4">
        <v>7.0000000000000007E-2</v>
      </c>
      <c r="P862" t="s">
        <v>1777</v>
      </c>
      <c r="Q862" s="4">
        <v>2524.8384000000001</v>
      </c>
    </row>
    <row r="863" spans="1:17" x14ac:dyDescent="0.3">
      <c r="A863" t="s">
        <v>2635</v>
      </c>
      <c r="B863" t="str">
        <f t="shared" si="13"/>
        <v>Q4</v>
      </c>
      <c r="C863" t="str">
        <f>TEXT(Table1[[#This Row],[Order_Date]],"mmmm")</f>
        <v>November</v>
      </c>
      <c r="D863">
        <f>YEAR(Table1[[#This Row],[Order_Date]])</f>
        <v>2024</v>
      </c>
      <c r="E863" s="7">
        <v>45608</v>
      </c>
      <c r="F863" s="2" t="str">
        <f>VLOOKUP(Table1[[#This Row],[Customer_ID]],Customer_Dim!$A$2:$H$501,2,FALSE)</f>
        <v>Shelley Ponce</v>
      </c>
      <c r="G863" s="2" t="str">
        <f>_xlfn.XLOOKUP(Table1[[#This Row],[Customer_ID]],Customer_Dim!$A$2:$A$501,Customer_Dim!$E$2:$E$501)</f>
        <v>South Cassandrachester</v>
      </c>
      <c r="H863" t="s">
        <v>1174</v>
      </c>
      <c r="I863" t="str">
        <f>VLOOKUP(Table1[[#This Row],[Product_ID]],Product_Dim!$A$2:$G$101,2,FALSE)</f>
        <v>Wooden Nightstand-Home</v>
      </c>
      <c r="J863" t="s">
        <v>1659</v>
      </c>
      <c r="K863" t="str">
        <f>VLOOKUP(Table1[[#This Row],[Store_ID]],Store_Dim!$A$3:$D$22,2,FALSE)</f>
        <v>Gardner, Humphrey and Contreras-East</v>
      </c>
      <c r="L863" t="s">
        <v>1753</v>
      </c>
      <c r="M863" t="s">
        <v>3959</v>
      </c>
      <c r="N863" s="3">
        <v>408.72</v>
      </c>
      <c r="O863" s="4">
        <v>0.16</v>
      </c>
      <c r="P863" t="s">
        <v>1777</v>
      </c>
      <c r="Q863" s="4">
        <v>1373.2991999999999</v>
      </c>
    </row>
    <row r="864" spans="1:17" x14ac:dyDescent="0.3">
      <c r="A864" t="s">
        <v>2636</v>
      </c>
      <c r="B864" t="str">
        <f t="shared" si="13"/>
        <v>Q2</v>
      </c>
      <c r="C864" t="str">
        <f>TEXT(Table1[[#This Row],[Order_Date]],"mmmm")</f>
        <v>April</v>
      </c>
      <c r="D864">
        <f>YEAR(Table1[[#This Row],[Order_Date]])</f>
        <v>2024</v>
      </c>
      <c r="E864" s="7">
        <v>45412</v>
      </c>
      <c r="F864" s="2" t="str">
        <f>VLOOKUP(Table1[[#This Row],[Customer_ID]],Customer_Dim!$A$2:$H$501,2,FALSE)</f>
        <v>Kristi Lopez</v>
      </c>
      <c r="G864" s="2" t="str">
        <f>_xlfn.XLOOKUP(Table1[[#This Row],[Customer_ID]],Customer_Dim!$A$2:$A$501,Customer_Dim!$E$2:$E$501)</f>
        <v>Spencermouth</v>
      </c>
      <c r="H864" t="s">
        <v>888</v>
      </c>
      <c r="I864" t="str">
        <f>VLOOKUP(Table1[[#This Row],[Product_ID]],Product_Dim!$A$2:$G$101,2,FALSE)</f>
        <v>Hair Repair Oil Treatment-Beauty</v>
      </c>
      <c r="J864" t="s">
        <v>1665</v>
      </c>
      <c r="K864" t="str">
        <f>VLOOKUP(Table1[[#This Row],[Store_ID]],Store_Dim!$A$3:$D$22,2,FALSE)</f>
        <v>Johnson-Wright-North</v>
      </c>
      <c r="L864" t="s">
        <v>1733</v>
      </c>
      <c r="M864" t="s">
        <v>3959</v>
      </c>
      <c r="N864" s="3">
        <v>770.65</v>
      </c>
      <c r="O864" s="4">
        <v>0.27</v>
      </c>
      <c r="P864" t="s">
        <v>1772</v>
      </c>
      <c r="Q864" s="4">
        <v>2250.2979999999998</v>
      </c>
    </row>
    <row r="865" spans="1:17" x14ac:dyDescent="0.3">
      <c r="A865" t="s">
        <v>2637</v>
      </c>
      <c r="B865" t="str">
        <f t="shared" si="13"/>
        <v>Q2</v>
      </c>
      <c r="C865" t="str">
        <f>TEXT(Table1[[#This Row],[Order_Date]],"mmmm")</f>
        <v>April</v>
      </c>
      <c r="D865">
        <f>YEAR(Table1[[#This Row],[Order_Date]])</f>
        <v>2025</v>
      </c>
      <c r="E865" s="7">
        <v>45767</v>
      </c>
      <c r="F865" s="2" t="str">
        <f>VLOOKUP(Table1[[#This Row],[Customer_ID]],Customer_Dim!$A$2:$H$501,2,FALSE)</f>
        <v>Sarah Brady</v>
      </c>
      <c r="G865" s="2" t="str">
        <f>_xlfn.XLOOKUP(Table1[[#This Row],[Customer_ID]],Customer_Dim!$A$2:$A$501,Customer_Dim!$E$2:$E$501)</f>
        <v>Johnsonland</v>
      </c>
      <c r="H865" t="s">
        <v>657</v>
      </c>
      <c r="I865" t="str">
        <f>VLOOKUP(Table1[[#This Row],[Product_ID]],Product_Dim!$A$2:$G$101,2,FALSE)</f>
        <v>Stainless Steel Cutlery Set-Home</v>
      </c>
      <c r="J865" t="s">
        <v>1583</v>
      </c>
      <c r="K865" t="str">
        <f>VLOOKUP(Table1[[#This Row],[Store_ID]],Store_Dim!$A$3:$D$22,2,FALSE)</f>
        <v>Benson-Elliott-East</v>
      </c>
      <c r="L865" t="s">
        <v>1740</v>
      </c>
      <c r="M865" t="s">
        <v>3957</v>
      </c>
      <c r="N865" s="3">
        <v>649.22</v>
      </c>
      <c r="O865" s="4">
        <v>0.03</v>
      </c>
      <c r="P865" t="s">
        <v>1777</v>
      </c>
      <c r="Q865" s="4">
        <v>629.74340000000007</v>
      </c>
    </row>
    <row r="866" spans="1:17" x14ac:dyDescent="0.3">
      <c r="A866" t="s">
        <v>2638</v>
      </c>
      <c r="B866" t="str">
        <f t="shared" si="13"/>
        <v>Q2</v>
      </c>
      <c r="C866" t="str">
        <f>TEXT(Table1[[#This Row],[Order_Date]],"mmmm")</f>
        <v>May</v>
      </c>
      <c r="D866">
        <f>YEAR(Table1[[#This Row],[Order_Date]])</f>
        <v>2024</v>
      </c>
      <c r="E866" s="7">
        <v>45428</v>
      </c>
      <c r="F866" s="2" t="str">
        <f>VLOOKUP(Table1[[#This Row],[Customer_ID]],Customer_Dim!$A$2:$H$501,2,FALSE)</f>
        <v>Sherry Cabrera</v>
      </c>
      <c r="G866" s="2" t="str">
        <f>_xlfn.XLOOKUP(Table1[[#This Row],[Customer_ID]],Customer_Dim!$A$2:$A$501,Customer_Dim!$E$2:$E$501)</f>
        <v>Shannonview</v>
      </c>
      <c r="H866" t="s">
        <v>1080</v>
      </c>
      <c r="I866" t="str">
        <f>VLOOKUP(Table1[[#This Row],[Product_ID]],Product_Dim!$A$2:$G$101,2,FALSE)</f>
        <v>Modern Wall Clock-Home</v>
      </c>
      <c r="J866" t="s">
        <v>1589</v>
      </c>
      <c r="K866" t="str">
        <f>VLOOKUP(Table1[[#This Row],[Store_ID]],Store_Dim!$A$3:$D$22,2,FALSE)</f>
        <v>Hill, Wagner and Ballard-East</v>
      </c>
      <c r="L866" t="s">
        <v>1748</v>
      </c>
      <c r="M866" t="s">
        <v>3960</v>
      </c>
      <c r="N866" s="3">
        <v>379.78</v>
      </c>
      <c r="O866" s="4">
        <v>0.2</v>
      </c>
      <c r="P866" t="s">
        <v>1772</v>
      </c>
      <c r="Q866" s="4">
        <v>607.64800000000002</v>
      </c>
    </row>
    <row r="867" spans="1:17" x14ac:dyDescent="0.3">
      <c r="A867" t="s">
        <v>2639</v>
      </c>
      <c r="B867" t="str">
        <f t="shared" si="13"/>
        <v>Q2</v>
      </c>
      <c r="C867" t="str">
        <f>TEXT(Table1[[#This Row],[Order_Date]],"mmmm")</f>
        <v>April</v>
      </c>
      <c r="D867">
        <f>YEAR(Table1[[#This Row],[Order_Date]])</f>
        <v>2025</v>
      </c>
      <c r="E867" s="7">
        <v>45770</v>
      </c>
      <c r="F867" s="2" t="str">
        <f>VLOOKUP(Table1[[#This Row],[Customer_ID]],Customer_Dim!$A$2:$H$501,2,FALSE)</f>
        <v>Nicholas Webb</v>
      </c>
      <c r="G867" s="2" t="str">
        <f>_xlfn.XLOOKUP(Table1[[#This Row],[Customer_ID]],Customer_Dim!$A$2:$A$501,Customer_Dim!$E$2:$E$501)</f>
        <v>Lake Timothy</v>
      </c>
      <c r="H867" t="s">
        <v>788</v>
      </c>
      <c r="I867" t="str">
        <f>VLOOKUP(Table1[[#This Row],[Product_ID]],Product_Dim!$A$2:$G$101,2,FALSE)</f>
        <v>USB External Hard Drive-Electronics</v>
      </c>
      <c r="J867" t="s">
        <v>1609</v>
      </c>
      <c r="K867" t="str">
        <f>VLOOKUP(Table1[[#This Row],[Store_ID]],Store_Dim!$A$3:$D$22,2,FALSE)</f>
        <v>Bean, Jones and Park-West</v>
      </c>
      <c r="L867" t="s">
        <v>1744</v>
      </c>
      <c r="M867" t="s">
        <v>3958</v>
      </c>
      <c r="N867" s="3">
        <v>924.15</v>
      </c>
      <c r="O867" s="4">
        <v>0.1</v>
      </c>
      <c r="P867" t="s">
        <v>1774</v>
      </c>
      <c r="Q867" s="4">
        <v>2495.2049999999999</v>
      </c>
    </row>
    <row r="868" spans="1:17" x14ac:dyDescent="0.3">
      <c r="A868" t="s">
        <v>2640</v>
      </c>
      <c r="B868" t="str">
        <f t="shared" si="13"/>
        <v>Q4</v>
      </c>
      <c r="C868" t="str">
        <f>TEXT(Table1[[#This Row],[Order_Date]],"mmmm")</f>
        <v>October</v>
      </c>
      <c r="D868">
        <f>YEAR(Table1[[#This Row],[Order_Date]])</f>
        <v>2024</v>
      </c>
      <c r="E868" s="7">
        <v>45571</v>
      </c>
      <c r="F868" s="2" t="str">
        <f>VLOOKUP(Table1[[#This Row],[Customer_ID]],Customer_Dim!$A$2:$H$501,2,FALSE)</f>
        <v>James Foster</v>
      </c>
      <c r="G868" s="2" t="str">
        <f>_xlfn.XLOOKUP(Table1[[#This Row],[Customer_ID]],Customer_Dim!$A$2:$A$501,Customer_Dim!$E$2:$E$501)</f>
        <v>East Audrey</v>
      </c>
      <c r="H868" t="s">
        <v>1430</v>
      </c>
      <c r="I868" t="str">
        <f>VLOOKUP(Table1[[#This Row],[Product_ID]],Product_Dim!$A$2:$G$101,2,FALSE)</f>
        <v>High-Grip Football-Sports</v>
      </c>
      <c r="J868" t="s">
        <v>1613</v>
      </c>
      <c r="K868" t="str">
        <f>VLOOKUP(Table1[[#This Row],[Store_ID]],Store_Dim!$A$3:$D$22,2,FALSE)</f>
        <v>Holloway Ltd-North</v>
      </c>
      <c r="L868" t="s">
        <v>1759</v>
      </c>
      <c r="M868" t="s">
        <v>3958</v>
      </c>
      <c r="N868" s="3">
        <v>144.66999999999999</v>
      </c>
      <c r="O868" s="4">
        <v>0.28999999999999998</v>
      </c>
      <c r="P868" t="s">
        <v>1777</v>
      </c>
      <c r="Q868" s="4">
        <v>308.14710000000002</v>
      </c>
    </row>
    <row r="869" spans="1:17" x14ac:dyDescent="0.3">
      <c r="A869" t="s">
        <v>2641</v>
      </c>
      <c r="B869" t="str">
        <f t="shared" si="13"/>
        <v>Q1</v>
      </c>
      <c r="C869" t="str">
        <f>TEXT(Table1[[#This Row],[Order_Date]],"mmmm")</f>
        <v>February</v>
      </c>
      <c r="D869">
        <f>YEAR(Table1[[#This Row],[Order_Date]])</f>
        <v>2025</v>
      </c>
      <c r="E869" s="7">
        <v>45700</v>
      </c>
      <c r="F869" s="2" t="str">
        <f>VLOOKUP(Table1[[#This Row],[Customer_ID]],Customer_Dim!$A$2:$H$501,2,FALSE)</f>
        <v>Joel Robinson</v>
      </c>
      <c r="G869" s="2" t="str">
        <f>_xlfn.XLOOKUP(Table1[[#This Row],[Customer_ID]],Customer_Dim!$A$2:$A$501,Customer_Dim!$E$2:$E$501)</f>
        <v>Lake Danielport</v>
      </c>
      <c r="H869" t="s">
        <v>414</v>
      </c>
      <c r="I869" t="str">
        <f>VLOOKUP(Table1[[#This Row],[Product_ID]],Product_Dim!$A$2:$G$101,2,FALSE)</f>
        <v>Modern Wall Clock-Home</v>
      </c>
      <c r="J869" t="s">
        <v>1589</v>
      </c>
      <c r="K869" t="str">
        <f>VLOOKUP(Table1[[#This Row],[Store_ID]],Store_Dim!$A$3:$D$22,2,FALSE)</f>
        <v>Shelton PLC-North</v>
      </c>
      <c r="L869" t="s">
        <v>1755</v>
      </c>
      <c r="M869" t="s">
        <v>3960</v>
      </c>
      <c r="N869" s="3">
        <v>667.17</v>
      </c>
      <c r="O869" s="4">
        <v>0.1</v>
      </c>
      <c r="P869" t="s">
        <v>1774</v>
      </c>
      <c r="Q869" s="4">
        <v>1200.9059999999999</v>
      </c>
    </row>
    <row r="870" spans="1:17" x14ac:dyDescent="0.3">
      <c r="A870" t="s">
        <v>2642</v>
      </c>
      <c r="B870" t="str">
        <f t="shared" si="13"/>
        <v>Q1</v>
      </c>
      <c r="C870" t="str">
        <f>TEXT(Table1[[#This Row],[Order_Date]],"mmmm")</f>
        <v>March</v>
      </c>
      <c r="D870">
        <f>YEAR(Table1[[#This Row],[Order_Date]])</f>
        <v>2024</v>
      </c>
      <c r="E870" s="7">
        <v>45382</v>
      </c>
      <c r="F870" s="2" t="str">
        <f>VLOOKUP(Table1[[#This Row],[Customer_ID]],Customer_Dim!$A$2:$H$501,2,FALSE)</f>
        <v>Cassandra Perez</v>
      </c>
      <c r="G870" s="2" t="str">
        <f>_xlfn.XLOOKUP(Table1[[#This Row],[Customer_ID]],Customer_Dim!$A$2:$A$501,Customer_Dim!$E$2:$E$501)</f>
        <v>Brandonville</v>
      </c>
      <c r="H870" t="s">
        <v>1238</v>
      </c>
      <c r="I870" t="str">
        <f>VLOOKUP(Table1[[#This Row],[Product_ID]],Product_Dim!$A$2:$G$101,2,FALSE)</f>
        <v>Women's Hair Dryer Brush-Beauty</v>
      </c>
      <c r="J870" t="s">
        <v>1655</v>
      </c>
      <c r="K870" t="str">
        <f>VLOOKUP(Table1[[#This Row],[Store_ID]],Store_Dim!$A$3:$D$22,2,FALSE)</f>
        <v>Johnson-Wright-North</v>
      </c>
      <c r="L870" t="s">
        <v>1733</v>
      </c>
      <c r="M870" t="s">
        <v>3957</v>
      </c>
      <c r="N870" s="3">
        <v>984.6</v>
      </c>
      <c r="O870" s="4">
        <v>0.22</v>
      </c>
      <c r="P870" t="s">
        <v>1772</v>
      </c>
      <c r="Q870" s="4">
        <v>767.98800000000006</v>
      </c>
    </row>
    <row r="871" spans="1:17" x14ac:dyDescent="0.3">
      <c r="A871" t="s">
        <v>2643</v>
      </c>
      <c r="B871" t="str">
        <f t="shared" si="13"/>
        <v>Q4</v>
      </c>
      <c r="C871" t="str">
        <f>TEXT(Table1[[#This Row],[Order_Date]],"mmmm")</f>
        <v>November</v>
      </c>
      <c r="D871">
        <f>YEAR(Table1[[#This Row],[Order_Date]])</f>
        <v>2023</v>
      </c>
      <c r="E871" s="7">
        <v>45260</v>
      </c>
      <c r="F871" s="2" t="str">
        <f>VLOOKUP(Table1[[#This Row],[Customer_ID]],Customer_Dim!$A$2:$H$501,2,FALSE)</f>
        <v>Aaron Luna</v>
      </c>
      <c r="G871" s="2" t="str">
        <f>_xlfn.XLOOKUP(Table1[[#This Row],[Customer_ID]],Customer_Dim!$A$2:$A$501,Customer_Dim!$E$2:$E$501)</f>
        <v>Gilltown</v>
      </c>
      <c r="H871" t="s">
        <v>879</v>
      </c>
      <c r="I871" t="str">
        <f>VLOOKUP(Table1[[#This Row],[Product_ID]],Product_Dim!$A$2:$G$101,2,FALSE)</f>
        <v>USB-C Fast Charger-Electronics</v>
      </c>
      <c r="J871" t="s">
        <v>1549</v>
      </c>
      <c r="K871" t="str">
        <f>VLOOKUP(Table1[[#This Row],[Store_ID]],Store_Dim!$A$3:$D$22,2,FALSE)</f>
        <v>Bean, Jones and Park-West</v>
      </c>
      <c r="L871" t="s">
        <v>1744</v>
      </c>
      <c r="M871" t="s">
        <v>3957</v>
      </c>
      <c r="N871" s="3">
        <v>139.29</v>
      </c>
      <c r="O871" s="4">
        <v>0</v>
      </c>
      <c r="P871" t="s">
        <v>1772</v>
      </c>
      <c r="Q871" s="4">
        <v>139.29</v>
      </c>
    </row>
    <row r="872" spans="1:17" x14ac:dyDescent="0.3">
      <c r="A872" t="s">
        <v>2644</v>
      </c>
      <c r="B872" t="str">
        <f t="shared" si="13"/>
        <v>Q1</v>
      </c>
      <c r="C872" t="str">
        <f>TEXT(Table1[[#This Row],[Order_Date]],"mmmm")</f>
        <v>February</v>
      </c>
      <c r="D872">
        <f>YEAR(Table1[[#This Row],[Order_Date]])</f>
        <v>2025</v>
      </c>
      <c r="E872" s="7">
        <v>45702</v>
      </c>
      <c r="F872" s="2" t="str">
        <f>VLOOKUP(Table1[[#This Row],[Customer_ID]],Customer_Dim!$A$2:$H$501,2,FALSE)</f>
        <v>Robert Jones Dds</v>
      </c>
      <c r="G872" s="2" t="str">
        <f>_xlfn.XLOOKUP(Table1[[#This Row],[Customer_ID]],Customer_Dim!$A$2:$A$501,Customer_Dim!$E$2:$E$501)</f>
        <v>Tristanton</v>
      </c>
      <c r="H872" t="s">
        <v>134</v>
      </c>
      <c r="I872" t="str">
        <f>VLOOKUP(Table1[[#This Row],[Product_ID]],Product_Dim!$A$2:$G$101,2,FALSE)</f>
        <v>Beard Grooming Kit-Beauty</v>
      </c>
      <c r="J872" t="s">
        <v>1555</v>
      </c>
      <c r="K872" t="str">
        <f>VLOOKUP(Table1[[#This Row],[Store_ID]],Store_Dim!$A$3:$D$22,2,FALSE)</f>
        <v>Bean, Jones and Park-West</v>
      </c>
      <c r="L872" t="s">
        <v>1744</v>
      </c>
      <c r="M872" t="s">
        <v>3958</v>
      </c>
      <c r="N872" s="3">
        <v>459.57</v>
      </c>
      <c r="O872" s="4">
        <v>0.1</v>
      </c>
      <c r="P872" t="s">
        <v>1777</v>
      </c>
      <c r="Q872" s="4">
        <v>1240.8389999999999</v>
      </c>
    </row>
    <row r="873" spans="1:17" x14ac:dyDescent="0.3">
      <c r="A873" t="s">
        <v>2645</v>
      </c>
      <c r="B873" t="str">
        <f t="shared" si="13"/>
        <v>Q1</v>
      </c>
      <c r="C873" t="str">
        <f>TEXT(Table1[[#This Row],[Order_Date]],"mmmm")</f>
        <v>January</v>
      </c>
      <c r="D873">
        <f>YEAR(Table1[[#This Row],[Order_Date]])</f>
        <v>2024</v>
      </c>
      <c r="E873" s="7">
        <v>45302</v>
      </c>
      <c r="F873" s="2" t="str">
        <f>VLOOKUP(Table1[[#This Row],[Customer_ID]],Customer_Dim!$A$2:$H$501,2,FALSE)</f>
        <v>Cody Diaz</v>
      </c>
      <c r="G873" s="2" t="str">
        <f>_xlfn.XLOOKUP(Table1[[#This Row],[Customer_ID]],Customer_Dim!$A$2:$A$501,Customer_Dim!$E$2:$E$501)</f>
        <v>South Aaronside</v>
      </c>
      <c r="H873" t="s">
        <v>241</v>
      </c>
      <c r="I873" t="str">
        <f>VLOOKUP(Table1[[#This Row],[Product_ID]],Product_Dim!$A$2:$G$101,2,FALSE)</f>
        <v>Noise-Canceling Headphones-Electronics</v>
      </c>
      <c r="J873" t="s">
        <v>1603</v>
      </c>
      <c r="K873" t="str">
        <f>VLOOKUP(Table1[[#This Row],[Store_ID]],Store_Dim!$A$3:$D$22,2,FALSE)</f>
        <v>Shelton PLC-North</v>
      </c>
      <c r="L873" t="s">
        <v>1755</v>
      </c>
      <c r="M873" t="s">
        <v>3957</v>
      </c>
      <c r="N873" s="3">
        <v>517.82000000000005</v>
      </c>
      <c r="O873" s="4">
        <v>0.28999999999999998</v>
      </c>
      <c r="P873" t="s">
        <v>1772</v>
      </c>
      <c r="Q873" s="4">
        <v>367.65219999999999</v>
      </c>
    </row>
    <row r="874" spans="1:17" x14ac:dyDescent="0.3">
      <c r="A874" t="s">
        <v>2646</v>
      </c>
      <c r="B874" t="str">
        <f t="shared" si="13"/>
        <v>Q4</v>
      </c>
      <c r="C874" t="str">
        <f>TEXT(Table1[[#This Row],[Order_Date]],"mmmm")</f>
        <v>December</v>
      </c>
      <c r="D874">
        <f>YEAR(Table1[[#This Row],[Order_Date]])</f>
        <v>2024</v>
      </c>
      <c r="E874" s="7">
        <v>45653</v>
      </c>
      <c r="F874" s="2" t="str">
        <f>VLOOKUP(Table1[[#This Row],[Customer_ID]],Customer_Dim!$A$2:$H$501,2,FALSE)</f>
        <v>Tanya Lopez</v>
      </c>
      <c r="G874" s="2" t="str">
        <f>_xlfn.XLOOKUP(Table1[[#This Row],[Customer_ID]],Customer_Dim!$A$2:$A$501,Customer_Dim!$E$2:$E$501)</f>
        <v>West Jeffreyburgh</v>
      </c>
      <c r="H874" t="s">
        <v>1171</v>
      </c>
      <c r="I874" t="str">
        <f>VLOOKUP(Table1[[#This Row],[Product_ID]],Product_Dim!$A$2:$G$101,2,FALSE)</f>
        <v>Wireless Mouse-Electronics</v>
      </c>
      <c r="J874" t="s">
        <v>1675</v>
      </c>
      <c r="K874" t="str">
        <f>VLOOKUP(Table1[[#This Row],[Store_ID]],Store_Dim!$A$3:$D$22,2,FALSE)</f>
        <v>Benson-Elliott-East</v>
      </c>
      <c r="L874" t="s">
        <v>1740</v>
      </c>
      <c r="M874" t="s">
        <v>3959</v>
      </c>
      <c r="N874" s="3">
        <v>282.45</v>
      </c>
      <c r="O874" s="4">
        <v>0.28999999999999998</v>
      </c>
      <c r="P874" t="s">
        <v>1777</v>
      </c>
      <c r="Q874" s="4">
        <v>802.1579999999999</v>
      </c>
    </row>
    <row r="875" spans="1:17" x14ac:dyDescent="0.3">
      <c r="A875" t="s">
        <v>2647</v>
      </c>
      <c r="B875" t="str">
        <f t="shared" si="13"/>
        <v>Q4</v>
      </c>
      <c r="C875" t="str">
        <f>TEXT(Table1[[#This Row],[Order_Date]],"mmmm")</f>
        <v>November</v>
      </c>
      <c r="D875">
        <f>YEAR(Table1[[#This Row],[Order_Date]])</f>
        <v>2023</v>
      </c>
      <c r="E875" s="7">
        <v>45250</v>
      </c>
      <c r="F875" s="2" t="str">
        <f>VLOOKUP(Table1[[#This Row],[Customer_ID]],Customer_Dim!$A$2:$H$501,2,FALSE)</f>
        <v>Tyler Weber</v>
      </c>
      <c r="G875" s="2" t="str">
        <f>_xlfn.XLOOKUP(Table1[[#This Row],[Customer_ID]],Customer_Dim!$A$2:$A$501,Customer_Dim!$E$2:$E$501)</f>
        <v>East Yvette</v>
      </c>
      <c r="H875" t="s">
        <v>1389</v>
      </c>
      <c r="I875" t="str">
        <f>VLOOKUP(Table1[[#This Row],[Product_ID]],Product_Dim!$A$2:$G$101,2,FALSE)</f>
        <v>LED Bedside Lamp-Home</v>
      </c>
      <c r="J875" t="s">
        <v>1697</v>
      </c>
      <c r="K875" t="str">
        <f>VLOOKUP(Table1[[#This Row],[Store_ID]],Store_Dim!$A$3:$D$22,2,FALSE)</f>
        <v>Martinez-Mullins-South</v>
      </c>
      <c r="L875" t="s">
        <v>1742</v>
      </c>
      <c r="M875" t="s">
        <v>3960</v>
      </c>
      <c r="N875" s="3">
        <v>386.46</v>
      </c>
      <c r="O875" s="4">
        <v>0.23</v>
      </c>
      <c r="P875" t="s">
        <v>1777</v>
      </c>
      <c r="Q875" s="4">
        <v>595.14840000000004</v>
      </c>
    </row>
    <row r="876" spans="1:17" x14ac:dyDescent="0.3">
      <c r="A876" t="s">
        <v>2648</v>
      </c>
      <c r="B876" t="str">
        <f t="shared" si="13"/>
        <v>Q1</v>
      </c>
      <c r="C876" t="str">
        <f>TEXT(Table1[[#This Row],[Order_Date]],"mmmm")</f>
        <v>January</v>
      </c>
      <c r="D876">
        <f>YEAR(Table1[[#This Row],[Order_Date]])</f>
        <v>2025</v>
      </c>
      <c r="E876" s="7">
        <v>45661</v>
      </c>
      <c r="F876" s="2" t="str">
        <f>VLOOKUP(Table1[[#This Row],[Customer_ID]],Customer_Dim!$A$2:$H$501,2,FALSE)</f>
        <v>Anthony Garcia</v>
      </c>
      <c r="G876" s="2" t="str">
        <f>_xlfn.XLOOKUP(Table1[[#This Row],[Customer_ID]],Customer_Dim!$A$2:$A$501,Customer_Dim!$E$2:$E$501)</f>
        <v>Taraberg</v>
      </c>
      <c r="H876" t="s">
        <v>634</v>
      </c>
      <c r="I876" t="str">
        <f>VLOOKUP(Table1[[#This Row],[Product_ID]],Product_Dim!$A$2:$G$101,2,FALSE)</f>
        <v>Knee Support Brace-Sports</v>
      </c>
      <c r="J876" t="s">
        <v>1561</v>
      </c>
      <c r="K876" t="str">
        <f>VLOOKUP(Table1[[#This Row],[Store_ID]],Store_Dim!$A$3:$D$22,2,FALSE)</f>
        <v>Johnson-Wright-North</v>
      </c>
      <c r="L876" t="s">
        <v>1733</v>
      </c>
      <c r="M876" t="s">
        <v>3957</v>
      </c>
      <c r="N876" s="3">
        <v>270.45</v>
      </c>
      <c r="O876" s="4">
        <v>0.15</v>
      </c>
      <c r="P876" t="s">
        <v>1777</v>
      </c>
      <c r="Q876" s="4">
        <v>229.88249999999999</v>
      </c>
    </row>
    <row r="877" spans="1:17" x14ac:dyDescent="0.3">
      <c r="A877" t="s">
        <v>2649</v>
      </c>
      <c r="B877" t="str">
        <f t="shared" si="13"/>
        <v>Q3</v>
      </c>
      <c r="C877" t="str">
        <f>TEXT(Table1[[#This Row],[Order_Date]],"mmmm")</f>
        <v>July</v>
      </c>
      <c r="D877">
        <f>YEAR(Table1[[#This Row],[Order_Date]])</f>
        <v>2024</v>
      </c>
      <c r="E877" s="7">
        <v>45493</v>
      </c>
      <c r="F877" s="2" t="str">
        <f>VLOOKUP(Table1[[#This Row],[Customer_ID]],Customer_Dim!$A$2:$H$501,2,FALSE)</f>
        <v>James Gibbs</v>
      </c>
      <c r="G877" s="2" t="str">
        <f>_xlfn.XLOOKUP(Table1[[#This Row],[Customer_ID]],Customer_Dim!$A$2:$A$501,Customer_Dim!$E$2:$E$501)</f>
        <v>Mooneyshire</v>
      </c>
      <c r="H877" t="s">
        <v>159</v>
      </c>
      <c r="I877" t="str">
        <f>VLOOKUP(Table1[[#This Row],[Product_ID]],Product_Dim!$A$2:$G$101,2,FALSE)</f>
        <v>Wireless Mouse-Electronics</v>
      </c>
      <c r="J877" t="s">
        <v>1675</v>
      </c>
      <c r="K877" t="str">
        <f>VLOOKUP(Table1[[#This Row],[Store_ID]],Store_Dim!$A$3:$D$22,2,FALSE)</f>
        <v>Hill, Wagner and Ballard-East</v>
      </c>
      <c r="L877" t="s">
        <v>1748</v>
      </c>
      <c r="M877" t="s">
        <v>3959</v>
      </c>
      <c r="N877" s="3">
        <v>762.94</v>
      </c>
      <c r="O877" s="4">
        <v>0.09</v>
      </c>
      <c r="P877" t="s">
        <v>1777</v>
      </c>
      <c r="Q877" s="4">
        <v>2777.1016</v>
      </c>
    </row>
    <row r="878" spans="1:17" x14ac:dyDescent="0.3">
      <c r="A878" t="s">
        <v>2650</v>
      </c>
      <c r="B878" t="str">
        <f t="shared" si="13"/>
        <v>Q4</v>
      </c>
      <c r="C878" t="str">
        <f>TEXT(Table1[[#This Row],[Order_Date]],"mmmm")</f>
        <v>November</v>
      </c>
      <c r="D878">
        <f>YEAR(Table1[[#This Row],[Order_Date]])</f>
        <v>2023</v>
      </c>
      <c r="E878" s="7">
        <v>45242</v>
      </c>
      <c r="F878" s="2" t="str">
        <f>VLOOKUP(Table1[[#This Row],[Customer_ID]],Customer_Dim!$A$2:$H$501,2,FALSE)</f>
        <v>Justin Lopez</v>
      </c>
      <c r="G878" s="2" t="str">
        <f>_xlfn.XLOOKUP(Table1[[#This Row],[Customer_ID]],Customer_Dim!$A$2:$A$501,Customer_Dim!$E$2:$E$501)</f>
        <v>Port Cheryl</v>
      </c>
      <c r="H878" t="s">
        <v>1501</v>
      </c>
      <c r="I878" t="str">
        <f>VLOOKUP(Table1[[#This Row],[Product_ID]],Product_Dim!$A$2:$G$101,2,FALSE)</f>
        <v>Yoga Exercise Mat-Sports</v>
      </c>
      <c r="J878" t="s">
        <v>1605</v>
      </c>
      <c r="K878" t="str">
        <f>VLOOKUP(Table1[[#This Row],[Store_ID]],Store_Dim!$A$3:$D$22,2,FALSE)</f>
        <v>Gardner, Humphrey and Contreras-East</v>
      </c>
      <c r="L878" t="s">
        <v>1753</v>
      </c>
      <c r="M878" t="s">
        <v>3957</v>
      </c>
      <c r="N878" s="3">
        <v>409.03</v>
      </c>
      <c r="O878" s="4">
        <v>0.25</v>
      </c>
      <c r="P878" t="s">
        <v>1777</v>
      </c>
      <c r="Q878" s="4">
        <v>306.77249999999998</v>
      </c>
    </row>
    <row r="879" spans="1:17" x14ac:dyDescent="0.3">
      <c r="A879" t="s">
        <v>2651</v>
      </c>
      <c r="B879" t="str">
        <f t="shared" si="13"/>
        <v>Q2</v>
      </c>
      <c r="C879" t="str">
        <f>TEXT(Table1[[#This Row],[Order_Date]],"mmmm")</f>
        <v>April</v>
      </c>
      <c r="D879">
        <f>YEAR(Table1[[#This Row],[Order_Date]])</f>
        <v>2024</v>
      </c>
      <c r="E879" s="7">
        <v>45411</v>
      </c>
      <c r="F879" s="2" t="str">
        <f>VLOOKUP(Table1[[#This Row],[Customer_ID]],Customer_Dim!$A$2:$H$501,2,FALSE)</f>
        <v>Jordan Wells</v>
      </c>
      <c r="G879" s="2" t="str">
        <f>_xlfn.XLOOKUP(Table1[[#This Row],[Customer_ID]],Customer_Dim!$A$2:$A$501,Customer_Dim!$E$2:$E$501)</f>
        <v xml:space="preserve">Phillipschester   </v>
      </c>
      <c r="H879" t="s">
        <v>705</v>
      </c>
      <c r="I879" t="str">
        <f>VLOOKUP(Table1[[#This Row],[Product_ID]],Product_Dim!$A$2:$G$101,2,FALSE)</f>
        <v>Women's Formal Blazer-Clothing</v>
      </c>
      <c r="J879" t="s">
        <v>1715</v>
      </c>
      <c r="K879" t="str">
        <f>VLOOKUP(Table1[[#This Row],[Store_ID]],Store_Dim!$A$3:$D$22,2,FALSE)</f>
        <v>Guerrero-Schmitt-East</v>
      </c>
      <c r="L879" t="s">
        <v>1761</v>
      </c>
      <c r="M879" t="s">
        <v>3960</v>
      </c>
      <c r="N879" s="3">
        <v>891.13</v>
      </c>
      <c r="O879" s="4">
        <v>0.13</v>
      </c>
      <c r="P879" t="s">
        <v>1772</v>
      </c>
      <c r="Q879" s="4">
        <v>1550.5662</v>
      </c>
    </row>
    <row r="880" spans="1:17" x14ac:dyDescent="0.3">
      <c r="A880" t="s">
        <v>2652</v>
      </c>
      <c r="B880" t="str">
        <f t="shared" si="13"/>
        <v>Q4</v>
      </c>
      <c r="C880" t="str">
        <f>TEXT(Table1[[#This Row],[Order_Date]],"mmmm")</f>
        <v>October</v>
      </c>
      <c r="D880">
        <f>YEAR(Table1[[#This Row],[Order_Date]])</f>
        <v>2024</v>
      </c>
      <c r="E880" s="7">
        <v>45593</v>
      </c>
      <c r="F880" s="2" t="str">
        <f>VLOOKUP(Table1[[#This Row],[Customer_ID]],Customer_Dim!$A$2:$H$501,2,FALSE)</f>
        <v>Mike Jennings</v>
      </c>
      <c r="G880" s="2" t="str">
        <f>_xlfn.XLOOKUP(Table1[[#This Row],[Customer_ID]],Customer_Dim!$A$2:$A$501,Customer_Dim!$E$2:$E$501)</f>
        <v>Fostermouth</v>
      </c>
      <c r="H880" t="s">
        <v>130</v>
      </c>
      <c r="I880" t="str">
        <f>VLOOKUP(Table1[[#This Row],[Product_ID]],Product_Dim!$A$2:$G$101,2,FALSE)</f>
        <v>Microwave Oven-Home</v>
      </c>
      <c r="J880" t="s">
        <v>1707</v>
      </c>
      <c r="K880" t="str">
        <f>VLOOKUP(Table1[[#This Row],[Store_ID]],Store_Dim!$A$3:$D$22,2,FALSE)</f>
        <v>Frederick-Wright-West</v>
      </c>
      <c r="L880" t="s">
        <v>1757</v>
      </c>
      <c r="M880" t="s">
        <v>3957</v>
      </c>
      <c r="N880" s="3">
        <v>553.38</v>
      </c>
      <c r="O880" s="4">
        <v>0.21</v>
      </c>
      <c r="P880" t="s">
        <v>1774</v>
      </c>
      <c r="Q880" s="4">
        <v>437.17020000000002</v>
      </c>
    </row>
    <row r="881" spans="1:17" x14ac:dyDescent="0.3">
      <c r="A881" t="s">
        <v>2653</v>
      </c>
      <c r="B881" t="str">
        <f t="shared" si="13"/>
        <v>Q4</v>
      </c>
      <c r="C881" t="str">
        <f>TEXT(Table1[[#This Row],[Order_Date]],"mmmm")</f>
        <v>December</v>
      </c>
      <c r="D881">
        <f>YEAR(Table1[[#This Row],[Order_Date]])</f>
        <v>2023</v>
      </c>
      <c r="E881" s="7">
        <v>45281</v>
      </c>
      <c r="F881" s="2" t="str">
        <f>VLOOKUP(Table1[[#This Row],[Customer_ID]],Customer_Dim!$A$2:$H$501,2,FALSE)</f>
        <v>John Lawson</v>
      </c>
      <c r="G881" s="2" t="str">
        <f>_xlfn.XLOOKUP(Table1[[#This Row],[Customer_ID]],Customer_Dim!$A$2:$A$501,Customer_Dim!$E$2:$E$501)</f>
        <v>New Juliemouth</v>
      </c>
      <c r="H881" t="s">
        <v>530</v>
      </c>
      <c r="I881" t="str">
        <f>VLOOKUP(Table1[[#This Row],[Product_ID]],Product_Dim!$A$2:$G$101,2,FALSE)</f>
        <v>Women's Beanie Hat-Clothing</v>
      </c>
      <c r="J881" t="s">
        <v>1693</v>
      </c>
      <c r="K881" t="str">
        <f>VLOOKUP(Table1[[#This Row],[Store_ID]],Store_Dim!$A$3:$D$22,2,FALSE)</f>
        <v>Gardner, Humphrey and Contreras-East</v>
      </c>
      <c r="L881" t="s">
        <v>1753</v>
      </c>
      <c r="M881" t="s">
        <v>3960</v>
      </c>
      <c r="N881" s="3">
        <v>652.29999999999995</v>
      </c>
      <c r="O881" s="4">
        <v>0.16</v>
      </c>
      <c r="P881" t="s">
        <v>1777</v>
      </c>
      <c r="Q881" s="4">
        <v>1095.864</v>
      </c>
    </row>
    <row r="882" spans="1:17" x14ac:dyDescent="0.3">
      <c r="A882" t="s">
        <v>2654</v>
      </c>
      <c r="B882" t="str">
        <f t="shared" si="13"/>
        <v>Q4</v>
      </c>
      <c r="C882" t="str">
        <f>TEXT(Table1[[#This Row],[Order_Date]],"mmmm")</f>
        <v>October</v>
      </c>
      <c r="D882">
        <f>YEAR(Table1[[#This Row],[Order_Date]])</f>
        <v>2024</v>
      </c>
      <c r="E882" s="7">
        <v>45575</v>
      </c>
      <c r="F882" s="2" t="str">
        <f>VLOOKUP(Table1[[#This Row],[Customer_ID]],Customer_Dim!$A$2:$H$501,2,FALSE)</f>
        <v>Michael Chang</v>
      </c>
      <c r="G882" s="2" t="str">
        <f>_xlfn.XLOOKUP(Table1[[#This Row],[Customer_ID]],Customer_Dim!$A$2:$A$501,Customer_Dim!$E$2:$E$501)</f>
        <v>Kathrynport</v>
      </c>
      <c r="H882" t="s">
        <v>417</v>
      </c>
      <c r="I882" t="str">
        <f>VLOOKUP(Table1[[#This Row],[Product_ID]],Product_Dim!$A$2:$G$101,2,FALSE)</f>
        <v>Smart Home WiFi Camera-Electronics</v>
      </c>
      <c r="J882" t="s">
        <v>1607</v>
      </c>
      <c r="K882" t="str">
        <f>VLOOKUP(Table1[[#This Row],[Store_ID]],Store_Dim!$A$3:$D$22,2,FALSE)</f>
        <v>Moore, Padilla and Butler-South</v>
      </c>
      <c r="L882" t="s">
        <v>1746</v>
      </c>
      <c r="M882" t="s">
        <v>3959</v>
      </c>
      <c r="N882" s="3">
        <v>194.36</v>
      </c>
      <c r="O882" s="4">
        <v>0.18</v>
      </c>
      <c r="P882" t="s">
        <v>1777</v>
      </c>
      <c r="Q882" s="4">
        <v>637.50080000000014</v>
      </c>
    </row>
    <row r="883" spans="1:17" x14ac:dyDescent="0.3">
      <c r="A883" t="s">
        <v>2655</v>
      </c>
      <c r="B883" t="str">
        <f t="shared" si="13"/>
        <v>Q1</v>
      </c>
      <c r="C883" t="str">
        <f>TEXT(Table1[[#This Row],[Order_Date]],"mmmm")</f>
        <v>January</v>
      </c>
      <c r="D883">
        <f>YEAR(Table1[[#This Row],[Order_Date]])</f>
        <v>2025</v>
      </c>
      <c r="E883" s="7">
        <v>45660</v>
      </c>
      <c r="F883" s="2" t="str">
        <f>VLOOKUP(Table1[[#This Row],[Customer_ID]],Customer_Dim!$A$2:$H$501,2,FALSE)</f>
        <v>Joseph Faulkner</v>
      </c>
      <c r="G883" s="2" t="str">
        <f>_xlfn.XLOOKUP(Table1[[#This Row],[Customer_ID]],Customer_Dim!$A$2:$A$501,Customer_Dim!$E$2:$E$501)</f>
        <v>New Leahfurt</v>
      </c>
      <c r="H883" t="s">
        <v>509</v>
      </c>
      <c r="I883" t="str">
        <f>VLOOKUP(Table1[[#This Row],[Product_ID]],Product_Dim!$A$2:$G$101,2,FALSE)</f>
        <v>Microwave Oven-Home</v>
      </c>
      <c r="J883" t="s">
        <v>1707</v>
      </c>
      <c r="K883" t="str">
        <f>VLOOKUP(Table1[[#This Row],[Store_ID]],Store_Dim!$A$3:$D$22,2,FALSE)</f>
        <v>Martinez, Adkins and Johnson-North</v>
      </c>
      <c r="L883" t="s">
        <v>1728</v>
      </c>
      <c r="M883" t="s">
        <v>3958</v>
      </c>
      <c r="N883" s="3">
        <v>476.37</v>
      </c>
      <c r="O883" s="4">
        <v>0.21</v>
      </c>
      <c r="P883" t="s">
        <v>1777</v>
      </c>
      <c r="Q883" s="4">
        <v>1128.9969000000001</v>
      </c>
    </row>
    <row r="884" spans="1:17" x14ac:dyDescent="0.3">
      <c r="A884" t="s">
        <v>2656</v>
      </c>
      <c r="B884" t="str">
        <f t="shared" si="13"/>
        <v>Q1</v>
      </c>
      <c r="C884" t="str">
        <f>TEXT(Table1[[#This Row],[Order_Date]],"mmmm")</f>
        <v>March</v>
      </c>
      <c r="D884">
        <f>YEAR(Table1[[#This Row],[Order_Date]])</f>
        <v>2024</v>
      </c>
      <c r="E884" s="7">
        <v>45360</v>
      </c>
      <c r="F884" s="2" t="str">
        <f>VLOOKUP(Table1[[#This Row],[Customer_ID]],Customer_Dim!$A$2:$H$501,2,FALSE)</f>
        <v>Brandon Mcbride</v>
      </c>
      <c r="G884" s="2" t="str">
        <f>_xlfn.XLOOKUP(Table1[[#This Row],[Customer_ID]],Customer_Dim!$A$2:$A$501,Customer_Dim!$E$2:$E$501)</f>
        <v>Kellyside</v>
      </c>
      <c r="H884" t="s">
        <v>1129</v>
      </c>
      <c r="I884" t="str">
        <f>VLOOKUP(Table1[[#This Row],[Product_ID]],Product_Dim!$A$2:$G$101,2,FALSE)</f>
        <v>Noise-Canceling Headphones-Electronics</v>
      </c>
      <c r="J884" t="s">
        <v>1603</v>
      </c>
      <c r="K884" t="str">
        <f>VLOOKUP(Table1[[#This Row],[Store_ID]],Store_Dim!$A$3:$D$22,2,FALSE)</f>
        <v>Gray Ltd-North</v>
      </c>
      <c r="L884" t="s">
        <v>1738</v>
      </c>
      <c r="M884" t="s">
        <v>3958</v>
      </c>
      <c r="N884" s="3">
        <v>174.57</v>
      </c>
      <c r="O884" s="4">
        <v>0.1508189262966336</v>
      </c>
      <c r="P884" t="s">
        <v>1774</v>
      </c>
      <c r="Q884" s="4">
        <v>523.71</v>
      </c>
    </row>
    <row r="885" spans="1:17" x14ac:dyDescent="0.3">
      <c r="A885" t="s">
        <v>2657</v>
      </c>
      <c r="B885" t="str">
        <f t="shared" si="13"/>
        <v>Q3</v>
      </c>
      <c r="C885" t="str">
        <f>TEXT(Table1[[#This Row],[Order_Date]],"mmmm")</f>
        <v>August</v>
      </c>
      <c r="D885">
        <f>YEAR(Table1[[#This Row],[Order_Date]])</f>
        <v>2024</v>
      </c>
      <c r="E885" s="7">
        <v>45526</v>
      </c>
      <c r="F885" s="2" t="str">
        <f>VLOOKUP(Table1[[#This Row],[Customer_ID]],Customer_Dim!$A$2:$H$501,2,FALSE)</f>
        <v>Michael Jones</v>
      </c>
      <c r="G885" s="2" t="str">
        <f>_xlfn.XLOOKUP(Table1[[#This Row],[Customer_ID]],Customer_Dim!$A$2:$A$501,Customer_Dim!$E$2:$E$501)</f>
        <v>North Edwardton</v>
      </c>
      <c r="H885" t="s">
        <v>409</v>
      </c>
      <c r="I885" t="str">
        <f>VLOOKUP(Table1[[#This Row],[Product_ID]],Product_Dim!$A$2:$G$101,2,FALSE)</f>
        <v>Women's Beanie Hat-Clothing</v>
      </c>
      <c r="J885" t="s">
        <v>1693</v>
      </c>
      <c r="K885" t="str">
        <f>VLOOKUP(Table1[[#This Row],[Store_ID]],Store_Dim!$A$3:$D$22,2,FALSE)</f>
        <v>Rivera-Warner-East</v>
      </c>
      <c r="L885" t="s">
        <v>1725</v>
      </c>
      <c r="M885" t="s">
        <v>3958</v>
      </c>
      <c r="N885" s="3">
        <v>762</v>
      </c>
      <c r="O885" s="4">
        <v>0.02</v>
      </c>
      <c r="P885" t="s">
        <v>1774</v>
      </c>
      <c r="Q885" s="4">
        <v>2240.2800000000002</v>
      </c>
    </row>
    <row r="886" spans="1:17" x14ac:dyDescent="0.3">
      <c r="A886" t="s">
        <v>2658</v>
      </c>
      <c r="B886" t="str">
        <f t="shared" si="13"/>
        <v>Q2</v>
      </c>
      <c r="C886" t="str">
        <f>TEXT(Table1[[#This Row],[Order_Date]],"mmmm")</f>
        <v>April</v>
      </c>
      <c r="D886">
        <f>YEAR(Table1[[#This Row],[Order_Date]])</f>
        <v>2024</v>
      </c>
      <c r="E886" s="7">
        <v>45395</v>
      </c>
      <c r="F886" s="2" t="str">
        <f>VLOOKUP(Table1[[#This Row],[Customer_ID]],Customer_Dim!$A$2:$H$501,2,FALSE)</f>
        <v>Bryce Hawkins</v>
      </c>
      <c r="G886" s="2" t="str">
        <f>_xlfn.XLOOKUP(Table1[[#This Row],[Customer_ID]],Customer_Dim!$A$2:$A$501,Customer_Dim!$E$2:$E$501)</f>
        <v>Lake Monique</v>
      </c>
      <c r="H886" t="s">
        <v>1303</v>
      </c>
      <c r="I886" t="str">
        <f>VLOOKUP(Table1[[#This Row],[Product_ID]],Product_Dim!$A$2:$G$101,2,FALSE)</f>
        <v>Professional Jump Rope-Sports</v>
      </c>
      <c r="J886" t="s">
        <v>1667</v>
      </c>
      <c r="K886" t="str">
        <f>VLOOKUP(Table1[[#This Row],[Store_ID]],Store_Dim!$A$3:$D$22,2,FALSE)</f>
        <v>Mann-Austin-East</v>
      </c>
      <c r="L886" t="s">
        <v>1763</v>
      </c>
      <c r="M886" t="s">
        <v>3957</v>
      </c>
      <c r="N886" s="3">
        <v>44.08</v>
      </c>
      <c r="O886" s="4">
        <v>0.05</v>
      </c>
      <c r="P886" t="s">
        <v>1772</v>
      </c>
      <c r="Q886" s="4">
        <v>41.875999999999998</v>
      </c>
    </row>
    <row r="887" spans="1:17" x14ac:dyDescent="0.3">
      <c r="A887" t="s">
        <v>2659</v>
      </c>
      <c r="B887" t="str">
        <f t="shared" si="13"/>
        <v>Q2</v>
      </c>
      <c r="C887" t="str">
        <f>TEXT(Table1[[#This Row],[Order_Date]],"mmmm")</f>
        <v>June</v>
      </c>
      <c r="D887">
        <f>YEAR(Table1[[#This Row],[Order_Date]])</f>
        <v>2024</v>
      </c>
      <c r="E887" s="7">
        <v>45466</v>
      </c>
      <c r="F887" s="2" t="str">
        <f>VLOOKUP(Table1[[#This Row],[Customer_ID]],Customer_Dim!$A$2:$H$501,2,FALSE)</f>
        <v>James Berger</v>
      </c>
      <c r="G887" s="2" t="str">
        <f>_xlfn.XLOOKUP(Table1[[#This Row],[Customer_ID]],Customer_Dim!$A$2:$A$501,Customer_Dim!$E$2:$E$501)</f>
        <v>Bryanmouth</v>
      </c>
      <c r="H887" t="s">
        <v>1504</v>
      </c>
      <c r="I887" t="str">
        <f>VLOOKUP(Table1[[#This Row],[Product_ID]],Product_Dim!$A$2:$G$101,2,FALSE)</f>
        <v>Men's Hair Styling Gel-Beauty</v>
      </c>
      <c r="J887" t="s">
        <v>1641</v>
      </c>
      <c r="K887" t="str">
        <f>VLOOKUP(Table1[[#This Row],[Store_ID]],Store_Dim!$A$3:$D$22,2,FALSE)</f>
        <v>Gardner, Humphrey and Contreras-East</v>
      </c>
      <c r="L887" t="s">
        <v>1753</v>
      </c>
      <c r="M887" t="s">
        <v>3957</v>
      </c>
      <c r="N887" s="3">
        <v>992.37</v>
      </c>
      <c r="O887" s="4">
        <v>0.24</v>
      </c>
      <c r="P887" t="s">
        <v>1777</v>
      </c>
      <c r="Q887" s="4">
        <v>754.20119999999997</v>
      </c>
    </row>
    <row r="888" spans="1:17" x14ac:dyDescent="0.3">
      <c r="A888" t="s">
        <v>2660</v>
      </c>
      <c r="B888" t="str">
        <f t="shared" si="13"/>
        <v>Q3</v>
      </c>
      <c r="C888" t="str">
        <f>TEXT(Table1[[#This Row],[Order_Date]],"mmmm")</f>
        <v>August</v>
      </c>
      <c r="D888">
        <f>YEAR(Table1[[#This Row],[Order_Date]])</f>
        <v>2025</v>
      </c>
      <c r="E888" s="7">
        <v>45876</v>
      </c>
      <c r="F888" s="2" t="str">
        <f>VLOOKUP(Table1[[#This Row],[Customer_ID]],Customer_Dim!$A$2:$H$501,2,FALSE)</f>
        <v>Mary Boyd</v>
      </c>
      <c r="G888" s="2" t="str">
        <f>_xlfn.XLOOKUP(Table1[[#This Row],[Customer_ID]],Customer_Dim!$A$2:$A$501,Customer_Dim!$E$2:$E$501)</f>
        <v>New Logan</v>
      </c>
      <c r="H888" t="s">
        <v>651</v>
      </c>
      <c r="I888" t="str">
        <f>VLOOKUP(Table1[[#This Row],[Product_ID]],Product_Dim!$A$2:$G$101,2,FALSE)</f>
        <v>Basketball-Sports</v>
      </c>
      <c r="J888" t="s">
        <v>1585</v>
      </c>
      <c r="K888" t="str">
        <f>VLOOKUP(Table1[[#This Row],[Store_ID]],Store_Dim!$A$3:$D$22,2,FALSE)</f>
        <v>Hill, Wagner and Ballard-East</v>
      </c>
      <c r="L888" t="s">
        <v>1748</v>
      </c>
      <c r="M888" t="s">
        <v>3958</v>
      </c>
      <c r="N888" s="3">
        <v>465.4</v>
      </c>
      <c r="O888" s="4">
        <v>0.28999999999999998</v>
      </c>
      <c r="P888" t="s">
        <v>1777</v>
      </c>
      <c r="Q888" s="4">
        <v>991.30199999999979</v>
      </c>
    </row>
    <row r="889" spans="1:17" x14ac:dyDescent="0.3">
      <c r="A889" t="s">
        <v>2661</v>
      </c>
      <c r="B889" t="str">
        <f t="shared" si="13"/>
        <v>Q1</v>
      </c>
      <c r="C889" t="str">
        <f>TEXT(Table1[[#This Row],[Order_Date]],"mmmm")</f>
        <v>March</v>
      </c>
      <c r="D889">
        <f>YEAR(Table1[[#This Row],[Order_Date]])</f>
        <v>2025</v>
      </c>
      <c r="E889" s="7">
        <v>45724</v>
      </c>
      <c r="F889" s="2" t="str">
        <f>VLOOKUP(Table1[[#This Row],[Customer_ID]],Customer_Dim!$A$2:$H$501,2,FALSE)</f>
        <v>Carol Lewis</v>
      </c>
      <c r="G889" s="2" t="str">
        <f>_xlfn.XLOOKUP(Table1[[#This Row],[Customer_ID]],Customer_Dim!$A$2:$A$501,Customer_Dim!$E$2:$E$501)</f>
        <v>Ryanport</v>
      </c>
      <c r="H889" t="s">
        <v>1048</v>
      </c>
      <c r="I889" t="str">
        <f>VLOOKUP(Table1[[#This Row],[Product_ID]],Product_Dim!$A$2:$G$101,2,FALSE)</f>
        <v>Beard Grooming Kit-Beauty</v>
      </c>
      <c r="J889" t="s">
        <v>1555</v>
      </c>
      <c r="K889" t="str">
        <f>VLOOKUP(Table1[[#This Row],[Store_ID]],Store_Dim!$A$3:$D$22,2,FALSE)</f>
        <v>Hill, Wagner and Ballard-East</v>
      </c>
      <c r="L889" t="s">
        <v>1748</v>
      </c>
      <c r="M889" t="s">
        <v>3960</v>
      </c>
      <c r="N889" s="3">
        <v>693.61</v>
      </c>
      <c r="O889" s="4">
        <v>0.15</v>
      </c>
      <c r="P889" t="s">
        <v>1774</v>
      </c>
      <c r="Q889" s="4">
        <v>1179.1369999999999</v>
      </c>
    </row>
    <row r="890" spans="1:17" x14ac:dyDescent="0.3">
      <c r="A890" t="s">
        <v>2662</v>
      </c>
      <c r="B890" t="str">
        <f t="shared" si="13"/>
        <v>Q2</v>
      </c>
      <c r="C890" t="str">
        <f>TEXT(Table1[[#This Row],[Order_Date]],"mmmm")</f>
        <v>May</v>
      </c>
      <c r="D890">
        <f>YEAR(Table1[[#This Row],[Order_Date]])</f>
        <v>2025</v>
      </c>
      <c r="E890" s="7">
        <v>45801</v>
      </c>
      <c r="F890" s="2" t="str">
        <f>VLOOKUP(Table1[[#This Row],[Customer_ID]],Customer_Dim!$A$2:$H$501,2,FALSE)</f>
        <v>Ronald Ross</v>
      </c>
      <c r="G890" s="2" t="str">
        <f>_xlfn.XLOOKUP(Table1[[#This Row],[Customer_ID]],Customer_Dim!$A$2:$A$501,Customer_Dim!$E$2:$E$501)</f>
        <v>Hartmanside</v>
      </c>
      <c r="H890" t="s">
        <v>1418</v>
      </c>
      <c r="I890" t="str">
        <f>VLOOKUP(Table1[[#This Row],[Product_ID]],Product_Dim!$A$2:$G$101,2,FALSE)</f>
        <v>Smart LED Light Strip-Electronics</v>
      </c>
      <c r="J890" t="s">
        <v>1657</v>
      </c>
      <c r="K890" t="str">
        <f>VLOOKUP(Table1[[#This Row],[Store_ID]],Store_Dim!$A$3:$D$22,2,FALSE)</f>
        <v>Bean, Jones and Park-West</v>
      </c>
      <c r="L890" t="s">
        <v>1744</v>
      </c>
      <c r="M890" t="s">
        <v>3960</v>
      </c>
      <c r="N890" s="3">
        <v>995.11</v>
      </c>
      <c r="O890" s="4">
        <v>0.13</v>
      </c>
      <c r="P890" t="s">
        <v>1774</v>
      </c>
      <c r="Q890" s="4">
        <v>1731.4914000000001</v>
      </c>
    </row>
    <row r="891" spans="1:17" x14ac:dyDescent="0.3">
      <c r="A891" t="s">
        <v>2663</v>
      </c>
      <c r="B891" t="str">
        <f t="shared" si="13"/>
        <v>Q2</v>
      </c>
      <c r="C891" t="str">
        <f>TEXT(Table1[[#This Row],[Order_Date]],"mmmm")</f>
        <v>April</v>
      </c>
      <c r="D891">
        <f>YEAR(Table1[[#This Row],[Order_Date]])</f>
        <v>2025</v>
      </c>
      <c r="E891" s="7">
        <v>45749</v>
      </c>
      <c r="F891" s="2" t="str">
        <f>VLOOKUP(Table1[[#This Row],[Customer_ID]],Customer_Dim!$A$2:$H$501,2,FALSE)</f>
        <v>Erika Padilla</v>
      </c>
      <c r="G891" s="2" t="str">
        <f>_xlfn.XLOOKUP(Table1[[#This Row],[Customer_ID]],Customer_Dim!$A$2:$A$501,Customer_Dim!$E$2:$E$501)</f>
        <v>Andrewsland</v>
      </c>
      <c r="H891" t="s">
        <v>1177</v>
      </c>
      <c r="I891" t="str">
        <f>VLOOKUP(Table1[[#This Row],[Product_ID]],Product_Dim!$A$2:$G$101,2,FALSE)</f>
        <v>Men's Formal Shirt-Clothing</v>
      </c>
      <c r="J891" t="s">
        <v>1569</v>
      </c>
      <c r="K891" t="str">
        <f>VLOOKUP(Table1[[#This Row],[Store_ID]],Store_Dim!$A$3:$D$22,2,FALSE)</f>
        <v>Alexander Group-South</v>
      </c>
      <c r="L891" t="s">
        <v>1735</v>
      </c>
      <c r="M891" t="s">
        <v>3958</v>
      </c>
      <c r="N891" s="3">
        <v>70.97</v>
      </c>
      <c r="O891" s="4">
        <v>0.06</v>
      </c>
      <c r="P891" t="s">
        <v>1777</v>
      </c>
      <c r="Q891" s="4">
        <v>200.1354</v>
      </c>
    </row>
    <row r="892" spans="1:17" x14ac:dyDescent="0.3">
      <c r="A892" t="s">
        <v>2664</v>
      </c>
      <c r="B892" t="str">
        <f t="shared" si="13"/>
        <v>Q1</v>
      </c>
      <c r="C892" t="str">
        <f>TEXT(Table1[[#This Row],[Order_Date]],"mmmm")</f>
        <v>February</v>
      </c>
      <c r="D892">
        <f>YEAR(Table1[[#This Row],[Order_Date]])</f>
        <v>2024</v>
      </c>
      <c r="E892" s="7">
        <v>45325</v>
      </c>
      <c r="F892" s="2" t="str">
        <f>VLOOKUP(Table1[[#This Row],[Customer_ID]],Customer_Dim!$A$2:$H$501,2,FALSE)</f>
        <v>Edward Hall</v>
      </c>
      <c r="G892" s="2" t="str">
        <f>_xlfn.XLOOKUP(Table1[[#This Row],[Customer_ID]],Customer_Dim!$A$2:$A$501,Customer_Dim!$E$2:$E$501)</f>
        <v>New William</v>
      </c>
      <c r="H892" t="s">
        <v>391</v>
      </c>
      <c r="I892" t="str">
        <f>VLOOKUP(Table1[[#This Row],[Product_ID]],Product_Dim!$A$2:$G$101,2,FALSE)</f>
        <v>Hydrating Face Cleanser-Beauty</v>
      </c>
      <c r="J892" t="s">
        <v>1689</v>
      </c>
      <c r="K892" t="str">
        <f>VLOOKUP(Table1[[#This Row],[Store_ID]],Store_Dim!$A$3:$D$22,2,FALSE)</f>
        <v>Moore, Padilla and Butler-South</v>
      </c>
      <c r="L892" t="s">
        <v>1746</v>
      </c>
      <c r="M892" t="s">
        <v>3958</v>
      </c>
      <c r="N892" s="3">
        <v>470.42</v>
      </c>
      <c r="O892" s="4">
        <v>0.16</v>
      </c>
      <c r="P892" t="s">
        <v>1772</v>
      </c>
      <c r="Q892" s="4">
        <v>1185.4584</v>
      </c>
    </row>
    <row r="893" spans="1:17" x14ac:dyDescent="0.3">
      <c r="A893" t="s">
        <v>2665</v>
      </c>
      <c r="B893" t="str">
        <f t="shared" si="13"/>
        <v>Q4</v>
      </c>
      <c r="C893" t="str">
        <f>TEXT(Table1[[#This Row],[Order_Date]],"mmmm")</f>
        <v>October</v>
      </c>
      <c r="D893">
        <f>YEAR(Table1[[#This Row],[Order_Date]])</f>
        <v>2025</v>
      </c>
      <c r="E893" s="7">
        <v>45932</v>
      </c>
      <c r="F893" s="2" t="str">
        <f>VLOOKUP(Table1[[#This Row],[Customer_ID]],Customer_Dim!$A$2:$H$501,2,FALSE)</f>
        <v>Elizabeth Johnson</v>
      </c>
      <c r="G893" s="2" t="str">
        <f>_xlfn.XLOOKUP(Table1[[#This Row],[Customer_ID]],Customer_Dim!$A$2:$A$501,Customer_Dim!$E$2:$E$501)</f>
        <v>Anitaland</v>
      </c>
      <c r="H893" t="s">
        <v>980</v>
      </c>
      <c r="I893" t="str">
        <f>VLOOKUP(Table1[[#This Row],[Product_ID]],Product_Dim!$A$2:$G$101,2,FALSE)</f>
        <v>Kitchen Cutting Board-Home</v>
      </c>
      <c r="J893" t="s">
        <v>1695</v>
      </c>
      <c r="K893" t="str">
        <f>VLOOKUP(Table1[[#This Row],[Store_ID]],Store_Dim!$A$3:$D$22,2,FALSE)</f>
        <v>Frederick-Wright-West</v>
      </c>
      <c r="L893" t="s">
        <v>1757</v>
      </c>
      <c r="M893" t="s">
        <v>3960</v>
      </c>
      <c r="N893" s="3">
        <v>215.59</v>
      </c>
      <c r="O893" s="4">
        <v>0.18</v>
      </c>
      <c r="P893" t="s">
        <v>1772</v>
      </c>
      <c r="Q893" s="4">
        <v>353.56760000000003</v>
      </c>
    </row>
    <row r="894" spans="1:17" x14ac:dyDescent="0.3">
      <c r="A894" t="s">
        <v>2666</v>
      </c>
      <c r="B894" t="str">
        <f t="shared" si="13"/>
        <v>Q3</v>
      </c>
      <c r="C894" t="str">
        <f>TEXT(Table1[[#This Row],[Order_Date]],"mmmm")</f>
        <v>August</v>
      </c>
      <c r="D894">
        <f>YEAR(Table1[[#This Row],[Order_Date]])</f>
        <v>2025</v>
      </c>
      <c r="E894" s="7">
        <v>45895</v>
      </c>
      <c r="F894" s="2" t="str">
        <f>VLOOKUP(Table1[[#This Row],[Customer_ID]],Customer_Dim!$A$2:$H$501,2,FALSE)</f>
        <v>Maria Hill</v>
      </c>
      <c r="G894" s="2" t="str">
        <f>_xlfn.XLOOKUP(Table1[[#This Row],[Customer_ID]],Customer_Dim!$A$2:$A$501,Customer_Dim!$E$2:$E$501)</f>
        <v>Zamoraborough</v>
      </c>
      <c r="H894" t="s">
        <v>761</v>
      </c>
      <c r="I894" t="str">
        <f>VLOOKUP(Table1[[#This Row],[Product_ID]],Product_Dim!$A$2:$G$101,2,FALSE)</f>
        <v>Microwave Oven-Home</v>
      </c>
      <c r="J894" t="s">
        <v>1707</v>
      </c>
      <c r="K894" t="str">
        <f>VLOOKUP(Table1[[#This Row],[Store_ID]],Store_Dim!$A$3:$D$22,2,FALSE)</f>
        <v>Rivera-Warner-East</v>
      </c>
      <c r="L894" t="s">
        <v>1725</v>
      </c>
      <c r="M894" t="s">
        <v>3957</v>
      </c>
      <c r="N894" s="3">
        <v>533.79999999999995</v>
      </c>
      <c r="O894" s="4">
        <v>0.27</v>
      </c>
      <c r="P894" t="s">
        <v>1777</v>
      </c>
      <c r="Q894" s="4">
        <v>389.67399999999998</v>
      </c>
    </row>
    <row r="895" spans="1:17" x14ac:dyDescent="0.3">
      <c r="A895" t="s">
        <v>2667</v>
      </c>
      <c r="B895" t="str">
        <f t="shared" si="13"/>
        <v>Q4</v>
      </c>
      <c r="C895" t="str">
        <f>TEXT(Table1[[#This Row],[Order_Date]],"mmmm")</f>
        <v>November</v>
      </c>
      <c r="D895">
        <f>YEAR(Table1[[#This Row],[Order_Date]])</f>
        <v>2024</v>
      </c>
      <c r="E895" s="7">
        <v>45614</v>
      </c>
      <c r="F895" s="2" t="str">
        <f>VLOOKUP(Table1[[#This Row],[Customer_ID]],Customer_Dim!$A$2:$H$501,2,FALSE)</f>
        <v>Christy Vasquez</v>
      </c>
      <c r="G895" s="2" t="str">
        <f>_xlfn.XLOOKUP(Table1[[#This Row],[Customer_ID]],Customer_Dim!$A$2:$A$501,Customer_Dim!$E$2:$E$501)</f>
        <v>Port Travisstad</v>
      </c>
      <c r="H895" t="s">
        <v>330</v>
      </c>
      <c r="I895" t="str">
        <f>VLOOKUP(Table1[[#This Row],[Product_ID]],Product_Dim!$A$2:$G$101,2,FALSE)</f>
        <v>Vitamin C Face Serum-Beauty</v>
      </c>
      <c r="J895" t="s">
        <v>1587</v>
      </c>
      <c r="K895" t="str">
        <f>VLOOKUP(Table1[[#This Row],[Store_ID]],Store_Dim!$A$3:$D$22,2,FALSE)</f>
        <v>Johnson-Wright-North</v>
      </c>
      <c r="L895" t="s">
        <v>1733</v>
      </c>
      <c r="M895" t="s">
        <v>3960</v>
      </c>
      <c r="N895" s="3">
        <v>732.67</v>
      </c>
      <c r="O895" s="4">
        <v>0.24</v>
      </c>
      <c r="P895" t="s">
        <v>1774</v>
      </c>
      <c r="Q895" s="4">
        <v>1113.6584</v>
      </c>
    </row>
    <row r="896" spans="1:17" x14ac:dyDescent="0.3">
      <c r="A896" t="s">
        <v>2668</v>
      </c>
      <c r="B896" t="str">
        <f t="shared" si="13"/>
        <v>Q4</v>
      </c>
      <c r="C896" t="str">
        <f>TEXT(Table1[[#This Row],[Order_Date]],"mmmm")</f>
        <v>November</v>
      </c>
      <c r="D896">
        <f>YEAR(Table1[[#This Row],[Order_Date]])</f>
        <v>2023</v>
      </c>
      <c r="E896" s="7">
        <v>45247</v>
      </c>
      <c r="F896" s="2" t="str">
        <f>VLOOKUP(Table1[[#This Row],[Customer_ID]],Customer_Dim!$A$2:$H$501,2,FALSE)</f>
        <v>Melinda Thomas</v>
      </c>
      <c r="G896" s="2" t="str">
        <f>_xlfn.XLOOKUP(Table1[[#This Row],[Customer_ID]],Customer_Dim!$A$2:$A$501,Customer_Dim!$E$2:$E$501)</f>
        <v>Lake Elizabethside</v>
      </c>
      <c r="H896" t="s">
        <v>1487</v>
      </c>
      <c r="I896" t="str">
        <f>VLOOKUP(Table1[[#This Row],[Product_ID]],Product_Dim!$A$2:$G$101,2,FALSE)</f>
        <v>Luxury Perfume Spray-Beauty</v>
      </c>
      <c r="J896" t="s">
        <v>1643</v>
      </c>
      <c r="K896" t="str">
        <f>VLOOKUP(Table1[[#This Row],[Store_ID]],Store_Dim!$A$3:$D$22,2,FALSE)</f>
        <v>Gardner, Humphrey and Contreras-East</v>
      </c>
      <c r="L896" t="s">
        <v>1753</v>
      </c>
      <c r="M896" t="s">
        <v>3959</v>
      </c>
      <c r="N896" s="3">
        <v>106.48</v>
      </c>
      <c r="O896" s="4">
        <v>0.1</v>
      </c>
      <c r="P896" t="s">
        <v>1777</v>
      </c>
      <c r="Q896" s="4">
        <v>383.32799999999997</v>
      </c>
    </row>
    <row r="897" spans="1:17" x14ac:dyDescent="0.3">
      <c r="A897" t="s">
        <v>2669</v>
      </c>
      <c r="B897" t="str">
        <f t="shared" si="13"/>
        <v>Q1</v>
      </c>
      <c r="C897" t="str">
        <f>TEXT(Table1[[#This Row],[Order_Date]],"mmmm")</f>
        <v>February</v>
      </c>
      <c r="D897">
        <f>YEAR(Table1[[#This Row],[Order_Date]])</f>
        <v>2025</v>
      </c>
      <c r="E897" s="7">
        <v>45696</v>
      </c>
      <c r="F897" s="2" t="str">
        <f>VLOOKUP(Table1[[#This Row],[Customer_ID]],Customer_Dim!$A$2:$H$501,2,FALSE)</f>
        <v>Lance Baker</v>
      </c>
      <c r="G897" s="2" t="str">
        <f>_xlfn.XLOOKUP(Table1[[#This Row],[Customer_ID]],Customer_Dim!$A$2:$A$501,Customer_Dim!$E$2:$E$501)</f>
        <v>Port Victoria</v>
      </c>
      <c r="H897" t="s">
        <v>367</v>
      </c>
      <c r="I897" t="str">
        <f>VLOOKUP(Table1[[#This Row],[Product_ID]],Product_Dim!$A$2:$G$101,2,FALSE)</f>
        <v>Foam Roller-Sports</v>
      </c>
      <c r="J897" t="s">
        <v>1637</v>
      </c>
      <c r="K897" t="str">
        <f>VLOOKUP(Table1[[#This Row],[Store_ID]],Store_Dim!$A$3:$D$22,2,FALSE)</f>
        <v>Johnson-Wright-North</v>
      </c>
      <c r="L897" t="s">
        <v>1733</v>
      </c>
      <c r="M897" t="s">
        <v>3957</v>
      </c>
      <c r="N897" s="3">
        <v>38.950000000000003</v>
      </c>
      <c r="O897" s="4">
        <v>0.28000000000000003</v>
      </c>
      <c r="P897" t="s">
        <v>1772</v>
      </c>
      <c r="Q897" s="4">
        <v>28.044</v>
      </c>
    </row>
    <row r="898" spans="1:17" x14ac:dyDescent="0.3">
      <c r="A898" t="s">
        <v>2670</v>
      </c>
      <c r="B898" t="str">
        <f t="shared" ref="B898:B961" si="14">"Q" &amp;ROUNDUP(MONTH(E898)/3,0)</f>
        <v>Q1</v>
      </c>
      <c r="C898" t="str">
        <f>TEXT(Table1[[#This Row],[Order_Date]],"mmmm")</f>
        <v>January</v>
      </c>
      <c r="D898">
        <f>YEAR(Table1[[#This Row],[Order_Date]])</f>
        <v>2024</v>
      </c>
      <c r="E898" s="7">
        <v>45294</v>
      </c>
      <c r="F898" s="2" t="str">
        <f>VLOOKUP(Table1[[#This Row],[Customer_ID]],Customer_Dim!$A$2:$H$501,2,FALSE)</f>
        <v>John Smith</v>
      </c>
      <c r="G898" s="2" t="str">
        <f>_xlfn.XLOOKUP(Table1[[#This Row],[Customer_ID]],Customer_Dim!$A$2:$A$501,Customer_Dim!$E$2:$E$501)</f>
        <v>South Andrewport</v>
      </c>
      <c r="H898" t="s">
        <v>1321</v>
      </c>
      <c r="I898" t="str">
        <f>VLOOKUP(Table1[[#This Row],[Product_ID]],Product_Dim!$A$2:$G$101,2,FALSE)</f>
        <v>Women's Formal Blazer-Clothing</v>
      </c>
      <c r="J898" t="s">
        <v>1715</v>
      </c>
      <c r="K898" t="str">
        <f>VLOOKUP(Table1[[#This Row],[Store_ID]],Store_Dim!$A$3:$D$22,2,FALSE)</f>
        <v>Frederick-Wright-West</v>
      </c>
      <c r="L898" t="s">
        <v>1757</v>
      </c>
      <c r="M898" t="s">
        <v>3957</v>
      </c>
      <c r="N898" s="3">
        <v>835.17</v>
      </c>
      <c r="O898" s="4">
        <v>0.02</v>
      </c>
      <c r="P898" t="s">
        <v>1777</v>
      </c>
      <c r="Q898" s="4">
        <v>818.46659999999997</v>
      </c>
    </row>
    <row r="899" spans="1:17" x14ac:dyDescent="0.3">
      <c r="A899" t="s">
        <v>2671</v>
      </c>
      <c r="B899" t="str">
        <f t="shared" si="14"/>
        <v>Q2</v>
      </c>
      <c r="C899" t="str">
        <f>TEXT(Table1[[#This Row],[Order_Date]],"mmmm")</f>
        <v>April</v>
      </c>
      <c r="D899">
        <f>YEAR(Table1[[#This Row],[Order_Date]])</f>
        <v>2024</v>
      </c>
      <c r="E899" s="7">
        <v>45389</v>
      </c>
      <c r="F899" s="2" t="str">
        <f>VLOOKUP(Table1[[#This Row],[Customer_ID]],Customer_Dim!$A$2:$H$501,2,FALSE)</f>
        <v>Morgan Bowen</v>
      </c>
      <c r="G899" s="2" t="str">
        <f>_xlfn.XLOOKUP(Table1[[#This Row],[Customer_ID]],Customer_Dim!$A$2:$A$501,Customer_Dim!$E$2:$E$501)</f>
        <v>Parksfort</v>
      </c>
      <c r="H899" t="s">
        <v>453</v>
      </c>
      <c r="I899" t="str">
        <f>VLOOKUP(Table1[[#This Row],[Product_ID]],Product_Dim!$A$2:$G$101,2,FALSE)</f>
        <v>Hydrating Face Cleanser-Beauty</v>
      </c>
      <c r="J899" t="s">
        <v>1689</v>
      </c>
      <c r="K899" t="str">
        <f>VLOOKUP(Table1[[#This Row],[Store_ID]],Store_Dim!$A$3:$D$22,2,FALSE)</f>
        <v>Johnson-Wright-North</v>
      </c>
      <c r="L899" t="s">
        <v>1733</v>
      </c>
      <c r="M899" t="s">
        <v>3957</v>
      </c>
      <c r="N899" s="3">
        <v>113.07</v>
      </c>
      <c r="O899" s="4">
        <v>0.24</v>
      </c>
      <c r="P899" t="s">
        <v>1772</v>
      </c>
      <c r="Q899" s="4">
        <v>85.933199999999999</v>
      </c>
    </row>
    <row r="900" spans="1:17" x14ac:dyDescent="0.3">
      <c r="A900" t="s">
        <v>2672</v>
      </c>
      <c r="B900" t="str">
        <f t="shared" si="14"/>
        <v>Q3</v>
      </c>
      <c r="C900" t="str">
        <f>TEXT(Table1[[#This Row],[Order_Date]],"mmmm")</f>
        <v>September</v>
      </c>
      <c r="D900">
        <f>YEAR(Table1[[#This Row],[Order_Date]])</f>
        <v>2025</v>
      </c>
      <c r="E900" s="7">
        <v>45930</v>
      </c>
      <c r="F900" s="2" t="str">
        <f>VLOOKUP(Table1[[#This Row],[Customer_ID]],Customer_Dim!$A$2:$H$501,2,FALSE)</f>
        <v>Cynthia Parrish</v>
      </c>
      <c r="G900" s="2" t="str">
        <f>_xlfn.XLOOKUP(Table1[[#This Row],[Customer_ID]],Customer_Dim!$A$2:$A$501,Customer_Dim!$E$2:$E$501)</f>
        <v>Espinozaberg</v>
      </c>
      <c r="H900" t="s">
        <v>1421</v>
      </c>
      <c r="I900" t="str">
        <f>VLOOKUP(Table1[[#This Row],[Product_ID]],Product_Dim!$A$2:$G$101,2,FALSE)</f>
        <v>Vitamin E Body Lotion-Beauty</v>
      </c>
      <c r="J900" t="s">
        <v>1711</v>
      </c>
      <c r="K900" t="str">
        <f>VLOOKUP(Table1[[#This Row],[Store_ID]],Store_Dim!$A$3:$D$22,2,FALSE)</f>
        <v>Thomas, Bridges and Harris-North</v>
      </c>
      <c r="L900" t="s">
        <v>1751</v>
      </c>
      <c r="M900" t="s">
        <v>3960</v>
      </c>
      <c r="N900" s="3">
        <v>451.33</v>
      </c>
      <c r="O900" s="4">
        <v>0.23</v>
      </c>
      <c r="P900" t="s">
        <v>1777</v>
      </c>
      <c r="Q900" s="4">
        <v>695.04819999999995</v>
      </c>
    </row>
    <row r="901" spans="1:17" x14ac:dyDescent="0.3">
      <c r="A901" t="s">
        <v>2673</v>
      </c>
      <c r="B901" t="str">
        <f t="shared" si="14"/>
        <v>Q2</v>
      </c>
      <c r="C901" t="str">
        <f>TEXT(Table1[[#This Row],[Order_Date]],"mmmm")</f>
        <v>June</v>
      </c>
      <c r="D901">
        <f>YEAR(Table1[[#This Row],[Order_Date]])</f>
        <v>2024</v>
      </c>
      <c r="E901" s="7">
        <v>45456</v>
      </c>
      <c r="F901" s="2" t="str">
        <f>VLOOKUP(Table1[[#This Row],[Customer_ID]],Customer_Dim!$A$2:$H$501,2,FALSE)</f>
        <v>Jacqueline Anthony</v>
      </c>
      <c r="G901" s="2" t="str">
        <f>_xlfn.XLOOKUP(Table1[[#This Row],[Customer_ID]],Customer_Dim!$A$2:$A$501,Customer_Dim!$E$2:$E$501)</f>
        <v>Vincentside</v>
      </c>
      <c r="H901" t="s">
        <v>1150</v>
      </c>
      <c r="I901" t="str">
        <f>VLOOKUP(Table1[[#This Row],[Product_ID]],Product_Dim!$A$2:$G$101,2,FALSE)</f>
        <v>Kitchen Cutting Board-Home</v>
      </c>
      <c r="J901" t="s">
        <v>1695</v>
      </c>
      <c r="K901" t="str">
        <f>VLOOKUP(Table1[[#This Row],[Store_ID]],Store_Dim!$A$3:$D$22,2,FALSE)</f>
        <v>Benson-Elliott-East</v>
      </c>
      <c r="L901" t="s">
        <v>1740</v>
      </c>
      <c r="M901" t="s">
        <v>3958</v>
      </c>
      <c r="N901" s="3">
        <v>619.80999999999995</v>
      </c>
      <c r="O901" s="4">
        <v>0.16</v>
      </c>
      <c r="P901" t="s">
        <v>1777</v>
      </c>
      <c r="Q901" s="4">
        <v>1561.9212</v>
      </c>
    </row>
    <row r="902" spans="1:17" x14ac:dyDescent="0.3">
      <c r="A902" t="s">
        <v>2674</v>
      </c>
      <c r="B902" t="str">
        <f t="shared" si="14"/>
        <v>Q1</v>
      </c>
      <c r="C902" t="str">
        <f>TEXT(Table1[[#This Row],[Order_Date]],"mmmm")</f>
        <v>February</v>
      </c>
      <c r="D902">
        <f>YEAR(Table1[[#This Row],[Order_Date]])</f>
        <v>2025</v>
      </c>
      <c r="E902" s="7">
        <v>45713</v>
      </c>
      <c r="F902" s="2" t="str">
        <f>VLOOKUP(Table1[[#This Row],[Customer_ID]],Customer_Dim!$A$2:$H$501,2,FALSE)</f>
        <v>Travis Holland</v>
      </c>
      <c r="G902" s="2" t="str">
        <f>_xlfn.XLOOKUP(Table1[[#This Row],[Customer_ID]],Customer_Dim!$A$2:$A$501,Customer_Dim!$E$2:$E$501)</f>
        <v>Webstermouth</v>
      </c>
      <c r="H902" t="s">
        <v>376</v>
      </c>
      <c r="I902" t="str">
        <f>VLOOKUP(Table1[[#This Row],[Product_ID]],Product_Dim!$A$2:$G$101,2,FALSE)</f>
        <v>Laptop Cooling Pad-Electronics</v>
      </c>
      <c r="J902" t="s">
        <v>1647</v>
      </c>
      <c r="K902" t="str">
        <f>VLOOKUP(Table1[[#This Row],[Store_ID]],Store_Dim!$A$3:$D$22,2,FALSE)</f>
        <v>Martinez-Mullins-South</v>
      </c>
      <c r="L902" t="s">
        <v>1742</v>
      </c>
      <c r="M902" t="s">
        <v>3959</v>
      </c>
      <c r="N902" s="3">
        <v>46.97</v>
      </c>
      <c r="O902" s="4">
        <v>0.26</v>
      </c>
      <c r="P902" t="s">
        <v>1774</v>
      </c>
      <c r="Q902" s="4">
        <v>139.03120000000001</v>
      </c>
    </row>
    <row r="903" spans="1:17" x14ac:dyDescent="0.3">
      <c r="A903" t="s">
        <v>2675</v>
      </c>
      <c r="B903" t="str">
        <f t="shared" si="14"/>
        <v>Q2</v>
      </c>
      <c r="C903" t="str">
        <f>TEXT(Table1[[#This Row],[Order_Date]],"mmmm")</f>
        <v>May</v>
      </c>
      <c r="D903">
        <f>YEAR(Table1[[#This Row],[Order_Date]])</f>
        <v>2025</v>
      </c>
      <c r="E903" s="7">
        <v>45784</v>
      </c>
      <c r="F903" s="2" t="str">
        <f>VLOOKUP(Table1[[#This Row],[Customer_ID]],Customer_Dim!$A$2:$H$501,2,FALSE)</f>
        <v>Leonard Cochran</v>
      </c>
      <c r="G903" s="2" t="str">
        <f>_xlfn.XLOOKUP(Table1[[#This Row],[Customer_ID]],Customer_Dim!$A$2:$A$501,Customer_Dim!$E$2:$E$501)</f>
        <v>Port Sherryview</v>
      </c>
      <c r="H903" t="s">
        <v>601</v>
      </c>
      <c r="I903" t="str">
        <f>VLOOKUP(Table1[[#This Row],[Product_ID]],Product_Dim!$A$2:$G$101,2,FALSE)</f>
        <v>Men's Winter Jacket-Clothing</v>
      </c>
      <c r="J903" t="s">
        <v>1615</v>
      </c>
      <c r="K903" t="str">
        <f>VLOOKUP(Table1[[#This Row],[Store_ID]],Store_Dim!$A$3:$D$22,2,FALSE)</f>
        <v>Black-Horn-South</v>
      </c>
      <c r="L903" t="s">
        <v>1730</v>
      </c>
      <c r="M903" t="s">
        <v>3960</v>
      </c>
      <c r="N903" s="3">
        <v>71.48</v>
      </c>
      <c r="O903" s="4">
        <v>0.14000000000000001</v>
      </c>
      <c r="P903" t="s">
        <v>1777</v>
      </c>
      <c r="Q903" s="4">
        <v>122.9456</v>
      </c>
    </row>
    <row r="904" spans="1:17" x14ac:dyDescent="0.3">
      <c r="A904" t="s">
        <v>2676</v>
      </c>
      <c r="B904" t="str">
        <f t="shared" si="14"/>
        <v>Q2</v>
      </c>
      <c r="C904" t="str">
        <f>TEXT(Table1[[#This Row],[Order_Date]],"mmmm")</f>
        <v>June</v>
      </c>
      <c r="D904">
        <f>YEAR(Table1[[#This Row],[Order_Date]])</f>
        <v>2025</v>
      </c>
      <c r="E904" s="7">
        <v>45812</v>
      </c>
      <c r="F904" s="2" t="str">
        <f>VLOOKUP(Table1[[#This Row],[Customer_ID]],Customer_Dim!$A$2:$H$501,2,FALSE)</f>
        <v xml:space="preserve">  Sheena Bonilla  </v>
      </c>
      <c r="G904" s="2" t="str">
        <f>_xlfn.XLOOKUP(Table1[[#This Row],[Customer_ID]],Customer_Dim!$A$2:$A$501,Customer_Dim!$E$2:$E$501)</f>
        <v>Donaldton</v>
      </c>
      <c r="H904" t="s">
        <v>8</v>
      </c>
      <c r="I904" t="str">
        <f>VLOOKUP(Table1[[#This Row],[Product_ID]],Product_Dim!$A$2:$G$101,2,FALSE)</f>
        <v>Premium Blanket Throw-Home</v>
      </c>
      <c r="J904" t="s">
        <v>1635</v>
      </c>
      <c r="K904" t="str">
        <f>VLOOKUP(Table1[[#This Row],[Store_ID]],Store_Dim!$A$3:$D$22,2,FALSE)</f>
        <v>Mann-Austin-East</v>
      </c>
      <c r="L904" t="s">
        <v>1763</v>
      </c>
      <c r="M904" t="s">
        <v>3960</v>
      </c>
      <c r="N904" s="3">
        <v>404.08</v>
      </c>
      <c r="O904" s="4">
        <v>7.0000000000000007E-2</v>
      </c>
      <c r="P904" t="s">
        <v>1772</v>
      </c>
      <c r="Q904" s="4">
        <v>751.58879999999988</v>
      </c>
    </row>
    <row r="905" spans="1:17" x14ac:dyDescent="0.3">
      <c r="A905" t="s">
        <v>2677</v>
      </c>
      <c r="B905" t="str">
        <f t="shared" si="14"/>
        <v>Q4</v>
      </c>
      <c r="C905" t="str">
        <f>TEXT(Table1[[#This Row],[Order_Date]],"mmmm")</f>
        <v>December</v>
      </c>
      <c r="D905">
        <f>YEAR(Table1[[#This Row],[Order_Date]])</f>
        <v>2024</v>
      </c>
      <c r="E905" s="7">
        <v>45653</v>
      </c>
      <c r="F905" s="2" t="str">
        <f>VLOOKUP(Table1[[#This Row],[Customer_ID]],Customer_Dim!$A$2:$H$501,2,FALSE)</f>
        <v>Matthew Payne</v>
      </c>
      <c r="G905" s="2" t="str">
        <f>_xlfn.XLOOKUP(Table1[[#This Row],[Customer_ID]],Customer_Dim!$A$2:$A$501,Customer_Dim!$E$2:$E$501)</f>
        <v>Grahamfurt</v>
      </c>
      <c r="H905" t="s">
        <v>835</v>
      </c>
      <c r="I905" t="str">
        <f>VLOOKUP(Table1[[#This Row],[Product_ID]],Product_Dim!$A$2:$G$101,2,FALSE)</f>
        <v>Soccer Training Cone Set-Sports</v>
      </c>
      <c r="J905" t="s">
        <v>1557</v>
      </c>
      <c r="K905" t="str">
        <f>VLOOKUP(Table1[[#This Row],[Store_ID]],Store_Dim!$A$3:$D$22,2,FALSE)</f>
        <v>Frederick-Wright-West</v>
      </c>
      <c r="L905" t="s">
        <v>1757</v>
      </c>
      <c r="M905" t="s">
        <v>3957</v>
      </c>
      <c r="N905" s="3">
        <v>519.91</v>
      </c>
      <c r="O905" s="4">
        <v>0.05</v>
      </c>
      <c r="P905" t="s">
        <v>1777</v>
      </c>
      <c r="Q905" s="4">
        <v>493.91449999999992</v>
      </c>
    </row>
    <row r="906" spans="1:17" x14ac:dyDescent="0.3">
      <c r="A906" t="s">
        <v>2678</v>
      </c>
      <c r="B906" t="str">
        <f t="shared" si="14"/>
        <v>Q1</v>
      </c>
      <c r="C906" t="str">
        <f>TEXT(Table1[[#This Row],[Order_Date]],"mmmm")</f>
        <v>January</v>
      </c>
      <c r="D906">
        <f>YEAR(Table1[[#This Row],[Order_Date]])</f>
        <v>2025</v>
      </c>
      <c r="E906" s="7">
        <v>45672</v>
      </c>
      <c r="F906" s="2" t="str">
        <f>VLOOKUP(Table1[[#This Row],[Customer_ID]],Customer_Dim!$A$2:$H$501,2,FALSE)</f>
        <v>Cameron Simpson</v>
      </c>
      <c r="G906" s="2" t="str">
        <f>_xlfn.XLOOKUP(Table1[[#This Row],[Customer_ID]],Customer_Dim!$A$2:$A$501,Customer_Dim!$E$2:$E$501)</f>
        <v>Michaelfort</v>
      </c>
      <c r="H906" t="s">
        <v>485</v>
      </c>
      <c r="I906" t="str">
        <f>VLOOKUP(Table1[[#This Row],[Product_ID]],Product_Dim!$A$2:$G$101,2,FALSE)</f>
        <v>Car Dashboard Phone Holder-Electronics</v>
      </c>
      <c r="J906" t="s">
        <v>1619</v>
      </c>
      <c r="K906" t="str">
        <f>VLOOKUP(Table1[[#This Row],[Store_ID]],Store_Dim!$A$3:$D$22,2,FALSE)</f>
        <v>Gardner, Humphrey and Contreras-East</v>
      </c>
      <c r="L906" t="s">
        <v>1753</v>
      </c>
      <c r="M906" t="s">
        <v>3958</v>
      </c>
      <c r="N906" s="3">
        <v>566.16</v>
      </c>
      <c r="O906" s="4">
        <v>0.05</v>
      </c>
      <c r="P906" t="s">
        <v>1774</v>
      </c>
      <c r="Q906" s="4">
        <v>1613.556</v>
      </c>
    </row>
    <row r="907" spans="1:17" x14ac:dyDescent="0.3">
      <c r="A907" t="s">
        <v>2679</v>
      </c>
      <c r="B907" t="str">
        <f t="shared" si="14"/>
        <v>Q2</v>
      </c>
      <c r="C907" t="str">
        <f>TEXT(Table1[[#This Row],[Order_Date]],"mmmm")</f>
        <v>May</v>
      </c>
      <c r="D907">
        <f>YEAR(Table1[[#This Row],[Order_Date]])</f>
        <v>2025</v>
      </c>
      <c r="E907" s="7">
        <v>45799</v>
      </c>
      <c r="F907" s="2" t="str">
        <f>VLOOKUP(Table1[[#This Row],[Customer_ID]],Customer_Dim!$A$2:$H$501,2,FALSE)</f>
        <v>Jacqueline Payne</v>
      </c>
      <c r="G907" s="2" t="str">
        <f>_xlfn.XLOOKUP(Table1[[#This Row],[Customer_ID]],Customer_Dim!$A$2:$A$501,Customer_Dim!$E$2:$E$501)</f>
        <v>Gutierrezstad</v>
      </c>
      <c r="H907" t="s">
        <v>1210</v>
      </c>
      <c r="I907" t="str">
        <f>VLOOKUP(Table1[[#This Row],[Product_ID]],Product_Dim!$A$2:$G$101,2,FALSE)</f>
        <v>Rugby Ball-Sports</v>
      </c>
      <c r="J907" t="s">
        <v>1627</v>
      </c>
      <c r="K907" t="str">
        <f>VLOOKUP(Table1[[#This Row],[Store_ID]],Store_Dim!$A$3:$D$22,2,FALSE)</f>
        <v>Hill, Wagner and Ballard-East</v>
      </c>
      <c r="L907" t="s">
        <v>1748</v>
      </c>
      <c r="M907" t="s">
        <v>3960</v>
      </c>
      <c r="N907" s="3">
        <v>295.12</v>
      </c>
      <c r="O907" s="4">
        <v>0.09</v>
      </c>
      <c r="P907" t="s">
        <v>1777</v>
      </c>
      <c r="Q907" s="4">
        <v>537.11840000000007</v>
      </c>
    </row>
    <row r="908" spans="1:17" x14ac:dyDescent="0.3">
      <c r="A908" t="s">
        <v>2680</v>
      </c>
      <c r="B908" t="str">
        <f t="shared" si="14"/>
        <v>Q3</v>
      </c>
      <c r="C908" t="str">
        <f>TEXT(Table1[[#This Row],[Order_Date]],"mmmm")</f>
        <v>July</v>
      </c>
      <c r="D908">
        <f>YEAR(Table1[[#This Row],[Order_Date]])</f>
        <v>2025</v>
      </c>
      <c r="E908" s="7">
        <v>45848</v>
      </c>
      <c r="F908" s="2" t="str">
        <f>VLOOKUP(Table1[[#This Row],[Customer_ID]],Customer_Dim!$A$2:$H$501,2,FALSE)</f>
        <v>Amy Walker</v>
      </c>
      <c r="G908" s="2" t="str">
        <f>_xlfn.XLOOKUP(Table1[[#This Row],[Customer_ID]],Customer_Dim!$A$2:$A$501,Customer_Dim!$E$2:$E$501)</f>
        <v>Smithland</v>
      </c>
      <c r="H908" t="s">
        <v>379</v>
      </c>
      <c r="I908" t="str">
        <f>VLOOKUP(Table1[[#This Row],[Product_ID]],Product_Dim!$A$2:$G$101,2,FALSE)</f>
        <v>Gaming Mechanical Keyboard-Electronics</v>
      </c>
      <c r="J908" t="s">
        <v>1591</v>
      </c>
      <c r="K908" t="str">
        <f>VLOOKUP(Table1[[#This Row],[Store_ID]],Store_Dim!$A$3:$D$22,2,FALSE)</f>
        <v>Aguirre-Keller-South</v>
      </c>
      <c r="L908" t="s">
        <v>1750</v>
      </c>
      <c r="M908" t="s">
        <v>3960</v>
      </c>
      <c r="N908" s="3">
        <v>414.18</v>
      </c>
      <c r="O908" s="4">
        <v>0.25</v>
      </c>
      <c r="P908" t="s">
        <v>1774</v>
      </c>
      <c r="Q908" s="4">
        <v>621.27</v>
      </c>
    </row>
    <row r="909" spans="1:17" x14ac:dyDescent="0.3">
      <c r="A909" t="s">
        <v>2681</v>
      </c>
      <c r="B909" t="str">
        <f t="shared" si="14"/>
        <v>Q3</v>
      </c>
      <c r="C909" t="str">
        <f>TEXT(Table1[[#This Row],[Order_Date]],"mmmm")</f>
        <v>September</v>
      </c>
      <c r="D909">
        <f>YEAR(Table1[[#This Row],[Order_Date]])</f>
        <v>2025</v>
      </c>
      <c r="E909" s="7">
        <v>45918</v>
      </c>
      <c r="F909" s="2" t="str">
        <f>VLOOKUP(Table1[[#This Row],[Customer_ID]],Customer_Dim!$A$2:$H$501,2,FALSE)</f>
        <v>Kevin Orr</v>
      </c>
      <c r="G909" s="2" t="str">
        <f>_xlfn.XLOOKUP(Table1[[#This Row],[Customer_ID]],Customer_Dim!$A$2:$A$501,Customer_Dim!$E$2:$E$501)</f>
        <v>Ryanberg</v>
      </c>
      <c r="H909" t="s">
        <v>847</v>
      </c>
      <c r="I909" t="str">
        <f>VLOOKUP(Table1[[#This Row],[Product_ID]],Product_Dim!$A$2:$G$101,2,FALSE)</f>
        <v>Womens Cotton Scarf-Clothing</v>
      </c>
      <c r="J909" t="s">
        <v>1639</v>
      </c>
      <c r="K909" t="str">
        <f>VLOOKUP(Table1[[#This Row],[Store_ID]],Store_Dim!$A$3:$D$22,2,FALSE)</f>
        <v>Bean, Jones and Park-West</v>
      </c>
      <c r="L909" t="s">
        <v>1744</v>
      </c>
      <c r="M909" t="s">
        <v>3960</v>
      </c>
      <c r="N909" s="3">
        <v>433.75</v>
      </c>
      <c r="O909" s="4">
        <v>0</v>
      </c>
      <c r="P909" t="s">
        <v>1772</v>
      </c>
      <c r="Q909" s="4">
        <v>867.5</v>
      </c>
    </row>
    <row r="910" spans="1:17" x14ac:dyDescent="0.3">
      <c r="A910" t="s">
        <v>2682</v>
      </c>
      <c r="B910" t="str">
        <f t="shared" si="14"/>
        <v>Q4</v>
      </c>
      <c r="C910" t="str">
        <f>TEXT(Table1[[#This Row],[Order_Date]],"mmmm")</f>
        <v>December</v>
      </c>
      <c r="D910">
        <f>YEAR(Table1[[#This Row],[Order_Date]])</f>
        <v>2023</v>
      </c>
      <c r="E910" s="7">
        <v>45288</v>
      </c>
      <c r="F910" s="2" t="str">
        <f>VLOOKUP(Table1[[#This Row],[Customer_ID]],Customer_Dim!$A$2:$H$501,2,FALSE)</f>
        <v>Brittany Watson</v>
      </c>
      <c r="G910" s="2" t="str">
        <f>_xlfn.XLOOKUP(Table1[[#This Row],[Customer_ID]],Customer_Dim!$A$2:$A$501,Customer_Dim!$E$2:$E$501)</f>
        <v>North Joshualand</v>
      </c>
      <c r="H910" t="s">
        <v>885</v>
      </c>
      <c r="I910" t="str">
        <f>VLOOKUP(Table1[[#This Row],[Product_ID]],Product_Dim!$A$2:$G$101,2,FALSE)</f>
        <v>Women's Beanie Hat-Clothing</v>
      </c>
      <c r="J910" t="s">
        <v>1693</v>
      </c>
      <c r="K910" t="str">
        <f>VLOOKUP(Table1[[#This Row],[Store_ID]],Store_Dim!$A$3:$D$22,2,FALSE)</f>
        <v>Mann-Austin-East</v>
      </c>
      <c r="L910" t="s">
        <v>1763</v>
      </c>
      <c r="M910" t="s">
        <v>3958</v>
      </c>
      <c r="N910" s="3">
        <v>104.33</v>
      </c>
      <c r="O910" s="4">
        <v>0.13</v>
      </c>
      <c r="P910" t="s">
        <v>1777</v>
      </c>
      <c r="Q910" s="4">
        <v>272.30130000000003</v>
      </c>
    </row>
    <row r="911" spans="1:17" x14ac:dyDescent="0.3">
      <c r="A911" t="s">
        <v>2683</v>
      </c>
      <c r="B911" t="str">
        <f t="shared" si="14"/>
        <v>Q3</v>
      </c>
      <c r="C911" t="str">
        <f>TEXT(Table1[[#This Row],[Order_Date]],"mmmm")</f>
        <v>July</v>
      </c>
      <c r="D911">
        <f>YEAR(Table1[[#This Row],[Order_Date]])</f>
        <v>2024</v>
      </c>
      <c r="E911" s="7">
        <v>45477</v>
      </c>
      <c r="F911" s="2" t="e">
        <f>VLOOKUP(Table1[[#This Row],[Customer_ID]],Customer_Dim!$A$2:$H$501,2,FALSE)</f>
        <v>#N/A</v>
      </c>
      <c r="G911" s="2" t="e">
        <f>_xlfn.XLOOKUP(Table1[[#This Row],[Customer_ID]],Customer_Dim!$A$2:$A$501,Customer_Dim!$E$2:$E$501)</f>
        <v>#N/A</v>
      </c>
      <c r="H911" t="s">
        <v>1415</v>
      </c>
      <c r="I911" t="str">
        <f>VLOOKUP(Table1[[#This Row],[Product_ID]],Product_Dim!$A$2:$G$101,2,FALSE)</f>
        <v>Women's Yoga Pants-Clothing</v>
      </c>
      <c r="J911" t="s">
        <v>1531</v>
      </c>
      <c r="K911" t="str">
        <f>VLOOKUP(Table1[[#This Row],[Store_ID]],Store_Dim!$A$3:$D$22,2,FALSE)</f>
        <v>Thomas, Bridges and Harris-North</v>
      </c>
      <c r="L911" t="s">
        <v>1751</v>
      </c>
      <c r="M911" t="s">
        <v>3957</v>
      </c>
      <c r="N911" s="3">
        <v>221.7</v>
      </c>
      <c r="O911" s="4">
        <v>0.04</v>
      </c>
      <c r="P911" t="s">
        <v>1772</v>
      </c>
      <c r="Q911" s="4">
        <v>212.83199999999999</v>
      </c>
    </row>
    <row r="912" spans="1:17" x14ac:dyDescent="0.3">
      <c r="A912" t="s">
        <v>2684</v>
      </c>
      <c r="B912" t="str">
        <f t="shared" si="14"/>
        <v>Q2</v>
      </c>
      <c r="C912" t="str">
        <f>TEXT(Table1[[#This Row],[Order_Date]],"mmmm")</f>
        <v>May</v>
      </c>
      <c r="D912">
        <f>YEAR(Table1[[#This Row],[Order_Date]])</f>
        <v>2025</v>
      </c>
      <c r="E912" s="7">
        <v>45796</v>
      </c>
      <c r="F912" s="2" t="str">
        <f>VLOOKUP(Table1[[#This Row],[Customer_ID]],Customer_Dim!$A$2:$H$501,2,FALSE)</f>
        <v>Rodney Huffman</v>
      </c>
      <c r="G912" s="2" t="str">
        <f>_xlfn.XLOOKUP(Table1[[#This Row],[Customer_ID]],Customer_Dim!$A$2:$A$501,Customer_Dim!$E$2:$E$501)</f>
        <v>Garzafort</v>
      </c>
      <c r="H912" t="s">
        <v>681</v>
      </c>
      <c r="I912" t="str">
        <f>VLOOKUP(Table1[[#This Row],[Product_ID]],Product_Dim!$A$2:$G$101,2,FALSE)</f>
        <v>Smart LED Light Strip-Electronics</v>
      </c>
      <c r="J912" t="s">
        <v>1657</v>
      </c>
      <c r="K912" t="str">
        <f>VLOOKUP(Table1[[#This Row],[Store_ID]],Store_Dim!$A$3:$D$22,2,FALSE)</f>
        <v>Gray Ltd-North</v>
      </c>
      <c r="L912" t="s">
        <v>1738</v>
      </c>
      <c r="M912" t="s">
        <v>3960</v>
      </c>
      <c r="N912" s="3">
        <v>491.26</v>
      </c>
      <c r="O912" s="4">
        <v>0.14000000000000001</v>
      </c>
      <c r="P912" t="s">
        <v>1777</v>
      </c>
      <c r="Q912" s="4">
        <v>844.96719999999993</v>
      </c>
    </row>
    <row r="913" spans="1:17" x14ac:dyDescent="0.3">
      <c r="A913" t="s">
        <v>2685</v>
      </c>
      <c r="B913" t="str">
        <f t="shared" si="14"/>
        <v>Q4</v>
      </c>
      <c r="C913" t="str">
        <f>TEXT(Table1[[#This Row],[Order_Date]],"mmmm")</f>
        <v>December</v>
      </c>
      <c r="D913">
        <f>YEAR(Table1[[#This Row],[Order_Date]])</f>
        <v>2024</v>
      </c>
      <c r="E913" s="7">
        <v>45630</v>
      </c>
      <c r="F913" s="2" t="str">
        <f>VLOOKUP(Table1[[#This Row],[Customer_ID]],Customer_Dim!$A$2:$H$501,2,FALSE)</f>
        <v>Erin Ward</v>
      </c>
      <c r="G913" s="2" t="str">
        <f>_xlfn.XLOOKUP(Table1[[#This Row],[Customer_ID]],Customer_Dim!$A$2:$A$501,Customer_Dim!$E$2:$E$501)</f>
        <v>New Brianchester</v>
      </c>
      <c r="H913" t="s">
        <v>592</v>
      </c>
      <c r="I913" t="str">
        <f>VLOOKUP(Table1[[#This Row],[Product_ID]],Product_Dim!$A$2:$G$101,2,FALSE)</f>
        <v>Men's Casual Sneakers-Clothing</v>
      </c>
      <c r="J913" t="s">
        <v>1597</v>
      </c>
      <c r="K913" t="str">
        <f>VLOOKUP(Table1[[#This Row],[Store_ID]],Store_Dim!$A$3:$D$22,2,FALSE)</f>
        <v>Bean, Jones and Park-West</v>
      </c>
      <c r="L913" t="s">
        <v>1744</v>
      </c>
      <c r="M913" t="s">
        <v>3959</v>
      </c>
      <c r="N913" s="3">
        <v>923.14</v>
      </c>
      <c r="O913" s="4">
        <v>0.15</v>
      </c>
      <c r="P913" t="s">
        <v>1772</v>
      </c>
      <c r="Q913" s="4">
        <v>3138.6759999999999</v>
      </c>
    </row>
    <row r="914" spans="1:17" x14ac:dyDescent="0.3">
      <c r="A914" t="s">
        <v>2686</v>
      </c>
      <c r="B914" t="str">
        <f t="shared" si="14"/>
        <v>Q4</v>
      </c>
      <c r="C914" t="str">
        <f>TEXT(Table1[[#This Row],[Order_Date]],"mmmm")</f>
        <v>November</v>
      </c>
      <c r="D914">
        <f>YEAR(Table1[[#This Row],[Order_Date]])</f>
        <v>2024</v>
      </c>
      <c r="E914" s="7">
        <v>45625</v>
      </c>
      <c r="F914" s="2" t="str">
        <f>VLOOKUP(Table1[[#This Row],[Customer_ID]],Customer_Dim!$A$2:$H$501,2,FALSE)</f>
        <v>David Roberts</v>
      </c>
      <c r="G914" s="2" t="str">
        <f>_xlfn.XLOOKUP(Table1[[#This Row],[Customer_ID]],Customer_Dim!$A$2:$A$501,Customer_Dim!$E$2:$E$501)</f>
        <v>Port Amanda</v>
      </c>
      <c r="H914" t="s">
        <v>628</v>
      </c>
      <c r="I914" t="str">
        <f>VLOOKUP(Table1[[#This Row],[Product_ID]],Product_Dim!$A$2:$G$101,2,FALSE)</f>
        <v>Matte Lipstick Set-Beauty</v>
      </c>
      <c r="J914" t="s">
        <v>1651</v>
      </c>
      <c r="K914" t="str">
        <f>VLOOKUP(Table1[[#This Row],[Store_ID]],Store_Dim!$A$3:$D$22,2,FALSE)</f>
        <v>Martinez-Mullins-South</v>
      </c>
      <c r="L914" t="s">
        <v>1742</v>
      </c>
      <c r="M914" t="s">
        <v>3960</v>
      </c>
      <c r="N914" s="3">
        <v>747.65</v>
      </c>
      <c r="O914" s="4">
        <v>0.08</v>
      </c>
      <c r="P914" t="s">
        <v>1772</v>
      </c>
      <c r="Q914" s="4">
        <v>1375.6759999999999</v>
      </c>
    </row>
    <row r="915" spans="1:17" x14ac:dyDescent="0.3">
      <c r="A915" t="s">
        <v>2687</v>
      </c>
      <c r="B915" t="str">
        <f t="shared" si="14"/>
        <v>Q2</v>
      </c>
      <c r="C915" t="str">
        <f>TEXT(Table1[[#This Row],[Order_Date]],"mmmm")</f>
        <v>April</v>
      </c>
      <c r="D915">
        <f>YEAR(Table1[[#This Row],[Order_Date]])</f>
        <v>2025</v>
      </c>
      <c r="E915" s="7">
        <v>45773</v>
      </c>
      <c r="F915" s="2" t="str">
        <f>VLOOKUP(Table1[[#This Row],[Customer_ID]],Customer_Dim!$A$2:$H$501,2,FALSE)</f>
        <v>Amy Walker</v>
      </c>
      <c r="G915" s="2" t="str">
        <f>_xlfn.XLOOKUP(Table1[[#This Row],[Customer_ID]],Customer_Dim!$A$2:$A$501,Customer_Dim!$E$2:$E$501)</f>
        <v>Smithland</v>
      </c>
      <c r="H915" t="s">
        <v>379</v>
      </c>
      <c r="I915" t="str">
        <f>VLOOKUP(Table1[[#This Row],[Product_ID]],Product_Dim!$A$2:$G$101,2,FALSE)</f>
        <v>Smart Home WiFi Camera-Electronics</v>
      </c>
      <c r="J915" t="s">
        <v>1607</v>
      </c>
      <c r="K915" t="str">
        <f>VLOOKUP(Table1[[#This Row],[Store_ID]],Store_Dim!$A$3:$D$22,2,FALSE)</f>
        <v>Martinez-Mullins-South</v>
      </c>
      <c r="L915" t="s">
        <v>1742</v>
      </c>
      <c r="M915" t="s">
        <v>3958</v>
      </c>
      <c r="N915" s="3">
        <v>94.55</v>
      </c>
      <c r="O915" s="4">
        <v>0.13</v>
      </c>
      <c r="P915" t="s">
        <v>1777</v>
      </c>
      <c r="Q915" s="4">
        <v>246.77549999999999</v>
      </c>
    </row>
    <row r="916" spans="1:17" x14ac:dyDescent="0.3">
      <c r="A916" t="s">
        <v>2688</v>
      </c>
      <c r="B916" t="str">
        <f t="shared" si="14"/>
        <v>Q1</v>
      </c>
      <c r="C916" t="str">
        <f>TEXT(Table1[[#This Row],[Order_Date]],"mmmm")</f>
        <v>January</v>
      </c>
      <c r="D916">
        <f>YEAR(Table1[[#This Row],[Order_Date]])</f>
        <v>2024</v>
      </c>
      <c r="E916" s="7">
        <v>45308</v>
      </c>
      <c r="F916" s="2" t="str">
        <f>VLOOKUP(Table1[[#This Row],[Customer_ID]],Customer_Dim!$A$2:$H$501,2,FALSE)</f>
        <v>Tonya Reynolds</v>
      </c>
      <c r="G916" s="2" t="str">
        <f>_xlfn.XLOOKUP(Table1[[#This Row],[Customer_ID]],Customer_Dim!$A$2:$A$501,Customer_Dim!$E$2:$E$501)</f>
        <v>Darleneton</v>
      </c>
      <c r="H916" t="s">
        <v>152</v>
      </c>
      <c r="I916" t="str">
        <f>VLOOKUP(Table1[[#This Row],[Product_ID]],Product_Dim!$A$2:$G$101,2,FALSE)</f>
        <v>4K Home Projector-Electronics</v>
      </c>
      <c r="J916" t="s">
        <v>1553</v>
      </c>
      <c r="K916" t="str">
        <f>VLOOKUP(Table1[[#This Row],[Store_ID]],Store_Dim!$A$3:$D$22,2,FALSE)</f>
        <v>Mann-Austin-East</v>
      </c>
      <c r="L916" t="s">
        <v>1763</v>
      </c>
      <c r="M916" t="s">
        <v>3958</v>
      </c>
      <c r="N916" s="3">
        <v>620.12</v>
      </c>
      <c r="O916" s="4">
        <v>0.06</v>
      </c>
      <c r="P916" t="s">
        <v>1772</v>
      </c>
      <c r="Q916" s="4">
        <v>1748.7384</v>
      </c>
    </row>
    <row r="917" spans="1:17" x14ac:dyDescent="0.3">
      <c r="A917" t="s">
        <v>2689</v>
      </c>
      <c r="B917" t="str">
        <f t="shared" si="14"/>
        <v>Q3</v>
      </c>
      <c r="C917" t="str">
        <f>TEXT(Table1[[#This Row],[Order_Date]],"mmmm")</f>
        <v>July</v>
      </c>
      <c r="D917">
        <f>YEAR(Table1[[#This Row],[Order_Date]])</f>
        <v>2025</v>
      </c>
      <c r="E917" s="7">
        <v>45869</v>
      </c>
      <c r="F917" s="2" t="str">
        <f>VLOOKUP(Table1[[#This Row],[Customer_ID]],Customer_Dim!$A$2:$H$501,2,FALSE)</f>
        <v>Eric Lee</v>
      </c>
      <c r="G917" s="2" t="str">
        <f>_xlfn.XLOOKUP(Table1[[#This Row],[Customer_ID]],Customer_Dim!$A$2:$A$501,Customer_Dim!$E$2:$E$501)</f>
        <v>Lake April</v>
      </c>
      <c r="H917" t="s">
        <v>1478</v>
      </c>
      <c r="I917" t="str">
        <f>VLOOKUP(Table1[[#This Row],[Product_ID]],Product_Dim!$A$2:$G$101,2,FALSE)</f>
        <v>Men's Sports Shorts-Clothing</v>
      </c>
      <c r="J917" t="s">
        <v>1661</v>
      </c>
      <c r="K917" t="str">
        <f>VLOOKUP(Table1[[#This Row],[Store_ID]],Store_Dim!$A$3:$D$22,2,FALSE)</f>
        <v>Benson-Elliott-East</v>
      </c>
      <c r="L917" t="s">
        <v>1740</v>
      </c>
      <c r="M917" t="s">
        <v>3960</v>
      </c>
      <c r="N917" s="3">
        <v>354.09</v>
      </c>
      <c r="O917" s="4">
        <v>0.12</v>
      </c>
      <c r="P917" t="s">
        <v>1777</v>
      </c>
      <c r="Q917" s="4">
        <v>623.19839999999999</v>
      </c>
    </row>
    <row r="918" spans="1:17" x14ac:dyDescent="0.3">
      <c r="A918" t="s">
        <v>2690</v>
      </c>
      <c r="B918" t="str">
        <f t="shared" si="14"/>
        <v>Q4</v>
      </c>
      <c r="C918" t="str">
        <f>TEXT(Table1[[#This Row],[Order_Date]],"mmmm")</f>
        <v>November</v>
      </c>
      <c r="D918">
        <f>YEAR(Table1[[#This Row],[Order_Date]])</f>
        <v>2024</v>
      </c>
      <c r="E918" s="7">
        <v>45621</v>
      </c>
      <c r="F918" s="2" t="str">
        <f>VLOOKUP(Table1[[#This Row],[Customer_ID]],Customer_Dim!$A$2:$H$501,2,FALSE)</f>
        <v>Jamie Reyes</v>
      </c>
      <c r="G918" s="2" t="str">
        <f>_xlfn.XLOOKUP(Table1[[#This Row],[Customer_ID]],Customer_Dim!$A$2:$A$501,Customer_Dim!$E$2:$E$501)</f>
        <v xml:space="preserve">   jonesbury </v>
      </c>
      <c r="H918" t="s">
        <v>442</v>
      </c>
      <c r="I918" t="str">
        <f>VLOOKUP(Table1[[#This Row],[Product_ID]],Product_Dim!$A$2:$G$101,2,FALSE)</f>
        <v>Men's Track Pants-Clothing</v>
      </c>
      <c r="J918" t="s">
        <v>1629</v>
      </c>
      <c r="K918" t="str">
        <f>VLOOKUP(Table1[[#This Row],[Store_ID]],Store_Dim!$A$3:$D$22,2,FALSE)</f>
        <v>Gray Ltd-North</v>
      </c>
      <c r="L918" t="s">
        <v>1738</v>
      </c>
      <c r="M918" t="s">
        <v>3958</v>
      </c>
      <c r="N918" s="3">
        <v>214.94</v>
      </c>
      <c r="O918" s="4">
        <v>0.22</v>
      </c>
      <c r="P918" t="s">
        <v>1777</v>
      </c>
      <c r="Q918" s="4">
        <v>502.95960000000002</v>
      </c>
    </row>
    <row r="919" spans="1:17" x14ac:dyDescent="0.3">
      <c r="A919" t="s">
        <v>2691</v>
      </c>
      <c r="B919" t="str">
        <f t="shared" si="14"/>
        <v>Q2</v>
      </c>
      <c r="C919" t="str">
        <f>TEXT(Table1[[#This Row],[Order_Date]],"mmmm")</f>
        <v>May</v>
      </c>
      <c r="D919">
        <f>YEAR(Table1[[#This Row],[Order_Date]])</f>
        <v>2024</v>
      </c>
      <c r="E919" s="7">
        <v>45428</v>
      </c>
      <c r="F919" s="2" t="str">
        <f>VLOOKUP(Table1[[#This Row],[Customer_ID]],Customer_Dim!$A$2:$H$501,2,FALSE)</f>
        <v>Carmen Price</v>
      </c>
      <c r="G919" s="2" t="str">
        <f>_xlfn.XLOOKUP(Table1[[#This Row],[Customer_ID]],Customer_Dim!$A$2:$A$501,Customer_Dim!$E$2:$E$501)</f>
        <v>North Briannamouth</v>
      </c>
      <c r="H919" t="s">
        <v>645</v>
      </c>
      <c r="I919" t="str">
        <f>VLOOKUP(Table1[[#This Row],[Product_ID]],Product_Dim!$A$2:$G$101,2,FALSE)</f>
        <v>Adjustable Dumbbell Set-Sports</v>
      </c>
      <c r="J919" t="s">
        <v>1541</v>
      </c>
      <c r="K919" t="str">
        <f>VLOOKUP(Table1[[#This Row],[Store_ID]],Store_Dim!$A$3:$D$22,2,FALSE)</f>
        <v>Thomas, Bridges and Harris-North</v>
      </c>
      <c r="L919" t="s">
        <v>1751</v>
      </c>
      <c r="M919" t="s">
        <v>3960</v>
      </c>
      <c r="N919" s="3">
        <v>309.77999999999997</v>
      </c>
      <c r="O919" s="4">
        <v>0.16</v>
      </c>
      <c r="P919" t="s">
        <v>1772</v>
      </c>
      <c r="Q919" s="4">
        <v>520.43039999999996</v>
      </c>
    </row>
    <row r="920" spans="1:17" x14ac:dyDescent="0.3">
      <c r="A920" t="s">
        <v>2692</v>
      </c>
      <c r="B920" t="str">
        <f t="shared" si="14"/>
        <v>Q2</v>
      </c>
      <c r="C920" t="str">
        <f>TEXT(Table1[[#This Row],[Order_Date]],"mmmm")</f>
        <v>May</v>
      </c>
      <c r="D920">
        <f>YEAR(Table1[[#This Row],[Order_Date]])</f>
        <v>2025</v>
      </c>
      <c r="E920" s="7">
        <v>45807</v>
      </c>
      <c r="F920" s="2" t="str">
        <f>VLOOKUP(Table1[[#This Row],[Customer_ID]],Customer_Dim!$A$2:$H$501,2,FALSE)</f>
        <v>Roy Cole</v>
      </c>
      <c r="G920" s="2" t="str">
        <f>_xlfn.XLOOKUP(Table1[[#This Row],[Customer_ID]],Customer_Dim!$A$2:$A$501,Customer_Dim!$E$2:$E$501)</f>
        <v>North Cynthiatown</v>
      </c>
      <c r="H920" t="s">
        <v>252</v>
      </c>
      <c r="I920" t="str">
        <f>VLOOKUP(Table1[[#This Row],[Product_ID]],Product_Dim!$A$2:$G$101,2,FALSE)</f>
        <v>USB-C Fast Charger-Electronics</v>
      </c>
      <c r="J920" t="s">
        <v>1549</v>
      </c>
      <c r="K920" t="str">
        <f>VLOOKUP(Table1[[#This Row],[Store_ID]],Store_Dim!$A$3:$D$22,2,FALSE)</f>
        <v>Johnson-Wright-North</v>
      </c>
      <c r="L920" t="s">
        <v>1733</v>
      </c>
      <c r="M920" t="s">
        <v>3960</v>
      </c>
      <c r="N920" s="3">
        <v>183.85</v>
      </c>
      <c r="O920" s="4">
        <v>0.14000000000000001</v>
      </c>
      <c r="P920" t="s">
        <v>1774</v>
      </c>
      <c r="Q920" s="4">
        <v>316.22199999999998</v>
      </c>
    </row>
    <row r="921" spans="1:17" x14ac:dyDescent="0.3">
      <c r="A921" t="s">
        <v>2693</v>
      </c>
      <c r="B921" t="str">
        <f t="shared" si="14"/>
        <v>Q4</v>
      </c>
      <c r="C921" t="str">
        <f>TEXT(Table1[[#This Row],[Order_Date]],"mmmm")</f>
        <v>November</v>
      </c>
      <c r="D921">
        <f>YEAR(Table1[[#This Row],[Order_Date]])</f>
        <v>2023</v>
      </c>
      <c r="E921" s="7">
        <v>45238</v>
      </c>
      <c r="F921" s="2" t="str">
        <f>VLOOKUP(Table1[[#This Row],[Customer_ID]],Customer_Dim!$A$2:$H$501,2,FALSE)</f>
        <v>Sarah Smith</v>
      </c>
      <c r="G921" s="2" t="str">
        <f>_xlfn.XLOOKUP(Table1[[#This Row],[Customer_ID]],Customer_Dim!$A$2:$A$501,Customer_Dim!$E$2:$E$501)</f>
        <v>Kathleenport</v>
      </c>
      <c r="H921" t="s">
        <v>1258</v>
      </c>
      <c r="I921" t="str">
        <f>VLOOKUP(Table1[[#This Row],[Product_ID]],Product_Dim!$A$2:$G$101,2,FALSE)</f>
        <v>Kitchen Storage Rack-Home</v>
      </c>
      <c r="J921" t="s">
        <v>1663</v>
      </c>
      <c r="K921" t="str">
        <f>VLOOKUP(Table1[[#This Row],[Store_ID]],Store_Dim!$A$3:$D$22,2,FALSE)</f>
        <v>Rivera-Warner-East</v>
      </c>
      <c r="L921" t="s">
        <v>1725</v>
      </c>
      <c r="M921" t="s">
        <v>3957</v>
      </c>
      <c r="N921" s="3">
        <v>550.05999999999995</v>
      </c>
      <c r="O921" s="4">
        <v>0.01</v>
      </c>
      <c r="P921" t="s">
        <v>1772</v>
      </c>
      <c r="Q921" s="4">
        <v>544.55939999999998</v>
      </c>
    </row>
    <row r="922" spans="1:17" x14ac:dyDescent="0.3">
      <c r="A922" t="s">
        <v>2694</v>
      </c>
      <c r="B922" t="str">
        <f t="shared" si="14"/>
        <v>Q4</v>
      </c>
      <c r="C922" t="str">
        <f>TEXT(Table1[[#This Row],[Order_Date]],"mmmm")</f>
        <v>November</v>
      </c>
      <c r="D922">
        <f>YEAR(Table1[[#This Row],[Order_Date]])</f>
        <v>2023</v>
      </c>
      <c r="E922" s="7">
        <v>45253</v>
      </c>
      <c r="F922" s="2" t="str">
        <f>VLOOKUP(Table1[[#This Row],[Customer_ID]],Customer_Dim!$A$2:$H$501,2,FALSE)</f>
        <v>David Arnold</v>
      </c>
      <c r="G922" s="2" t="str">
        <f>_xlfn.XLOOKUP(Table1[[#This Row],[Customer_ID]],Customer_Dim!$A$2:$A$501,Customer_Dim!$E$2:$E$501)</f>
        <v>East Jennifer</v>
      </c>
      <c r="H922" t="s">
        <v>121</v>
      </c>
      <c r="I922" t="str">
        <f>VLOOKUP(Table1[[#This Row],[Product_ID]],Product_Dim!$A$2:$G$101,2,FALSE)</f>
        <v>Decorative Lamp Shade-Home</v>
      </c>
      <c r="J922" t="s">
        <v>1681</v>
      </c>
      <c r="K922" t="str">
        <f>VLOOKUP(Table1[[#This Row],[Store_ID]],Store_Dim!$A$3:$D$22,2,FALSE)</f>
        <v>Alexander Group-South</v>
      </c>
      <c r="L922" t="s">
        <v>1735</v>
      </c>
      <c r="M922" t="s">
        <v>3960</v>
      </c>
      <c r="N922" s="3">
        <v>32.19</v>
      </c>
      <c r="O922" s="4">
        <v>0.13</v>
      </c>
      <c r="P922" t="s">
        <v>1777</v>
      </c>
      <c r="Q922" s="4">
        <v>56.010599999999997</v>
      </c>
    </row>
    <row r="923" spans="1:17" x14ac:dyDescent="0.3">
      <c r="A923" t="s">
        <v>2695</v>
      </c>
      <c r="B923" t="str">
        <f t="shared" si="14"/>
        <v>Q2</v>
      </c>
      <c r="C923" t="str">
        <f>TEXT(Table1[[#This Row],[Order_Date]],"mmmm")</f>
        <v>June</v>
      </c>
      <c r="D923">
        <f>YEAR(Table1[[#This Row],[Order_Date]])</f>
        <v>2024</v>
      </c>
      <c r="E923" s="7">
        <v>45460</v>
      </c>
      <c r="F923" s="2" t="str">
        <f>VLOOKUP(Table1[[#This Row],[Customer_ID]],Customer_Dim!$A$2:$H$501,2,FALSE)</f>
        <v>Sean Roth</v>
      </c>
      <c r="G923" s="2" t="str">
        <f>_xlfn.XLOOKUP(Table1[[#This Row],[Customer_ID]],Customer_Dim!$A$2:$A$501,Customer_Dim!$E$2:$E$501)</f>
        <v>Lake Michael</v>
      </c>
      <c r="H923" t="s">
        <v>465</v>
      </c>
      <c r="I923" t="str">
        <f>VLOOKUP(Table1[[#This Row],[Product_ID]],Product_Dim!$A$2:$G$101,2,FALSE)</f>
        <v>Modern Wall Clock-Home</v>
      </c>
      <c r="J923" t="s">
        <v>1589</v>
      </c>
      <c r="K923" t="str">
        <f>VLOOKUP(Table1[[#This Row],[Store_ID]],Store_Dim!$A$3:$D$22,2,FALSE)</f>
        <v>Mann-Austin-East</v>
      </c>
      <c r="L923" t="s">
        <v>1763</v>
      </c>
      <c r="M923" t="s">
        <v>3960</v>
      </c>
      <c r="N923" s="3">
        <v>892.06</v>
      </c>
      <c r="O923" s="4">
        <v>0.08</v>
      </c>
      <c r="P923" t="s">
        <v>1772</v>
      </c>
      <c r="Q923" s="4">
        <v>1641.3904</v>
      </c>
    </row>
    <row r="924" spans="1:17" x14ac:dyDescent="0.3">
      <c r="A924" t="s">
        <v>2696</v>
      </c>
      <c r="B924" t="str">
        <f t="shared" si="14"/>
        <v>Q4</v>
      </c>
      <c r="C924" t="str">
        <f>TEXT(Table1[[#This Row],[Order_Date]],"mmmm")</f>
        <v>December</v>
      </c>
      <c r="D924">
        <f>YEAR(Table1[[#This Row],[Order_Date]])</f>
        <v>2024</v>
      </c>
      <c r="E924" s="7">
        <v>45628</v>
      </c>
      <c r="F924" s="2" t="str">
        <f>VLOOKUP(Table1[[#This Row],[Customer_ID]],Customer_Dim!$A$2:$H$501,2,FALSE)</f>
        <v>Philip Mendoza</v>
      </c>
      <c r="G924" s="2" t="str">
        <f>_xlfn.XLOOKUP(Table1[[#This Row],[Customer_ID]],Customer_Dim!$A$2:$A$501,Customer_Dim!$E$2:$E$501)</f>
        <v>Tylermouth</v>
      </c>
      <c r="H924" t="s">
        <v>1439</v>
      </c>
      <c r="I924" t="str">
        <f>VLOOKUP(Table1[[#This Row],[Product_ID]],Product_Dim!$A$2:$G$101,2,FALSE)</f>
        <v>Womens Cotton Scarf-Clothing</v>
      </c>
      <c r="J924" t="s">
        <v>1639</v>
      </c>
      <c r="K924" t="str">
        <f>VLOOKUP(Table1[[#This Row],[Store_ID]],Store_Dim!$A$3:$D$22,2,FALSE)</f>
        <v>Benson-Elliott-East</v>
      </c>
      <c r="L924" t="s">
        <v>1740</v>
      </c>
      <c r="M924" t="s">
        <v>3957</v>
      </c>
      <c r="N924" s="3">
        <v>127.47</v>
      </c>
      <c r="O924" s="4">
        <v>0.16</v>
      </c>
      <c r="P924" t="s">
        <v>1777</v>
      </c>
      <c r="Q924" s="4">
        <v>107.0748</v>
      </c>
    </row>
    <row r="925" spans="1:17" x14ac:dyDescent="0.3">
      <c r="A925" t="s">
        <v>2697</v>
      </c>
      <c r="B925" t="str">
        <f t="shared" si="14"/>
        <v>Q2</v>
      </c>
      <c r="C925" t="str">
        <f>TEXT(Table1[[#This Row],[Order_Date]],"mmmm")</f>
        <v>May</v>
      </c>
      <c r="D925">
        <f>YEAR(Table1[[#This Row],[Order_Date]])</f>
        <v>2025</v>
      </c>
      <c r="E925" s="7">
        <v>45778</v>
      </c>
      <c r="F925" s="2" t="str">
        <f>VLOOKUP(Table1[[#This Row],[Customer_ID]],Customer_Dim!$A$2:$H$501,2,FALSE)</f>
        <v>Timothy Valenzuela</v>
      </c>
      <c r="G925" s="2" t="str">
        <f>_xlfn.XLOOKUP(Table1[[#This Row],[Customer_ID]],Customer_Dim!$A$2:$A$501,Customer_Dim!$E$2:$E$501)</f>
        <v>Stevensshire</v>
      </c>
      <c r="H925" t="s">
        <v>1198</v>
      </c>
      <c r="I925" t="str">
        <f>VLOOKUP(Table1[[#This Row],[Product_ID]],Product_Dim!$A$2:$G$101,2,FALSE)</f>
        <v>WiFi Mesh Router-Electronics</v>
      </c>
      <c r="J925" t="s">
        <v>1677</v>
      </c>
      <c r="K925" t="str">
        <f>VLOOKUP(Table1[[#This Row],[Store_ID]],Store_Dim!$A$3:$D$22,2,FALSE)</f>
        <v>Mcdonald Inc-South</v>
      </c>
      <c r="L925" t="s">
        <v>1754</v>
      </c>
      <c r="M925" t="s">
        <v>3958</v>
      </c>
      <c r="N925" s="3">
        <v>212.87</v>
      </c>
      <c r="O925" s="4">
        <v>0.18</v>
      </c>
      <c r="P925" t="s">
        <v>1772</v>
      </c>
      <c r="Q925" s="4">
        <v>523.66020000000003</v>
      </c>
    </row>
    <row r="926" spans="1:17" x14ac:dyDescent="0.3">
      <c r="A926" t="s">
        <v>2698</v>
      </c>
      <c r="B926" t="str">
        <f t="shared" si="14"/>
        <v>Q2</v>
      </c>
      <c r="C926" t="str">
        <f>TEXT(Table1[[#This Row],[Order_Date]],"mmmm")</f>
        <v>June</v>
      </c>
      <c r="D926">
        <f>YEAR(Table1[[#This Row],[Order_Date]])</f>
        <v>2024</v>
      </c>
      <c r="E926" s="7">
        <v>45471</v>
      </c>
      <c r="F926" s="2" t="str">
        <f>VLOOKUP(Table1[[#This Row],[Customer_ID]],Customer_Dim!$A$2:$H$501,2,FALSE)</f>
        <v>Erin Ward</v>
      </c>
      <c r="G926" s="2" t="str">
        <f>_xlfn.XLOOKUP(Table1[[#This Row],[Customer_ID]],Customer_Dim!$A$2:$A$501,Customer_Dim!$E$2:$E$501)</f>
        <v>New Brianchester</v>
      </c>
      <c r="H926" t="s">
        <v>592</v>
      </c>
      <c r="I926" t="str">
        <f>VLOOKUP(Table1[[#This Row],[Product_ID]],Product_Dim!$A$2:$G$101,2,FALSE)</f>
        <v>Badminton Racket Set-Sports</v>
      </c>
      <c r="J926" t="s">
        <v>1685</v>
      </c>
      <c r="K926" t="str">
        <f>VLOOKUP(Table1[[#This Row],[Store_ID]],Store_Dim!$A$3:$D$22,2,FALSE)</f>
        <v>Martinez-Mullins-South</v>
      </c>
      <c r="L926" t="s">
        <v>1742</v>
      </c>
      <c r="M926" t="s">
        <v>3957</v>
      </c>
      <c r="N926" s="3">
        <v>26.37</v>
      </c>
      <c r="O926" s="4">
        <v>0.3</v>
      </c>
      <c r="P926" t="s">
        <v>1777</v>
      </c>
      <c r="Q926" s="4">
        <v>18.459</v>
      </c>
    </row>
    <row r="927" spans="1:17" x14ac:dyDescent="0.3">
      <c r="A927" t="s">
        <v>2699</v>
      </c>
      <c r="B927" t="str">
        <f t="shared" si="14"/>
        <v>Q2</v>
      </c>
      <c r="C927" t="str">
        <f>TEXT(Table1[[#This Row],[Order_Date]],"mmmm")</f>
        <v>April</v>
      </c>
      <c r="D927">
        <f>YEAR(Table1[[#This Row],[Order_Date]])</f>
        <v>2025</v>
      </c>
      <c r="E927" s="7">
        <v>45770</v>
      </c>
      <c r="F927" s="2" t="str">
        <f>VLOOKUP(Table1[[#This Row],[Customer_ID]],Customer_Dim!$A$2:$H$501,2,FALSE)</f>
        <v>Cynthia Parrish</v>
      </c>
      <c r="G927" s="2" t="str">
        <f>_xlfn.XLOOKUP(Table1[[#This Row],[Customer_ID]],Customer_Dim!$A$2:$A$501,Customer_Dim!$E$2:$E$501)</f>
        <v>Espinozaberg</v>
      </c>
      <c r="H927" t="s">
        <v>1421</v>
      </c>
      <c r="I927" t="str">
        <f>VLOOKUP(Table1[[#This Row],[Product_ID]],Product_Dim!$A$2:$G$101,2,FALSE)</f>
        <v>Gaming Mechanical Keyboard-Electronics</v>
      </c>
      <c r="J927" t="s">
        <v>1591</v>
      </c>
      <c r="K927" t="str">
        <f>VLOOKUP(Table1[[#This Row],[Store_ID]],Store_Dim!$A$3:$D$22,2,FALSE)</f>
        <v>Guerrero-Schmitt-East</v>
      </c>
      <c r="L927" t="s">
        <v>1761</v>
      </c>
      <c r="M927" t="s">
        <v>3959</v>
      </c>
      <c r="N927" s="3">
        <v>953.98</v>
      </c>
      <c r="O927" s="4">
        <v>0.16</v>
      </c>
      <c r="P927" t="s">
        <v>1772</v>
      </c>
      <c r="Q927" s="4">
        <v>3205.3728000000001</v>
      </c>
    </row>
    <row r="928" spans="1:17" x14ac:dyDescent="0.3">
      <c r="A928" t="s">
        <v>2700</v>
      </c>
      <c r="B928" t="str">
        <f t="shared" si="14"/>
        <v>Q1</v>
      </c>
      <c r="C928" t="str">
        <f>TEXT(Table1[[#This Row],[Order_Date]],"mmmm")</f>
        <v>March</v>
      </c>
      <c r="D928">
        <f>YEAR(Table1[[#This Row],[Order_Date]])</f>
        <v>2024</v>
      </c>
      <c r="E928" s="7">
        <v>45369</v>
      </c>
      <c r="F928" s="2" t="str">
        <f>VLOOKUP(Table1[[#This Row],[Customer_ID]],Customer_Dim!$A$2:$H$501,2,FALSE)</f>
        <v>Steve Medina</v>
      </c>
      <c r="G928" s="2" t="str">
        <f>_xlfn.XLOOKUP(Table1[[#This Row],[Customer_ID]],Customer_Dim!$A$2:$A$501,Customer_Dim!$E$2:$E$501)</f>
        <v>East Josephside</v>
      </c>
      <c r="H928" t="s">
        <v>693</v>
      </c>
      <c r="I928" t="str">
        <f>VLOOKUP(Table1[[#This Row],[Product_ID]],Product_Dim!$A$2:$G$101,2,FALSE)</f>
        <v>Smart LED Light Strip-Electronics</v>
      </c>
      <c r="J928" t="s">
        <v>1657</v>
      </c>
      <c r="K928" t="str">
        <f>VLOOKUP(Table1[[#This Row],[Store_ID]],Store_Dim!$A$3:$D$22,2,FALSE)</f>
        <v>Mann-Austin-East</v>
      </c>
      <c r="L928" t="s">
        <v>1763</v>
      </c>
      <c r="M928" t="s">
        <v>3958</v>
      </c>
      <c r="N928" s="3">
        <v>968.88</v>
      </c>
      <c r="O928" s="4">
        <v>0.15</v>
      </c>
      <c r="P928" t="s">
        <v>1772</v>
      </c>
      <c r="Q928" s="4">
        <v>2470.6439999999998</v>
      </c>
    </row>
    <row r="929" spans="1:17" x14ac:dyDescent="0.3">
      <c r="A929" t="s">
        <v>2701</v>
      </c>
      <c r="B929" t="str">
        <f t="shared" si="14"/>
        <v>Q3</v>
      </c>
      <c r="C929" t="str">
        <f>TEXT(Table1[[#This Row],[Order_Date]],"mmmm")</f>
        <v>September</v>
      </c>
      <c r="D929">
        <f>YEAR(Table1[[#This Row],[Order_Date]])</f>
        <v>2025</v>
      </c>
      <c r="E929" s="7">
        <v>45910</v>
      </c>
      <c r="F929" s="2" t="str">
        <f>VLOOKUP(Table1[[#This Row],[Customer_ID]],Customer_Dim!$A$2:$H$501,2,FALSE)</f>
        <v>Dr. Suzanne Bullock</v>
      </c>
      <c r="G929" s="2" t="str">
        <f>_xlfn.XLOOKUP(Table1[[#This Row],[Customer_ID]],Customer_Dim!$A$2:$A$501,Customer_Dim!$E$2:$E$501)</f>
        <v>Lake Blaketon</v>
      </c>
      <c r="H929" t="s">
        <v>610</v>
      </c>
      <c r="I929" t="str">
        <f>VLOOKUP(Table1[[#This Row],[Product_ID]],Product_Dim!$A$2:$G$101,2,FALSE)</f>
        <v>Wireless Mouse-Electronics</v>
      </c>
      <c r="J929" t="s">
        <v>1675</v>
      </c>
      <c r="K929" t="str">
        <f>VLOOKUP(Table1[[#This Row],[Store_ID]],Store_Dim!$A$3:$D$22,2,FALSE)</f>
        <v>Guerrero-Schmitt-East</v>
      </c>
      <c r="L929" t="s">
        <v>1761</v>
      </c>
      <c r="M929" t="s">
        <v>3957</v>
      </c>
      <c r="N929" s="3">
        <v>533.04999999999995</v>
      </c>
      <c r="O929" s="4">
        <v>0.11</v>
      </c>
      <c r="P929" t="s">
        <v>1774</v>
      </c>
      <c r="Q929" s="4">
        <v>474.41449999999998</v>
      </c>
    </row>
    <row r="930" spans="1:17" x14ac:dyDescent="0.3">
      <c r="A930" t="s">
        <v>2702</v>
      </c>
      <c r="B930" t="str">
        <f t="shared" si="14"/>
        <v>Q4</v>
      </c>
      <c r="C930" t="str">
        <f>TEXT(Table1[[#This Row],[Order_Date]],"mmmm")</f>
        <v>December</v>
      </c>
      <c r="D930">
        <f>YEAR(Table1[[#This Row],[Order_Date]])</f>
        <v>2024</v>
      </c>
      <c r="E930" s="7">
        <v>45637</v>
      </c>
      <c r="F930" s="2" t="str">
        <f>VLOOKUP(Table1[[#This Row],[Customer_ID]],Customer_Dim!$A$2:$H$501,2,FALSE)</f>
        <v>Erika Padilla</v>
      </c>
      <c r="G930" s="2" t="str">
        <f>_xlfn.XLOOKUP(Table1[[#This Row],[Customer_ID]],Customer_Dim!$A$2:$A$501,Customer_Dim!$E$2:$E$501)</f>
        <v>Andrewsland</v>
      </c>
      <c r="H930" t="s">
        <v>1177</v>
      </c>
      <c r="I930" t="str">
        <f>VLOOKUP(Table1[[#This Row],[Product_ID]],Product_Dim!$A$2:$G$101,2,FALSE)</f>
        <v>Badminton Racket Set-Sports</v>
      </c>
      <c r="J930" t="s">
        <v>1685</v>
      </c>
      <c r="K930" t="str">
        <f>VLOOKUP(Table1[[#This Row],[Store_ID]],Store_Dim!$A$3:$D$22,2,FALSE)</f>
        <v>Martinez, Adkins and Johnson-North</v>
      </c>
      <c r="L930" t="s">
        <v>1728</v>
      </c>
      <c r="M930" t="s">
        <v>3958</v>
      </c>
      <c r="N930" s="3">
        <v>138.86000000000001</v>
      </c>
      <c r="O930" s="4">
        <v>0.11</v>
      </c>
      <c r="P930" t="s">
        <v>1774</v>
      </c>
      <c r="Q930" s="4">
        <v>370.75619999999998</v>
      </c>
    </row>
    <row r="931" spans="1:17" x14ac:dyDescent="0.3">
      <c r="A931" t="s">
        <v>2703</v>
      </c>
      <c r="B931" t="str">
        <f t="shared" si="14"/>
        <v>Q1</v>
      </c>
      <c r="C931" t="str">
        <f>TEXT(Table1[[#This Row],[Order_Date]],"mmmm")</f>
        <v>February</v>
      </c>
      <c r="D931">
        <f>YEAR(Table1[[#This Row],[Order_Date]])</f>
        <v>2025</v>
      </c>
      <c r="E931" s="7">
        <v>45706</v>
      </c>
      <c r="F931" s="2" t="str">
        <f>VLOOKUP(Table1[[#This Row],[Customer_ID]],Customer_Dim!$A$2:$H$501,2,FALSE)</f>
        <v>Brian Choi</v>
      </c>
      <c r="G931" s="2" t="str">
        <f>_xlfn.XLOOKUP(Table1[[#This Row],[Customer_ID]],Customer_Dim!$A$2:$A$501,Customer_Dim!$E$2:$E$501)</f>
        <v>Floydton</v>
      </c>
      <c r="H931" t="s">
        <v>527</v>
      </c>
      <c r="I931" t="str">
        <f>VLOOKUP(Table1[[#This Row],[Product_ID]],Product_Dim!$A$2:$G$101,2,FALSE)</f>
        <v>Carbon Fiber Tennis Racket-Sports</v>
      </c>
      <c r="J931" t="s">
        <v>1567</v>
      </c>
      <c r="K931" t="str">
        <f>VLOOKUP(Table1[[#This Row],[Store_ID]],Store_Dim!$A$3:$D$22,2,FALSE)</f>
        <v>Rivera-Warner-East</v>
      </c>
      <c r="L931" t="s">
        <v>1725</v>
      </c>
      <c r="M931" t="s">
        <v>3957</v>
      </c>
      <c r="N931" s="3">
        <v>588.92999999999995</v>
      </c>
      <c r="O931" s="4">
        <v>0.03</v>
      </c>
      <c r="P931" t="s">
        <v>1777</v>
      </c>
      <c r="Q931" s="4">
        <v>571.26209999999992</v>
      </c>
    </row>
    <row r="932" spans="1:17" x14ac:dyDescent="0.3">
      <c r="A932" t="s">
        <v>2704</v>
      </c>
      <c r="B932" t="str">
        <f t="shared" si="14"/>
        <v>Q3</v>
      </c>
      <c r="C932" t="str">
        <f>TEXT(Table1[[#This Row],[Order_Date]],"mmmm")</f>
        <v>September</v>
      </c>
      <c r="D932">
        <f>YEAR(Table1[[#This Row],[Order_Date]])</f>
        <v>2024</v>
      </c>
      <c r="E932" s="7">
        <v>45557</v>
      </c>
      <c r="F932" s="2" t="str">
        <f>VLOOKUP(Table1[[#This Row],[Customer_ID]],Customer_Dim!$A$2:$H$501,2,FALSE)</f>
        <v>Justin Ingram</v>
      </c>
      <c r="G932" s="2" t="str">
        <f>_xlfn.XLOOKUP(Table1[[#This Row],[Customer_ID]],Customer_Dim!$A$2:$A$501,Customer_Dim!$E$2:$E$501)</f>
        <v>Lake Lisaland</v>
      </c>
      <c r="H932" t="s">
        <v>1240</v>
      </c>
      <c r="I932" t="str">
        <f>VLOOKUP(Table1[[#This Row],[Product_ID]],Product_Dim!$A$2:$G$101,2,FALSE)</f>
        <v>Rugby Ball-Sports</v>
      </c>
      <c r="J932" t="s">
        <v>1627</v>
      </c>
      <c r="K932" t="str">
        <f>VLOOKUP(Table1[[#This Row],[Store_ID]],Store_Dim!$A$3:$D$22,2,FALSE)</f>
        <v>Gray Ltd-North</v>
      </c>
      <c r="L932" t="s">
        <v>1738</v>
      </c>
      <c r="M932" t="s">
        <v>3960</v>
      </c>
      <c r="N932" s="3">
        <v>576.83000000000004</v>
      </c>
      <c r="O932" s="4">
        <v>0.19</v>
      </c>
      <c r="P932" t="s">
        <v>1774</v>
      </c>
      <c r="Q932" s="4">
        <v>934.46460000000013</v>
      </c>
    </row>
    <row r="933" spans="1:17" x14ac:dyDescent="0.3">
      <c r="A933" t="s">
        <v>2705</v>
      </c>
      <c r="B933" t="str">
        <f t="shared" si="14"/>
        <v>Q1</v>
      </c>
      <c r="C933" t="str">
        <f>TEXT(Table1[[#This Row],[Order_Date]],"mmmm")</f>
        <v>February</v>
      </c>
      <c r="D933">
        <f>YEAR(Table1[[#This Row],[Order_Date]])</f>
        <v>2024</v>
      </c>
      <c r="E933" s="7">
        <v>45338</v>
      </c>
      <c r="F933" s="2" t="str">
        <f>VLOOKUP(Table1[[#This Row],[Customer_ID]],Customer_Dim!$A$2:$H$501,2,FALSE)</f>
        <v>Kristy Dunlap</v>
      </c>
      <c r="G933" s="2" t="str">
        <f>_xlfn.XLOOKUP(Table1[[#This Row],[Customer_ID]],Customer_Dim!$A$2:$A$501,Customer_Dim!$E$2:$E$501)</f>
        <v>Whiteport</v>
      </c>
      <c r="H933" t="s">
        <v>1007</v>
      </c>
      <c r="I933" t="str">
        <f>VLOOKUP(Table1[[#This Row],[Product_ID]],Product_Dim!$A$2:$G$101,2,FALSE)</f>
        <v>Adjustable Dumbbells 20kg-Sports</v>
      </c>
      <c r="J933" t="s">
        <v>1653</v>
      </c>
      <c r="K933" t="str">
        <f>VLOOKUP(Table1[[#This Row],[Store_ID]],Store_Dim!$A$3:$D$22,2,FALSE)</f>
        <v>Thomas, Bridges and Harris-North</v>
      </c>
      <c r="L933" t="s">
        <v>1751</v>
      </c>
      <c r="M933" t="s">
        <v>3957</v>
      </c>
      <c r="N933" s="3">
        <v>681.3</v>
      </c>
      <c r="O933" s="4">
        <v>0.05</v>
      </c>
      <c r="P933" t="s">
        <v>1772</v>
      </c>
      <c r="Q933" s="4">
        <v>647.2349999999999</v>
      </c>
    </row>
    <row r="934" spans="1:17" x14ac:dyDescent="0.3">
      <c r="A934" t="s">
        <v>2706</v>
      </c>
      <c r="B934" t="str">
        <f t="shared" si="14"/>
        <v>Q2</v>
      </c>
      <c r="C934" t="str">
        <f>TEXT(Table1[[#This Row],[Order_Date]],"mmmm")</f>
        <v>May</v>
      </c>
      <c r="D934">
        <f>YEAR(Table1[[#This Row],[Order_Date]])</f>
        <v>2024</v>
      </c>
      <c r="E934" s="7">
        <v>45441</v>
      </c>
      <c r="F934" s="2" t="str">
        <f>VLOOKUP(Table1[[#This Row],[Customer_ID]],Customer_Dim!$A$2:$H$501,2,FALSE)</f>
        <v>Christina Robertson</v>
      </c>
      <c r="G934" s="2" t="str">
        <f>_xlfn.XLOOKUP(Table1[[#This Row],[Customer_ID]],Customer_Dim!$A$2:$A$501,Customer_Dim!$E$2:$E$501)</f>
        <v>Hubbardborough</v>
      </c>
      <c r="H934" t="s">
        <v>1395</v>
      </c>
      <c r="I934" t="str">
        <f>VLOOKUP(Table1[[#This Row],[Product_ID]],Product_Dim!$A$2:$G$101,2,FALSE)</f>
        <v>Women's Scarf Set-Clothing</v>
      </c>
      <c r="J934" t="s">
        <v>1573</v>
      </c>
      <c r="K934" t="str">
        <f>VLOOKUP(Table1[[#This Row],[Store_ID]],Store_Dim!$A$3:$D$22,2,FALSE)</f>
        <v>Shelton PLC-North</v>
      </c>
      <c r="L934" t="s">
        <v>1755</v>
      </c>
      <c r="M934" t="s">
        <v>3958</v>
      </c>
      <c r="N934" s="3">
        <v>504.97</v>
      </c>
      <c r="O934" s="4">
        <v>0.3</v>
      </c>
      <c r="P934" t="s">
        <v>1772</v>
      </c>
      <c r="Q934" s="4">
        <v>1060.4369999999999</v>
      </c>
    </row>
    <row r="935" spans="1:17" x14ac:dyDescent="0.3">
      <c r="A935" t="s">
        <v>2707</v>
      </c>
      <c r="B935" t="str">
        <f t="shared" si="14"/>
        <v>Q2</v>
      </c>
      <c r="C935" t="str">
        <f>TEXT(Table1[[#This Row],[Order_Date]],"mmmm")</f>
        <v>April</v>
      </c>
      <c r="D935">
        <f>YEAR(Table1[[#This Row],[Order_Date]])</f>
        <v>2024</v>
      </c>
      <c r="E935" s="7">
        <v>45396</v>
      </c>
      <c r="F935" s="2" t="str">
        <f>VLOOKUP(Table1[[#This Row],[Customer_ID]],Customer_Dim!$A$2:$H$501,2,FALSE)</f>
        <v>Dr. David Smith</v>
      </c>
      <c r="G935" s="2" t="str">
        <f>_xlfn.XLOOKUP(Table1[[#This Row],[Customer_ID]],Customer_Dim!$A$2:$A$501,Customer_Dim!$E$2:$E$501)</f>
        <v>Schmidtchester</v>
      </c>
      <c r="H935" t="s">
        <v>221</v>
      </c>
      <c r="I935" t="str">
        <f>VLOOKUP(Table1[[#This Row],[Product_ID]],Product_Dim!$A$2:$G$101,2,FALSE)</f>
        <v>Sports Water Hydration Pack-Sports</v>
      </c>
      <c r="J935" t="s">
        <v>1599</v>
      </c>
      <c r="K935" t="str">
        <f>VLOOKUP(Table1[[#This Row],[Store_ID]],Store_Dim!$A$3:$D$22,2,FALSE)</f>
        <v>Aguirre-Keller-South</v>
      </c>
      <c r="L935" t="s">
        <v>1750</v>
      </c>
      <c r="M935" t="s">
        <v>3958</v>
      </c>
      <c r="N935" s="3">
        <v>649.78</v>
      </c>
      <c r="O935" s="4">
        <v>0.1</v>
      </c>
      <c r="P935" t="s">
        <v>1774</v>
      </c>
      <c r="Q935" s="4">
        <v>1754.4059999999999</v>
      </c>
    </row>
    <row r="936" spans="1:17" x14ac:dyDescent="0.3">
      <c r="A936" t="s">
        <v>2708</v>
      </c>
      <c r="B936" t="str">
        <f t="shared" si="14"/>
        <v>Q1</v>
      </c>
      <c r="C936" t="str">
        <f>TEXT(Table1[[#This Row],[Order_Date]],"mmmm")</f>
        <v>January</v>
      </c>
      <c r="D936">
        <f>YEAR(Table1[[#This Row],[Order_Date]])</f>
        <v>2024</v>
      </c>
      <c r="E936" s="7">
        <v>45317</v>
      </c>
      <c r="F936" s="2" t="str">
        <f>VLOOKUP(Table1[[#This Row],[Customer_ID]],Customer_Dim!$A$2:$H$501,2,FALSE)</f>
        <v>Laura Soto</v>
      </c>
      <c r="G936" s="2" t="str">
        <f>_xlfn.XLOOKUP(Table1[[#This Row],[Customer_ID]],Customer_Dim!$A$2:$A$501,Customer_Dim!$E$2:$E$501)</f>
        <v>Rodriguezton</v>
      </c>
      <c r="H936" t="s">
        <v>779</v>
      </c>
      <c r="I936" t="str">
        <f>VLOOKUP(Table1[[#This Row],[Product_ID]],Product_Dim!$A$2:$G$101,2,FALSE)</f>
        <v>Portable Power Bank-Electronics</v>
      </c>
      <c r="J936" t="s">
        <v>1601</v>
      </c>
      <c r="K936" t="str">
        <f>VLOOKUP(Table1[[#This Row],[Store_ID]],Store_Dim!$A$3:$D$22,2,FALSE)</f>
        <v>Moore, Padilla and Butler-South</v>
      </c>
      <c r="L936" t="s">
        <v>1746</v>
      </c>
      <c r="M936" t="s">
        <v>3960</v>
      </c>
      <c r="N936" s="3">
        <v>986.73</v>
      </c>
      <c r="O936" s="4">
        <v>0.05</v>
      </c>
      <c r="P936" t="s">
        <v>1774</v>
      </c>
      <c r="Q936" s="4">
        <v>1874.787</v>
      </c>
    </row>
    <row r="937" spans="1:17" x14ac:dyDescent="0.3">
      <c r="A937" t="s">
        <v>2709</v>
      </c>
      <c r="B937" t="str">
        <f t="shared" si="14"/>
        <v>Q4</v>
      </c>
      <c r="C937" t="str">
        <f>TEXT(Table1[[#This Row],[Order_Date]],"mmmm")</f>
        <v>November</v>
      </c>
      <c r="D937">
        <f>YEAR(Table1[[#This Row],[Order_Date]])</f>
        <v>2023</v>
      </c>
      <c r="E937" s="7">
        <v>45235</v>
      </c>
      <c r="F937" s="2" t="str">
        <f>VLOOKUP(Table1[[#This Row],[Customer_ID]],Customer_Dim!$A$2:$H$501,2,FALSE)</f>
        <v>Michael Jones</v>
      </c>
      <c r="G937" s="2" t="str">
        <f>_xlfn.XLOOKUP(Table1[[#This Row],[Customer_ID]],Customer_Dim!$A$2:$A$501,Customer_Dim!$E$2:$E$501)</f>
        <v>North Edwardton</v>
      </c>
      <c r="H937" t="s">
        <v>409</v>
      </c>
      <c r="I937" t="str">
        <f>VLOOKUP(Table1[[#This Row],[Product_ID]],Product_Dim!$A$2:$G$101,2,FALSE)</f>
        <v>USB-C Fast Charger-Electronics</v>
      </c>
      <c r="J937" t="s">
        <v>1549</v>
      </c>
      <c r="K937" t="str">
        <f>VLOOKUP(Table1[[#This Row],[Store_ID]],Store_Dim!$A$3:$D$22,2,FALSE)</f>
        <v>Shelton PLC-North</v>
      </c>
      <c r="L937" t="s">
        <v>1755</v>
      </c>
      <c r="M937" t="s">
        <v>3960</v>
      </c>
      <c r="N937" s="3">
        <v>65.44</v>
      </c>
      <c r="O937" s="4">
        <v>0.05</v>
      </c>
      <c r="P937" t="s">
        <v>1774</v>
      </c>
      <c r="Q937" s="4">
        <v>124.336</v>
      </c>
    </row>
    <row r="938" spans="1:17" x14ac:dyDescent="0.3">
      <c r="A938" t="s">
        <v>2710</v>
      </c>
      <c r="B938" t="str">
        <f t="shared" si="14"/>
        <v>Q2</v>
      </c>
      <c r="C938" t="str">
        <f>TEXT(Table1[[#This Row],[Order_Date]],"mmmm")</f>
        <v>June</v>
      </c>
      <c r="D938">
        <f>YEAR(Table1[[#This Row],[Order_Date]])</f>
        <v>2025</v>
      </c>
      <c r="E938" s="7">
        <v>45824</v>
      </c>
      <c r="F938" s="2" t="str">
        <f>VLOOKUP(Table1[[#This Row],[Customer_ID]],Customer_Dim!$A$2:$H$501,2,FALSE)</f>
        <v>Kristine Higgins</v>
      </c>
      <c r="G938" s="2" t="str">
        <f>_xlfn.XLOOKUP(Table1[[#This Row],[Customer_ID]],Customer_Dim!$A$2:$A$501,Customer_Dim!$E$2:$E$501)</f>
        <v>Jennifertown</v>
      </c>
      <c r="H938" t="s">
        <v>1183</v>
      </c>
      <c r="I938" t="str">
        <f>VLOOKUP(Table1[[#This Row],[Product_ID]],Product_Dim!$A$2:$G$101,2,FALSE)</f>
        <v>Organic Sunscreen Lotion-Beauty</v>
      </c>
      <c r="J938" t="s">
        <v>1649</v>
      </c>
      <c r="K938" t="str">
        <f>VLOOKUP(Table1[[#This Row],[Store_ID]],Store_Dim!$A$3:$D$22,2,FALSE)</f>
        <v>Gardner, Humphrey and Contreras-East</v>
      </c>
      <c r="L938" t="s">
        <v>1753</v>
      </c>
      <c r="M938" t="s">
        <v>3958</v>
      </c>
      <c r="N938" s="3">
        <v>953.74</v>
      </c>
      <c r="O938" s="4">
        <v>0.04</v>
      </c>
      <c r="P938" t="s">
        <v>1772</v>
      </c>
      <c r="Q938" s="4">
        <v>2746.7712000000001</v>
      </c>
    </row>
    <row r="939" spans="1:17" x14ac:dyDescent="0.3">
      <c r="A939" t="s">
        <v>2711</v>
      </c>
      <c r="B939" t="str">
        <f t="shared" si="14"/>
        <v>Q3</v>
      </c>
      <c r="C939" t="str">
        <f>TEXT(Table1[[#This Row],[Order_Date]],"mmmm")</f>
        <v>September</v>
      </c>
      <c r="D939">
        <f>YEAR(Table1[[#This Row],[Order_Date]])</f>
        <v>2024</v>
      </c>
      <c r="E939" s="7">
        <v>45543</v>
      </c>
      <c r="F939" s="2" t="str">
        <f>VLOOKUP(Table1[[#This Row],[Customer_ID]],Customer_Dim!$A$2:$H$501,2,FALSE)</f>
        <v>Amber Mcclain</v>
      </c>
      <c r="G939" s="2" t="str">
        <f>_xlfn.XLOOKUP(Table1[[#This Row],[Customer_ID]],Customer_Dim!$A$2:$A$501,Customer_Dim!$E$2:$E$501)</f>
        <v>Brendaburgh</v>
      </c>
      <c r="H939" t="s">
        <v>244</v>
      </c>
      <c r="I939" t="str">
        <f>VLOOKUP(Table1[[#This Row],[Product_ID]],Product_Dim!$A$2:$G$101,2,FALSE)</f>
        <v>Wireless Mouse-Electronics</v>
      </c>
      <c r="J939" t="s">
        <v>1675</v>
      </c>
      <c r="K939" t="str">
        <f>VLOOKUP(Table1[[#This Row],[Store_ID]],Store_Dim!$A$3:$D$22,2,FALSE)</f>
        <v>Hill, Wagner and Ballard-East</v>
      </c>
      <c r="L939" t="s">
        <v>1748</v>
      </c>
      <c r="M939" t="s">
        <v>3958</v>
      </c>
      <c r="N939" s="3">
        <v>904.48</v>
      </c>
      <c r="O939" s="4">
        <v>0.21</v>
      </c>
      <c r="P939" t="s">
        <v>1774</v>
      </c>
      <c r="Q939" s="4">
        <v>2143.6176</v>
      </c>
    </row>
    <row r="940" spans="1:17" x14ac:dyDescent="0.3">
      <c r="A940" t="s">
        <v>2712</v>
      </c>
      <c r="B940" t="str">
        <f t="shared" si="14"/>
        <v>Q4</v>
      </c>
      <c r="C940" t="str">
        <f>TEXT(Table1[[#This Row],[Order_Date]],"mmmm")</f>
        <v>October</v>
      </c>
      <c r="D940">
        <f>YEAR(Table1[[#This Row],[Order_Date]])</f>
        <v>2024</v>
      </c>
      <c r="E940" s="7">
        <v>45595</v>
      </c>
      <c r="F940" s="2" t="str">
        <f>VLOOKUP(Table1[[#This Row],[Customer_ID]],Customer_Dim!$A$2:$H$501,2,FALSE)</f>
        <v>Darrell Miller</v>
      </c>
      <c r="G940" s="2" t="str">
        <f>_xlfn.XLOOKUP(Table1[[#This Row],[Customer_ID]],Customer_Dim!$A$2:$A$501,Customer_Dim!$E$2:$E$501)</f>
        <v>Port Carol</v>
      </c>
      <c r="H940" t="s">
        <v>1496</v>
      </c>
      <c r="I940" t="str">
        <f>VLOOKUP(Table1[[#This Row],[Product_ID]],Product_Dim!$A$2:$G$101,2,FALSE)</f>
        <v>Laptop Cooling Pad-Electronics</v>
      </c>
      <c r="J940" t="s">
        <v>1647</v>
      </c>
      <c r="K940" t="str">
        <f>VLOOKUP(Table1[[#This Row],[Store_ID]],Store_Dim!$A$3:$D$22,2,FALSE)</f>
        <v>Shelton PLC-North</v>
      </c>
      <c r="L940" t="s">
        <v>1755</v>
      </c>
      <c r="M940" t="s">
        <v>3958</v>
      </c>
      <c r="N940" s="3">
        <v>920.82</v>
      </c>
      <c r="O940" s="4">
        <v>0.1</v>
      </c>
      <c r="P940" t="s">
        <v>1774</v>
      </c>
      <c r="Q940" s="4">
        <v>2486.2139999999999</v>
      </c>
    </row>
    <row r="941" spans="1:17" x14ac:dyDescent="0.3">
      <c r="A941" t="s">
        <v>2713</v>
      </c>
      <c r="B941" t="str">
        <f t="shared" si="14"/>
        <v>Q2</v>
      </c>
      <c r="C941" t="str">
        <f>TEXT(Table1[[#This Row],[Order_Date]],"mmmm")</f>
        <v>May</v>
      </c>
      <c r="D941">
        <f>YEAR(Table1[[#This Row],[Order_Date]])</f>
        <v>2025</v>
      </c>
      <c r="E941" s="7">
        <v>45803</v>
      </c>
      <c r="F941" s="2" t="str">
        <f>VLOOKUP(Table1[[#This Row],[Customer_ID]],Customer_Dim!$A$2:$H$501,2,FALSE)</f>
        <v>Roberta Green</v>
      </c>
      <c r="G941" s="2" t="str">
        <f>_xlfn.XLOOKUP(Table1[[#This Row],[Customer_ID]],Customer_Dim!$A$2:$A$501,Customer_Dim!$E$2:$E$501)</f>
        <v>West Joseph</v>
      </c>
      <c r="H941" t="s">
        <v>953</v>
      </c>
      <c r="I941" t="str">
        <f>VLOOKUP(Table1[[#This Row],[Product_ID]],Product_Dim!$A$2:$G$101,2,FALSE)</f>
        <v>Sports Stopwatch Timer-Sports</v>
      </c>
      <c r="J941" t="s">
        <v>1579</v>
      </c>
      <c r="K941" t="str">
        <f>VLOOKUP(Table1[[#This Row],[Store_ID]],Store_Dim!$A$3:$D$22,2,FALSE)</f>
        <v>Martinez, Adkins and Johnson-North</v>
      </c>
      <c r="L941" t="s">
        <v>1728</v>
      </c>
      <c r="M941" t="s">
        <v>3957</v>
      </c>
      <c r="N941" s="3">
        <v>182.28</v>
      </c>
      <c r="O941" s="4">
        <v>0.15</v>
      </c>
      <c r="P941" t="s">
        <v>1777</v>
      </c>
      <c r="Q941" s="4">
        <v>154.93799999999999</v>
      </c>
    </row>
    <row r="942" spans="1:17" x14ac:dyDescent="0.3">
      <c r="A942" t="s">
        <v>2714</v>
      </c>
      <c r="B942" t="str">
        <f t="shared" si="14"/>
        <v>Q3</v>
      </c>
      <c r="C942" t="str">
        <f>TEXT(Table1[[#This Row],[Order_Date]],"mmmm")</f>
        <v>August</v>
      </c>
      <c r="D942">
        <f>YEAR(Table1[[#This Row],[Order_Date]])</f>
        <v>2025</v>
      </c>
      <c r="E942" s="7">
        <v>45880</v>
      </c>
      <c r="F942" s="2" t="str">
        <f>VLOOKUP(Table1[[#This Row],[Customer_ID]],Customer_Dim!$A$2:$H$501,2,FALSE)</f>
        <v>Gene Lee</v>
      </c>
      <c r="G942" s="2" t="str">
        <f>_xlfn.XLOOKUP(Table1[[#This Row],[Customer_ID]],Customer_Dim!$A$2:$A$501,Customer_Dim!$E$2:$E$501)</f>
        <v>Mcfarlandmouth</v>
      </c>
      <c r="H942" t="s">
        <v>1361</v>
      </c>
      <c r="I942" t="str">
        <f>VLOOKUP(Table1[[#This Row],[Product_ID]],Product_Dim!$A$2:$G$101,2,FALSE)</f>
        <v>Basketball-Sports</v>
      </c>
      <c r="J942" t="s">
        <v>1585</v>
      </c>
      <c r="K942" t="str">
        <f>VLOOKUP(Table1[[#This Row],[Store_ID]],Store_Dim!$A$3:$D$22,2,FALSE)</f>
        <v>Frederick-Wright-West</v>
      </c>
      <c r="L942" t="s">
        <v>1757</v>
      </c>
      <c r="M942" t="s">
        <v>3958</v>
      </c>
      <c r="N942" s="3">
        <v>938.68</v>
      </c>
      <c r="O942" s="4">
        <v>0.14000000000000001</v>
      </c>
      <c r="P942" t="s">
        <v>1772</v>
      </c>
      <c r="Q942" s="4">
        <v>2421.7944000000002</v>
      </c>
    </row>
    <row r="943" spans="1:17" x14ac:dyDescent="0.3">
      <c r="A943" t="s">
        <v>2715</v>
      </c>
      <c r="B943" t="str">
        <f t="shared" si="14"/>
        <v>Q1</v>
      </c>
      <c r="C943" t="str">
        <f>TEXT(Table1[[#This Row],[Order_Date]],"mmmm")</f>
        <v>February</v>
      </c>
      <c r="D943">
        <f>YEAR(Table1[[#This Row],[Order_Date]])</f>
        <v>2025</v>
      </c>
      <c r="E943" s="7">
        <v>45690</v>
      </c>
      <c r="F943" s="2" t="str">
        <f>VLOOKUP(Table1[[#This Row],[Customer_ID]],Customer_Dim!$A$2:$H$501,2,FALSE)</f>
        <v>Krystal Ford</v>
      </c>
      <c r="G943" s="2" t="str">
        <f>_xlfn.XLOOKUP(Table1[[#This Row],[Customer_ID]],Customer_Dim!$A$2:$A$501,Customer_Dim!$E$2:$E$501)</f>
        <v>South David</v>
      </c>
      <c r="H943" t="s">
        <v>292</v>
      </c>
      <c r="I943" t="str">
        <f>VLOOKUP(Table1[[#This Row],[Product_ID]],Product_Dim!$A$2:$G$101,2,FALSE)</f>
        <v>Women's High Heels-Clothing</v>
      </c>
      <c r="J943" t="s">
        <v>1705</v>
      </c>
      <c r="K943" t="str">
        <f>VLOOKUP(Table1[[#This Row],[Store_ID]],Store_Dim!$A$3:$D$22,2,FALSE)</f>
        <v>Gray Ltd-North</v>
      </c>
      <c r="L943" t="s">
        <v>1738</v>
      </c>
      <c r="M943" t="s">
        <v>3958</v>
      </c>
      <c r="N943" s="3">
        <v>219.96</v>
      </c>
      <c r="O943" s="4">
        <v>0.18</v>
      </c>
      <c r="P943" t="s">
        <v>1774</v>
      </c>
      <c r="Q943" s="4">
        <v>541.10160000000008</v>
      </c>
    </row>
    <row r="944" spans="1:17" x14ac:dyDescent="0.3">
      <c r="A944" t="s">
        <v>2716</v>
      </c>
      <c r="B944" t="str">
        <f t="shared" si="14"/>
        <v>Q3</v>
      </c>
      <c r="C944" t="str">
        <f>TEXT(Table1[[#This Row],[Order_Date]],"mmmm")</f>
        <v>July</v>
      </c>
      <c r="D944">
        <f>YEAR(Table1[[#This Row],[Order_Date]])</f>
        <v>2025</v>
      </c>
      <c r="E944" s="7">
        <v>45841</v>
      </c>
      <c r="F944" s="2" t="str">
        <f>VLOOKUP(Table1[[#This Row],[Customer_ID]],Customer_Dim!$A$2:$H$501,2,FALSE)</f>
        <v>Laura Mathews</v>
      </c>
      <c r="G944" s="2" t="str">
        <f>_xlfn.XLOOKUP(Table1[[#This Row],[Customer_ID]],Customer_Dim!$A$2:$A$501,Customer_Dim!$E$2:$E$501)</f>
        <v>Chambersfurt</v>
      </c>
      <c r="H944" t="s">
        <v>1442</v>
      </c>
      <c r="I944" t="str">
        <f>VLOOKUP(Table1[[#This Row],[Product_ID]],Product_Dim!$A$2:$G$101,2,FALSE)</f>
        <v>Hair Repair Oil Treatment-Beauty</v>
      </c>
      <c r="J944" t="s">
        <v>1665</v>
      </c>
      <c r="K944" t="str">
        <f>VLOOKUP(Table1[[#This Row],[Store_ID]],Store_Dim!$A$3:$D$22,2,FALSE)</f>
        <v>Guerrero-Schmitt-East</v>
      </c>
      <c r="L944" t="s">
        <v>1761</v>
      </c>
      <c r="M944" t="s">
        <v>3958</v>
      </c>
      <c r="N944" s="3">
        <v>385.74</v>
      </c>
      <c r="O944" s="4">
        <v>0.27</v>
      </c>
      <c r="P944" t="s">
        <v>1772</v>
      </c>
      <c r="Q944" s="4">
        <v>844.77059999999994</v>
      </c>
    </row>
    <row r="945" spans="1:17" x14ac:dyDescent="0.3">
      <c r="A945" t="s">
        <v>2717</v>
      </c>
      <c r="B945" t="str">
        <f t="shared" si="14"/>
        <v>Q1</v>
      </c>
      <c r="C945" t="str">
        <f>TEXT(Table1[[#This Row],[Order_Date]],"mmmm")</f>
        <v>March</v>
      </c>
      <c r="D945">
        <f>YEAR(Table1[[#This Row],[Order_Date]])</f>
        <v>2024</v>
      </c>
      <c r="E945" s="7">
        <v>45380</v>
      </c>
      <c r="F945" s="2" t="str">
        <f>VLOOKUP(Table1[[#This Row],[Customer_ID]],Customer_Dim!$A$2:$H$501,2,FALSE)</f>
        <v>April Phillips</v>
      </c>
      <c r="G945" s="2" t="str">
        <f>_xlfn.XLOOKUP(Table1[[#This Row],[Customer_ID]],Customer_Dim!$A$2:$A$501,Customer_Dim!$E$2:$E$501)</f>
        <v>Lake Carolyn</v>
      </c>
      <c r="H945" t="s">
        <v>1384</v>
      </c>
      <c r="I945" t="str">
        <f>VLOOKUP(Table1[[#This Row],[Product_ID]],Product_Dim!$A$2:$G$101,2,FALSE)</f>
        <v>Badminton Racket Set-Sports</v>
      </c>
      <c r="J945" t="s">
        <v>1685</v>
      </c>
      <c r="K945" t="str">
        <f>VLOOKUP(Table1[[#This Row],[Store_ID]],Store_Dim!$A$3:$D$22,2,FALSE)</f>
        <v>Guerrero-Schmitt-East</v>
      </c>
      <c r="L945" t="s">
        <v>1761</v>
      </c>
      <c r="M945" t="s">
        <v>3960</v>
      </c>
      <c r="N945" s="3">
        <v>830.94</v>
      </c>
      <c r="O945" s="4">
        <v>0.28000000000000003</v>
      </c>
      <c r="P945" t="s">
        <v>1774</v>
      </c>
      <c r="Q945" s="4">
        <v>1196.5536</v>
      </c>
    </row>
    <row r="946" spans="1:17" x14ac:dyDescent="0.3">
      <c r="A946" t="s">
        <v>2718</v>
      </c>
      <c r="B946" t="str">
        <f t="shared" si="14"/>
        <v>Q3</v>
      </c>
      <c r="C946" t="str">
        <f>TEXT(Table1[[#This Row],[Order_Date]],"mmmm")</f>
        <v>July</v>
      </c>
      <c r="D946">
        <f>YEAR(Table1[[#This Row],[Order_Date]])</f>
        <v>2024</v>
      </c>
      <c r="E946" s="7">
        <v>45503</v>
      </c>
      <c r="F946" s="2" t="str">
        <f>VLOOKUP(Table1[[#This Row],[Customer_ID]],Customer_Dim!$A$2:$H$501,2,FALSE)</f>
        <v>Kristine Higgins</v>
      </c>
      <c r="G946" s="2" t="str">
        <f>_xlfn.XLOOKUP(Table1[[#This Row],[Customer_ID]],Customer_Dim!$A$2:$A$501,Customer_Dim!$E$2:$E$501)</f>
        <v>Jennifertown</v>
      </c>
      <c r="H946" t="s">
        <v>1183</v>
      </c>
      <c r="I946" t="str">
        <f>VLOOKUP(Table1[[#This Row],[Product_ID]],Product_Dim!$A$2:$G$101,2,FALSE)</f>
        <v>Men's Running Jacket-Clothing</v>
      </c>
      <c r="J946" t="s">
        <v>1529</v>
      </c>
      <c r="K946" t="str">
        <f>VLOOKUP(Table1[[#This Row],[Store_ID]],Store_Dim!$A$3:$D$22,2,FALSE)</f>
        <v>Moore, Padilla and Butler-South</v>
      </c>
      <c r="L946" t="s">
        <v>1746</v>
      </c>
      <c r="M946" t="s">
        <v>3958</v>
      </c>
      <c r="N946" s="3">
        <v>462.75</v>
      </c>
      <c r="O946" s="4">
        <v>0.22</v>
      </c>
      <c r="P946" t="s">
        <v>1774</v>
      </c>
      <c r="Q946" s="4">
        <v>1082.835</v>
      </c>
    </row>
    <row r="947" spans="1:17" x14ac:dyDescent="0.3">
      <c r="A947" t="s">
        <v>2719</v>
      </c>
      <c r="B947" t="str">
        <f t="shared" si="14"/>
        <v>Q4</v>
      </c>
      <c r="C947" t="str">
        <f>TEXT(Table1[[#This Row],[Order_Date]],"mmmm")</f>
        <v>October</v>
      </c>
      <c r="D947">
        <f>YEAR(Table1[[#This Row],[Order_Date]])</f>
        <v>2024</v>
      </c>
      <c r="E947" s="7">
        <v>45567</v>
      </c>
      <c r="F947" s="2" t="str">
        <f>VLOOKUP(Table1[[#This Row],[Customer_ID]],Customer_Dim!$A$2:$H$501,2,FALSE)</f>
        <v>Amber Mcclain</v>
      </c>
      <c r="G947" s="2" t="str">
        <f>_xlfn.XLOOKUP(Table1[[#This Row],[Customer_ID]],Customer_Dim!$A$2:$A$501,Customer_Dim!$E$2:$E$501)</f>
        <v>Brendaburgh</v>
      </c>
      <c r="H947" t="s">
        <v>244</v>
      </c>
      <c r="I947" t="str">
        <f>VLOOKUP(Table1[[#This Row],[Product_ID]],Product_Dim!$A$2:$G$101,2,FALSE)</f>
        <v>Decorative Wall Mirror-Home</v>
      </c>
      <c r="J947" t="s">
        <v>1551</v>
      </c>
      <c r="K947" t="str">
        <f>VLOOKUP(Table1[[#This Row],[Store_ID]],Store_Dim!$A$3:$D$22,2,FALSE)</f>
        <v>Shelton PLC-North</v>
      </c>
      <c r="L947" t="s">
        <v>1755</v>
      </c>
      <c r="M947" t="s">
        <v>3959</v>
      </c>
      <c r="N947" s="3">
        <v>973.9</v>
      </c>
      <c r="O947" s="4">
        <v>0.02</v>
      </c>
      <c r="P947" t="s">
        <v>1777</v>
      </c>
      <c r="Q947" s="4">
        <v>3817.6880000000001</v>
      </c>
    </row>
    <row r="948" spans="1:17" x14ac:dyDescent="0.3">
      <c r="A948" t="s">
        <v>2720</v>
      </c>
      <c r="B948" t="str">
        <f t="shared" si="14"/>
        <v>Q4</v>
      </c>
      <c r="C948" t="str">
        <f>TEXT(Table1[[#This Row],[Order_Date]],"mmmm")</f>
        <v>November</v>
      </c>
      <c r="D948">
        <f>YEAR(Table1[[#This Row],[Order_Date]])</f>
        <v>2024</v>
      </c>
      <c r="E948" s="7">
        <v>45600</v>
      </c>
      <c r="F948" s="2" t="str">
        <f>VLOOKUP(Table1[[#This Row],[Customer_ID]],Customer_Dim!$A$2:$H$501,2,FALSE)</f>
        <v>Patty Francis</v>
      </c>
      <c r="G948" s="2" t="str">
        <f>_xlfn.XLOOKUP(Table1[[#This Row],[Customer_ID]],Customer_Dim!$A$2:$A$501,Customer_Dim!$E$2:$E$501)</f>
        <v>South Brooke</v>
      </c>
      <c r="H948" t="s">
        <v>470</v>
      </c>
      <c r="I948" t="str">
        <f>VLOOKUP(Table1[[#This Row],[Product_ID]],Product_Dim!$A$2:$G$101,2,FALSE)</f>
        <v>Bedroom Table Lamp-Home</v>
      </c>
      <c r="J948" t="s">
        <v>1593</v>
      </c>
      <c r="K948" t="str">
        <f>VLOOKUP(Table1[[#This Row],[Store_ID]],Store_Dim!$A$3:$D$22,2,FALSE)</f>
        <v>Martinez, Adkins and Johnson-North</v>
      </c>
      <c r="L948" t="s">
        <v>1728</v>
      </c>
      <c r="M948" t="s">
        <v>3960</v>
      </c>
      <c r="N948" s="3">
        <v>157.18</v>
      </c>
      <c r="O948" s="4">
        <v>0.15</v>
      </c>
      <c r="P948" t="s">
        <v>1772</v>
      </c>
      <c r="Q948" s="4">
        <v>267.20600000000002</v>
      </c>
    </row>
    <row r="949" spans="1:17" x14ac:dyDescent="0.3">
      <c r="A949" t="s">
        <v>2721</v>
      </c>
      <c r="B949" t="str">
        <f t="shared" si="14"/>
        <v>Q2</v>
      </c>
      <c r="C949" t="str">
        <f>TEXT(Table1[[#This Row],[Order_Date]],"mmmm")</f>
        <v>May</v>
      </c>
      <c r="D949">
        <f>YEAR(Table1[[#This Row],[Order_Date]])</f>
        <v>2024</v>
      </c>
      <c r="E949" s="7">
        <v>45415</v>
      </c>
      <c r="F949" s="2" t="str">
        <f>VLOOKUP(Table1[[#This Row],[Customer_ID]],Customer_Dim!$A$2:$H$501,2,FALSE)</f>
        <v>Nathan Hernandez</v>
      </c>
      <c r="G949" s="2" t="str">
        <f>_xlfn.XLOOKUP(Table1[[#This Row],[Customer_ID]],Customer_Dim!$A$2:$A$501,Customer_Dim!$E$2:$E$501)</f>
        <v>New Becky</v>
      </c>
      <c r="H949" t="s">
        <v>63</v>
      </c>
      <c r="I949" t="str">
        <f>VLOOKUP(Table1[[#This Row],[Product_ID]],Product_Dim!$A$2:$G$101,2,FALSE)</f>
        <v>Shin Guards – Adult-Sports</v>
      </c>
      <c r="J949" t="s">
        <v>1669</v>
      </c>
      <c r="K949" t="str">
        <f>VLOOKUP(Table1[[#This Row],[Store_ID]],Store_Dim!$A$3:$D$22,2,FALSE)</f>
        <v>Gardner, Humphrey and Contreras-East</v>
      </c>
      <c r="L949" t="s">
        <v>1753</v>
      </c>
      <c r="M949" t="s">
        <v>3958</v>
      </c>
      <c r="N949" s="3">
        <v>239.57</v>
      </c>
      <c r="O949" s="4">
        <v>0.16</v>
      </c>
      <c r="P949" t="s">
        <v>1772</v>
      </c>
      <c r="Q949" s="4">
        <v>603.71640000000002</v>
      </c>
    </row>
    <row r="950" spans="1:17" x14ac:dyDescent="0.3">
      <c r="A950" t="s">
        <v>2722</v>
      </c>
      <c r="B950" t="str">
        <f t="shared" si="14"/>
        <v>Q1</v>
      </c>
      <c r="C950" t="str">
        <f>TEXT(Table1[[#This Row],[Order_Date]],"mmmm")</f>
        <v>February</v>
      </c>
      <c r="D950">
        <f>YEAR(Table1[[#This Row],[Order_Date]])</f>
        <v>2024</v>
      </c>
      <c r="E950" s="7">
        <v>45343</v>
      </c>
      <c r="F950" s="2" t="str">
        <f>VLOOKUP(Table1[[#This Row],[Customer_ID]],Customer_Dim!$A$2:$H$501,2,FALSE)</f>
        <v>Reginald Willis</v>
      </c>
      <c r="G950" s="2" t="str">
        <f>_xlfn.XLOOKUP(Table1[[#This Row],[Customer_ID]],Customer_Dim!$A$2:$A$501,Customer_Dim!$E$2:$E$501)</f>
        <v>Kellybury</v>
      </c>
      <c r="H950" t="s">
        <v>1018</v>
      </c>
      <c r="I950" t="str">
        <f>VLOOKUP(Table1[[#This Row],[Product_ID]],Product_Dim!$A$2:$G$101,2,FALSE)</f>
        <v>Adjustable Dumbbell Set-Sports</v>
      </c>
      <c r="J950" t="s">
        <v>1541</v>
      </c>
      <c r="K950" t="str">
        <f>VLOOKUP(Table1[[#This Row],[Store_ID]],Store_Dim!$A$3:$D$22,2,FALSE)</f>
        <v>Frederick-Wright-West</v>
      </c>
      <c r="L950" t="s">
        <v>1757</v>
      </c>
      <c r="M950" t="s">
        <v>3959</v>
      </c>
      <c r="N950" s="3">
        <v>583.21</v>
      </c>
      <c r="O950" s="4">
        <v>0.2</v>
      </c>
      <c r="P950" t="s">
        <v>1772</v>
      </c>
      <c r="Q950" s="4">
        <v>1866.2719999999999</v>
      </c>
    </row>
    <row r="951" spans="1:17" x14ac:dyDescent="0.3">
      <c r="A951" t="s">
        <v>2723</v>
      </c>
      <c r="B951" t="str">
        <f t="shared" si="14"/>
        <v>Q2</v>
      </c>
      <c r="C951" t="str">
        <f>TEXT(Table1[[#This Row],[Order_Date]],"mmmm")</f>
        <v>April</v>
      </c>
      <c r="D951">
        <f>YEAR(Table1[[#This Row],[Order_Date]])</f>
        <v>2024</v>
      </c>
      <c r="E951" s="7">
        <v>45399</v>
      </c>
      <c r="F951" s="2" t="str">
        <f>VLOOKUP(Table1[[#This Row],[Customer_ID]],Customer_Dim!$A$2:$H$501,2,FALSE)</f>
        <v>Megan Ryan</v>
      </c>
      <c r="G951" s="2" t="str">
        <f>_xlfn.XLOOKUP(Table1[[#This Row],[Customer_ID]],Customer_Dim!$A$2:$A$501,Customer_Dim!$E$2:$E$501)</f>
        <v>Andrewsfurt</v>
      </c>
      <c r="H951" t="s">
        <v>1269</v>
      </c>
      <c r="I951" t="str">
        <f>VLOOKUP(Table1[[#This Row],[Product_ID]],Product_Dim!$A$2:$G$101,2,FALSE)</f>
        <v>Badminton Racket Set-Sports</v>
      </c>
      <c r="J951" t="s">
        <v>1685</v>
      </c>
      <c r="K951" t="str">
        <f>VLOOKUP(Table1[[#This Row],[Store_ID]],Store_Dim!$A$3:$D$22,2,FALSE)</f>
        <v>Bean, Jones and Park-West</v>
      </c>
      <c r="L951" t="s">
        <v>1744</v>
      </c>
      <c r="M951" t="s">
        <v>3958</v>
      </c>
      <c r="N951" s="3">
        <v>758.75</v>
      </c>
      <c r="O951" s="4">
        <v>0.27</v>
      </c>
      <c r="P951" t="s">
        <v>1774</v>
      </c>
      <c r="Q951" s="4">
        <v>1661.6624999999999</v>
      </c>
    </row>
    <row r="952" spans="1:17" x14ac:dyDescent="0.3">
      <c r="A952" t="s">
        <v>2724</v>
      </c>
      <c r="B952" t="str">
        <f t="shared" si="14"/>
        <v>Q1</v>
      </c>
      <c r="C952" t="str">
        <f>TEXT(Table1[[#This Row],[Order_Date]],"mmmm")</f>
        <v>February</v>
      </c>
      <c r="D952">
        <f>YEAR(Table1[[#This Row],[Order_Date]])</f>
        <v>2025</v>
      </c>
      <c r="E952" s="7">
        <v>45689</v>
      </c>
      <c r="F952" s="2" t="str">
        <f>VLOOKUP(Table1[[#This Row],[Customer_ID]],Customer_Dim!$A$2:$H$501,2,FALSE)</f>
        <v>Stacy Collins</v>
      </c>
      <c r="G952" s="2" t="str">
        <f>_xlfn.XLOOKUP(Table1[[#This Row],[Customer_ID]],Customer_Dim!$A$2:$A$501,Customer_Dim!$E$2:$E$501)</f>
        <v>Randychester</v>
      </c>
      <c r="H952" t="s">
        <v>965</v>
      </c>
      <c r="I952" t="str">
        <f>VLOOKUP(Table1[[#This Row],[Product_ID]],Product_Dim!$A$2:$G$101,2,FALSE)</f>
        <v>Tennis Ball 3-Pack-Sports</v>
      </c>
      <c r="J952" t="s">
        <v>1645</v>
      </c>
      <c r="K952" t="str">
        <f>VLOOKUP(Table1[[#This Row],[Store_ID]],Store_Dim!$A$3:$D$22,2,FALSE)</f>
        <v>Gray Ltd-North</v>
      </c>
      <c r="L952" t="s">
        <v>1738</v>
      </c>
      <c r="M952" t="s">
        <v>3959</v>
      </c>
      <c r="N952" s="3">
        <v>372.42</v>
      </c>
      <c r="O952" s="4">
        <v>0.19</v>
      </c>
      <c r="P952" t="s">
        <v>1772</v>
      </c>
      <c r="Q952" s="4">
        <v>1206.6407999999999</v>
      </c>
    </row>
    <row r="953" spans="1:17" x14ac:dyDescent="0.3">
      <c r="A953" t="s">
        <v>2725</v>
      </c>
      <c r="B953" t="str">
        <f t="shared" si="14"/>
        <v>Q1</v>
      </c>
      <c r="C953" t="str">
        <f>TEXT(Table1[[#This Row],[Order_Date]],"mmmm")</f>
        <v>February</v>
      </c>
      <c r="D953">
        <f>YEAR(Table1[[#This Row],[Order_Date]])</f>
        <v>2025</v>
      </c>
      <c r="E953" s="7">
        <v>45699</v>
      </c>
      <c r="F953" s="2" t="str">
        <f>VLOOKUP(Table1[[#This Row],[Customer_ID]],Customer_Dim!$A$2:$H$501,2,FALSE)</f>
        <v>Julie Hale</v>
      </c>
      <c r="G953" s="2" t="str">
        <f>_xlfn.XLOOKUP(Table1[[#This Row],[Customer_ID]],Customer_Dim!$A$2:$A$501,Customer_Dim!$E$2:$E$501)</f>
        <v>Owensview</v>
      </c>
      <c r="H953" t="s">
        <v>512</v>
      </c>
      <c r="I953" t="str">
        <f>VLOOKUP(Table1[[#This Row],[Product_ID]],Product_Dim!$A$2:$G$101,2,FALSE)</f>
        <v>Organic Sunscreen Lotion-Beauty</v>
      </c>
      <c r="J953" t="s">
        <v>1649</v>
      </c>
      <c r="K953" t="str">
        <f>VLOOKUP(Table1[[#This Row],[Store_ID]],Store_Dim!$A$3:$D$22,2,FALSE)</f>
        <v>Mann-Austin-East</v>
      </c>
      <c r="L953" t="s">
        <v>1763</v>
      </c>
      <c r="M953" t="s">
        <v>3959</v>
      </c>
      <c r="N953" s="3">
        <v>286.27999999999997</v>
      </c>
      <c r="O953" s="4">
        <v>0.28000000000000003</v>
      </c>
      <c r="P953" t="s">
        <v>1774</v>
      </c>
      <c r="Q953" s="4">
        <v>824.48639999999989</v>
      </c>
    </row>
    <row r="954" spans="1:17" x14ac:dyDescent="0.3">
      <c r="A954" t="s">
        <v>2726</v>
      </c>
      <c r="B954" t="str">
        <f t="shared" si="14"/>
        <v>Q1</v>
      </c>
      <c r="C954" t="str">
        <f>TEXT(Table1[[#This Row],[Order_Date]],"mmmm")</f>
        <v>January</v>
      </c>
      <c r="D954">
        <f>YEAR(Table1[[#This Row],[Order_Date]])</f>
        <v>2025</v>
      </c>
      <c r="E954" s="7">
        <v>45663</v>
      </c>
      <c r="F954" s="2" t="str">
        <f>VLOOKUP(Table1[[#This Row],[Customer_ID]],Customer_Dim!$A$2:$H$501,2,FALSE)</f>
        <v>Aaron Luna</v>
      </c>
      <c r="G954" s="2" t="str">
        <f>_xlfn.XLOOKUP(Table1[[#This Row],[Customer_ID]],Customer_Dim!$A$2:$A$501,Customer_Dim!$E$2:$E$501)</f>
        <v>Gilltown</v>
      </c>
      <c r="H954" t="s">
        <v>879</v>
      </c>
      <c r="I954" t="str">
        <f>VLOOKUP(Table1[[#This Row],[Product_ID]],Product_Dim!$A$2:$G$101,2,FALSE)</f>
        <v>Shin Guards – Adult-Sports</v>
      </c>
      <c r="J954" t="s">
        <v>1669</v>
      </c>
      <c r="K954" t="str">
        <f>VLOOKUP(Table1[[#This Row],[Store_ID]],Store_Dim!$A$3:$D$22,2,FALSE)</f>
        <v>Aguirre-Keller-South</v>
      </c>
      <c r="L954" t="s">
        <v>1750</v>
      </c>
      <c r="M954" t="s">
        <v>3958</v>
      </c>
      <c r="N954" s="3">
        <v>488.37</v>
      </c>
      <c r="O954" s="4">
        <v>0.27</v>
      </c>
      <c r="P954" t="s">
        <v>1777</v>
      </c>
      <c r="Q954" s="4">
        <v>1069.5302999999999</v>
      </c>
    </row>
    <row r="955" spans="1:17" x14ac:dyDescent="0.3">
      <c r="A955" t="s">
        <v>2727</v>
      </c>
      <c r="B955" t="str">
        <f t="shared" si="14"/>
        <v>Q1</v>
      </c>
      <c r="C955" t="str">
        <f>TEXT(Table1[[#This Row],[Order_Date]],"mmmm")</f>
        <v>March</v>
      </c>
      <c r="D955">
        <f>YEAR(Table1[[#This Row],[Order_Date]])</f>
        <v>2024</v>
      </c>
      <c r="E955" s="7">
        <v>45377</v>
      </c>
      <c r="F955" s="2" t="str">
        <f>VLOOKUP(Table1[[#This Row],[Customer_ID]],Customer_Dim!$A$2:$H$501,2,FALSE)</f>
        <v>James Foster</v>
      </c>
      <c r="G955" s="2" t="str">
        <f>_xlfn.XLOOKUP(Table1[[#This Row],[Customer_ID]],Customer_Dim!$A$2:$A$501,Customer_Dim!$E$2:$E$501)</f>
        <v>East Audrey</v>
      </c>
      <c r="H955" t="s">
        <v>1430</v>
      </c>
      <c r="I955" t="str">
        <f>VLOOKUP(Table1[[#This Row],[Product_ID]],Product_Dim!$A$2:$G$101,2,FALSE)</f>
        <v>LED Bedside Lamp-Home</v>
      </c>
      <c r="J955" t="s">
        <v>1697</v>
      </c>
      <c r="K955" t="str">
        <f>VLOOKUP(Table1[[#This Row],[Store_ID]],Store_Dim!$A$3:$D$22,2,FALSE)</f>
        <v>Bean, Jones and Park-West</v>
      </c>
      <c r="L955" t="s">
        <v>1744</v>
      </c>
      <c r="M955" t="s">
        <v>3958</v>
      </c>
      <c r="N955" s="3">
        <v>662.82</v>
      </c>
      <c r="O955" s="4">
        <v>0.01</v>
      </c>
      <c r="P955" t="s">
        <v>1777</v>
      </c>
      <c r="Q955" s="4">
        <v>1968.5753999999999</v>
      </c>
    </row>
    <row r="956" spans="1:17" x14ac:dyDescent="0.3">
      <c r="A956" t="s">
        <v>2728</v>
      </c>
      <c r="B956" t="str">
        <f t="shared" si="14"/>
        <v>Q2</v>
      </c>
      <c r="C956" t="str">
        <f>TEXT(Table1[[#This Row],[Order_Date]],"mmmm")</f>
        <v>April</v>
      </c>
      <c r="D956">
        <f>YEAR(Table1[[#This Row],[Order_Date]])</f>
        <v>2024</v>
      </c>
      <c r="E956" s="7">
        <v>45412</v>
      </c>
      <c r="F956" s="2" t="str">
        <f>VLOOKUP(Table1[[#This Row],[Customer_ID]],Customer_Dim!$A$2:$H$501,2,FALSE)</f>
        <v>Sarah Marsh</v>
      </c>
      <c r="G956" s="2" t="str">
        <f>_xlfn.XLOOKUP(Table1[[#This Row],[Customer_ID]],Customer_Dim!$A$2:$A$501,Customer_Dim!$E$2:$E$501)</f>
        <v>Port William</v>
      </c>
      <c r="H956" t="s">
        <v>1510</v>
      </c>
      <c r="I956" t="str">
        <f>VLOOKUP(Table1[[#This Row],[Product_ID]],Product_Dim!$A$2:$G$101,2,FALSE)</f>
        <v>Herbal Face Moisturizer-Beauty</v>
      </c>
      <c r="J956" t="s">
        <v>1535</v>
      </c>
      <c r="K956" t="str">
        <f>VLOOKUP(Table1[[#This Row],[Store_ID]],Store_Dim!$A$3:$D$22,2,FALSE)</f>
        <v>Frederick-Wright-West</v>
      </c>
      <c r="L956" t="s">
        <v>1757</v>
      </c>
      <c r="M956" t="s">
        <v>3960</v>
      </c>
      <c r="N956" s="3">
        <v>824.34</v>
      </c>
      <c r="O956" s="4">
        <v>0.1</v>
      </c>
      <c r="P956" t="s">
        <v>1777</v>
      </c>
      <c r="Q956" s="4">
        <v>1483.8119999999999</v>
      </c>
    </row>
    <row r="957" spans="1:17" x14ac:dyDescent="0.3">
      <c r="A957" t="s">
        <v>2729</v>
      </c>
      <c r="B957" t="str">
        <f t="shared" si="14"/>
        <v>Q1</v>
      </c>
      <c r="C957" t="str">
        <f>TEXT(Table1[[#This Row],[Order_Date]],"mmmm")</f>
        <v>February</v>
      </c>
      <c r="D957">
        <f>YEAR(Table1[[#This Row],[Order_Date]])</f>
        <v>2024</v>
      </c>
      <c r="E957" s="7">
        <v>45349</v>
      </c>
      <c r="F957" s="2" t="str">
        <f>VLOOKUP(Table1[[#This Row],[Customer_ID]],Customer_Dim!$A$2:$H$501,2,FALSE)</f>
        <v>Edward Hall</v>
      </c>
      <c r="G957" s="2" t="str">
        <f>_xlfn.XLOOKUP(Table1[[#This Row],[Customer_ID]],Customer_Dim!$A$2:$A$501,Customer_Dim!$E$2:$E$501)</f>
        <v>New William</v>
      </c>
      <c r="H957" t="s">
        <v>391</v>
      </c>
      <c r="I957" t="str">
        <f>VLOOKUP(Table1[[#This Row],[Product_ID]],Product_Dim!$A$2:$G$101,2,FALSE)</f>
        <v>Men's Hair Styling Gel-Beauty</v>
      </c>
      <c r="J957" t="s">
        <v>1641</v>
      </c>
      <c r="K957" t="str">
        <f>VLOOKUP(Table1[[#This Row],[Store_ID]],Store_Dim!$A$3:$D$22,2,FALSE)</f>
        <v>Bean, Jones and Park-West</v>
      </c>
      <c r="L957" t="s">
        <v>1744</v>
      </c>
      <c r="M957" t="s">
        <v>3957</v>
      </c>
      <c r="N957" s="3">
        <v>437.12</v>
      </c>
      <c r="O957" s="4">
        <v>0.21</v>
      </c>
      <c r="P957" t="s">
        <v>1772</v>
      </c>
      <c r="Q957" s="4">
        <v>345.32479999999998</v>
      </c>
    </row>
    <row r="958" spans="1:17" x14ac:dyDescent="0.3">
      <c r="A958" t="s">
        <v>2730</v>
      </c>
      <c r="B958" t="str">
        <f t="shared" si="14"/>
        <v>Q3</v>
      </c>
      <c r="C958" t="str">
        <f>TEXT(Table1[[#This Row],[Order_Date]],"mmmm")</f>
        <v>July</v>
      </c>
      <c r="D958">
        <f>YEAR(Table1[[#This Row],[Order_Date]])</f>
        <v>2024</v>
      </c>
      <c r="E958" s="7">
        <v>45486</v>
      </c>
      <c r="F958" s="2" t="str">
        <f>VLOOKUP(Table1[[#This Row],[Customer_ID]],Customer_Dim!$A$2:$H$501,2,FALSE)</f>
        <v>Manuel Castillo</v>
      </c>
      <c r="G958" s="2" t="str">
        <f>_xlfn.XLOOKUP(Table1[[#This Row],[Customer_ID]],Customer_Dim!$A$2:$A$501,Customer_Dim!$E$2:$E$501)</f>
        <v>Nealview</v>
      </c>
      <c r="H958" t="s">
        <v>1106</v>
      </c>
      <c r="I958" t="str">
        <f>VLOOKUP(Table1[[#This Row],[Product_ID]],Product_Dim!$A$2:$G$101,2,FALSE)</f>
        <v>Sports Wrist Sweatbands-Sports</v>
      </c>
      <c r="J958" t="s">
        <v>1699</v>
      </c>
      <c r="K958" t="str">
        <f>VLOOKUP(Table1[[#This Row],[Store_ID]],Store_Dim!$A$3:$D$22,2,FALSE)</f>
        <v>Benson-Elliott-East</v>
      </c>
      <c r="L958" t="s">
        <v>1740</v>
      </c>
      <c r="M958" t="s">
        <v>3958</v>
      </c>
      <c r="N958" s="3">
        <v>23.37</v>
      </c>
      <c r="O958" s="4">
        <v>0.15</v>
      </c>
      <c r="P958" t="s">
        <v>1774</v>
      </c>
      <c r="Q958" s="4">
        <v>59.593499999999999</v>
      </c>
    </row>
    <row r="959" spans="1:17" x14ac:dyDescent="0.3">
      <c r="A959" t="s">
        <v>2731</v>
      </c>
      <c r="B959" t="str">
        <f t="shared" si="14"/>
        <v>Q2</v>
      </c>
      <c r="C959" t="str">
        <f>TEXT(Table1[[#This Row],[Order_Date]],"mmmm")</f>
        <v>April</v>
      </c>
      <c r="D959">
        <f>YEAR(Table1[[#This Row],[Order_Date]])</f>
        <v>2025</v>
      </c>
      <c r="E959" s="7">
        <v>45761</v>
      </c>
      <c r="F959" s="2" t="str">
        <f>VLOOKUP(Table1[[#This Row],[Customer_ID]],Customer_Dim!$A$2:$H$501,2,FALSE)</f>
        <v>Dr. Suzanne Bullock</v>
      </c>
      <c r="G959" s="2" t="str">
        <f>_xlfn.XLOOKUP(Table1[[#This Row],[Customer_ID]],Customer_Dim!$A$2:$A$501,Customer_Dim!$E$2:$E$501)</f>
        <v>Lake Blaketon</v>
      </c>
      <c r="H959" t="s">
        <v>610</v>
      </c>
      <c r="I959" t="str">
        <f>VLOOKUP(Table1[[#This Row],[Product_ID]],Product_Dim!$A$2:$G$101,2,FALSE)</f>
        <v>Women's Summer Dress-Clothing</v>
      </c>
      <c r="J959" t="s">
        <v>1595</v>
      </c>
      <c r="K959" t="str">
        <f>VLOOKUP(Table1[[#This Row],[Store_ID]],Store_Dim!$A$3:$D$22,2,FALSE)</f>
        <v>Bean, Jones and Park-West</v>
      </c>
      <c r="L959" t="s">
        <v>1744</v>
      </c>
      <c r="M959" t="s">
        <v>3957</v>
      </c>
      <c r="N959" s="3">
        <v>579.69000000000005</v>
      </c>
      <c r="O959" s="4">
        <v>0.02</v>
      </c>
      <c r="P959" t="s">
        <v>1772</v>
      </c>
      <c r="Q959" s="4">
        <v>568.09620000000007</v>
      </c>
    </row>
    <row r="960" spans="1:17" x14ac:dyDescent="0.3">
      <c r="A960" t="s">
        <v>2732</v>
      </c>
      <c r="B960" t="str">
        <f t="shared" si="14"/>
        <v>Q4</v>
      </c>
      <c r="C960" t="str">
        <f>TEXT(Table1[[#This Row],[Order_Date]],"mmmm")</f>
        <v>December</v>
      </c>
      <c r="D960">
        <f>YEAR(Table1[[#This Row],[Order_Date]])</f>
        <v>2024</v>
      </c>
      <c r="E960" s="7">
        <v>45639</v>
      </c>
      <c r="F960" s="2" t="str">
        <f>VLOOKUP(Table1[[#This Row],[Customer_ID]],Customer_Dim!$A$2:$H$501,2,FALSE)</f>
        <v>Kimberly Roberts</v>
      </c>
      <c r="G960" s="2" t="str">
        <f>_xlfn.XLOOKUP(Table1[[#This Row],[Customer_ID]],Customer_Dim!$A$2:$A$501,Customer_Dim!$E$2:$E$501)</f>
        <v>Josephchester</v>
      </c>
      <c r="H960" t="s">
        <v>1318</v>
      </c>
      <c r="I960" t="str">
        <f>VLOOKUP(Table1[[#This Row],[Product_ID]],Product_Dim!$A$2:$G$101,2,FALSE)</f>
        <v>Essential Oil Diffuser-Home</v>
      </c>
      <c r="J960" t="s">
        <v>1679</v>
      </c>
      <c r="K960" t="str">
        <f>VLOOKUP(Table1[[#This Row],[Store_ID]],Store_Dim!$A$3:$D$22,2,FALSE)</f>
        <v>Mcdonald Inc-South</v>
      </c>
      <c r="L960" t="s">
        <v>1754</v>
      </c>
      <c r="M960" t="s">
        <v>3958</v>
      </c>
      <c r="N960" s="3">
        <v>240.51</v>
      </c>
      <c r="O960" s="4">
        <v>7.0000000000000007E-2</v>
      </c>
      <c r="P960" t="s">
        <v>1772</v>
      </c>
      <c r="Q960" s="4">
        <v>671.02289999999994</v>
      </c>
    </row>
    <row r="961" spans="1:17" x14ac:dyDescent="0.3">
      <c r="A961" t="s">
        <v>2733</v>
      </c>
      <c r="B961" t="str">
        <f t="shared" si="14"/>
        <v>Q3</v>
      </c>
      <c r="C961" t="str">
        <f>TEXT(Table1[[#This Row],[Order_Date]],"mmmm")</f>
        <v>August</v>
      </c>
      <c r="D961">
        <f>YEAR(Table1[[#This Row],[Order_Date]])</f>
        <v>2025</v>
      </c>
      <c r="E961" s="7">
        <v>45893</v>
      </c>
      <c r="F961" s="2" t="str">
        <f>VLOOKUP(Table1[[#This Row],[Customer_ID]],Customer_Dim!$A$2:$H$501,2,FALSE)</f>
        <v>Martha Brown</v>
      </c>
      <c r="G961" s="2" t="str">
        <f>_xlfn.XLOOKUP(Table1[[#This Row],[Customer_ID]],Customer_Dim!$A$2:$A$501,Customer_Dim!$E$2:$E$501)</f>
        <v>Novakstad</v>
      </c>
      <c r="H961" t="s">
        <v>1180</v>
      </c>
      <c r="I961" t="str">
        <f>VLOOKUP(Table1[[#This Row],[Product_ID]],Product_Dim!$A$2:$G$101,2,FALSE)</f>
        <v>Women's Scarf Set-Clothing</v>
      </c>
      <c r="J961" t="s">
        <v>1573</v>
      </c>
      <c r="K961" t="str">
        <f>VLOOKUP(Table1[[#This Row],[Store_ID]],Store_Dim!$A$3:$D$22,2,FALSE)</f>
        <v>Mcdonald Inc-South</v>
      </c>
      <c r="L961" t="s">
        <v>1754</v>
      </c>
      <c r="M961" t="s">
        <v>3960</v>
      </c>
      <c r="N961" s="3">
        <v>855.4</v>
      </c>
      <c r="O961" s="4">
        <v>0.08</v>
      </c>
      <c r="P961" t="s">
        <v>1777</v>
      </c>
      <c r="Q961" s="4">
        <v>1573.9359999999999</v>
      </c>
    </row>
    <row r="962" spans="1:17" x14ac:dyDescent="0.3">
      <c r="A962" t="s">
        <v>2734</v>
      </c>
      <c r="B962" t="str">
        <f t="shared" ref="B962:B1025" si="15">"Q" &amp;ROUNDUP(MONTH(E962)/3,0)</f>
        <v>Q4</v>
      </c>
      <c r="C962" t="str">
        <f>TEXT(Table1[[#This Row],[Order_Date]],"mmmm")</f>
        <v>October</v>
      </c>
      <c r="D962">
        <f>YEAR(Table1[[#This Row],[Order_Date]])</f>
        <v>2023</v>
      </c>
      <c r="E962" s="7">
        <v>45227</v>
      </c>
      <c r="F962" s="2" t="str">
        <f>VLOOKUP(Table1[[#This Row],[Customer_ID]],Customer_Dim!$A$2:$H$501,2,FALSE)</f>
        <v>Daniel Boyd</v>
      </c>
      <c r="G962" s="2" t="str">
        <f>_xlfn.XLOOKUP(Table1[[#This Row],[Customer_ID]],Customer_Dim!$A$2:$A$501,Customer_Dim!$E$2:$E$501)</f>
        <v>West Pamelafurt</v>
      </c>
      <c r="H962" t="s">
        <v>40</v>
      </c>
      <c r="I962" t="str">
        <f>VLOOKUP(Table1[[#This Row],[Product_ID]],Product_Dim!$A$2:$G$101,2,FALSE)</f>
        <v>Gaming Mouse Pad XL-Electronics</v>
      </c>
      <c r="J962" t="s">
        <v>1703</v>
      </c>
      <c r="K962" t="str">
        <f>VLOOKUP(Table1[[#This Row],[Store_ID]],Store_Dim!$A$3:$D$22,2,FALSE)</f>
        <v>Martinez-Mullins-South</v>
      </c>
      <c r="L962" t="s">
        <v>1742</v>
      </c>
      <c r="M962" t="s">
        <v>3957</v>
      </c>
      <c r="N962" s="3">
        <v>537.26</v>
      </c>
      <c r="O962" s="4">
        <v>0.09</v>
      </c>
      <c r="P962" t="s">
        <v>1772</v>
      </c>
      <c r="Q962" s="4">
        <v>488.90660000000003</v>
      </c>
    </row>
    <row r="963" spans="1:17" x14ac:dyDescent="0.3">
      <c r="A963" t="s">
        <v>2735</v>
      </c>
      <c r="B963" t="str">
        <f t="shared" si="15"/>
        <v>Q4</v>
      </c>
      <c r="C963" t="str">
        <f>TEXT(Table1[[#This Row],[Order_Date]],"mmmm")</f>
        <v>December</v>
      </c>
      <c r="D963">
        <f>YEAR(Table1[[#This Row],[Order_Date]])</f>
        <v>2024</v>
      </c>
      <c r="E963" s="7">
        <v>45637</v>
      </c>
      <c r="F963" s="2" t="str">
        <f>VLOOKUP(Table1[[#This Row],[Customer_ID]],Customer_Dim!$A$2:$H$501,2,FALSE)</f>
        <v>Andrew Mason</v>
      </c>
      <c r="G963" s="2" t="str">
        <f>_xlfn.XLOOKUP(Table1[[#This Row],[Customer_ID]],Customer_Dim!$A$2:$A$501,Customer_Dim!$E$2:$E$501)</f>
        <v>North Michael</v>
      </c>
      <c r="H963" t="s">
        <v>1186</v>
      </c>
      <c r="I963" t="str">
        <f>VLOOKUP(Table1[[#This Row],[Product_ID]],Product_Dim!$A$2:$G$101,2,FALSE)</f>
        <v>HDMI Cable – 2m-Electronics</v>
      </c>
      <c r="J963" t="s">
        <v>1625</v>
      </c>
      <c r="K963" t="str">
        <f>VLOOKUP(Table1[[#This Row],[Store_ID]],Store_Dim!$A$3:$D$22,2,FALSE)</f>
        <v>Hill, Wagner and Ballard-East</v>
      </c>
      <c r="L963" t="s">
        <v>1748</v>
      </c>
      <c r="M963" t="s">
        <v>3958</v>
      </c>
      <c r="N963" s="3">
        <v>918.26</v>
      </c>
      <c r="O963" s="4">
        <v>0.17</v>
      </c>
      <c r="P963" t="s">
        <v>1777</v>
      </c>
      <c r="Q963" s="4">
        <v>2286.4674</v>
      </c>
    </row>
    <row r="964" spans="1:17" x14ac:dyDescent="0.3">
      <c r="A964" t="s">
        <v>2736</v>
      </c>
      <c r="B964" t="str">
        <f t="shared" si="15"/>
        <v>Q2</v>
      </c>
      <c r="C964" t="str">
        <f>TEXT(Table1[[#This Row],[Order_Date]],"mmmm")</f>
        <v>June</v>
      </c>
      <c r="D964">
        <f>YEAR(Table1[[#This Row],[Order_Date]])</f>
        <v>2024</v>
      </c>
      <c r="E964" s="7">
        <v>45472</v>
      </c>
      <c r="F964" s="2" t="str">
        <f>VLOOKUP(Table1[[#This Row],[Customer_ID]],Customer_Dim!$A$2:$H$501,2,FALSE)</f>
        <v>Amy Fowler</v>
      </c>
      <c r="G964" s="2" t="str">
        <f>_xlfn.XLOOKUP(Table1[[#This Row],[Customer_ID]],Customer_Dim!$A$2:$A$501,Customer_Dim!$E$2:$E$501)</f>
        <v>West Bobbyshire</v>
      </c>
      <c r="H964" t="s">
        <v>336</v>
      </c>
      <c r="I964" t="str">
        <f>VLOOKUP(Table1[[#This Row],[Product_ID]],Product_Dim!$A$2:$G$101,2,FALSE)</f>
        <v>Herbal Face Moisturizer-Beauty</v>
      </c>
      <c r="J964" t="s">
        <v>1535</v>
      </c>
      <c r="K964" t="str">
        <f>VLOOKUP(Table1[[#This Row],[Store_ID]],Store_Dim!$A$3:$D$22,2,FALSE)</f>
        <v>Moore, Padilla and Butler-South</v>
      </c>
      <c r="L964" t="s">
        <v>1746</v>
      </c>
      <c r="M964" t="s">
        <v>3959</v>
      </c>
      <c r="N964" s="3">
        <v>579.70000000000005</v>
      </c>
      <c r="O964" s="4">
        <v>0.18</v>
      </c>
      <c r="P964" t="s">
        <v>1774</v>
      </c>
      <c r="Q964" s="4">
        <v>1901.4159999999999</v>
      </c>
    </row>
    <row r="965" spans="1:17" x14ac:dyDescent="0.3">
      <c r="A965" t="s">
        <v>2737</v>
      </c>
      <c r="B965" t="str">
        <f t="shared" si="15"/>
        <v>Q1</v>
      </c>
      <c r="C965" t="str">
        <f>TEXT(Table1[[#This Row],[Order_Date]],"mmmm")</f>
        <v>February</v>
      </c>
      <c r="D965">
        <f>YEAR(Table1[[#This Row],[Order_Date]])</f>
        <v>2025</v>
      </c>
      <c r="E965" s="7">
        <v>45710</v>
      </c>
      <c r="F965" s="2" t="str">
        <f>VLOOKUP(Table1[[#This Row],[Customer_ID]],Customer_Dim!$A$2:$H$501,2,FALSE)</f>
        <v>Cameron Simpson</v>
      </c>
      <c r="G965" s="2" t="str">
        <f>_xlfn.XLOOKUP(Table1[[#This Row],[Customer_ID]],Customer_Dim!$A$2:$A$501,Customer_Dim!$E$2:$E$501)</f>
        <v>Michaelfort</v>
      </c>
      <c r="H965" t="s">
        <v>485</v>
      </c>
      <c r="I965" t="str">
        <f>VLOOKUP(Table1[[#This Row],[Product_ID]],Product_Dim!$A$2:$G$101,2,FALSE)</f>
        <v>USB External Hard Drive-Electronics</v>
      </c>
      <c r="J965" t="s">
        <v>1609</v>
      </c>
      <c r="K965" t="str">
        <f>VLOOKUP(Table1[[#This Row],[Store_ID]],Store_Dim!$A$3:$D$22,2,FALSE)</f>
        <v>Benson-Elliott-East</v>
      </c>
      <c r="L965" t="s">
        <v>1740</v>
      </c>
      <c r="M965" t="s">
        <v>3957</v>
      </c>
      <c r="N965" s="3">
        <v>824.32</v>
      </c>
      <c r="O965" s="4">
        <v>0.18</v>
      </c>
      <c r="P965" t="s">
        <v>1772</v>
      </c>
      <c r="Q965" s="4">
        <v>675.94240000000013</v>
      </c>
    </row>
    <row r="966" spans="1:17" x14ac:dyDescent="0.3">
      <c r="A966" t="s">
        <v>2738</v>
      </c>
      <c r="B966" t="str">
        <f t="shared" si="15"/>
        <v>Q1</v>
      </c>
      <c r="C966" t="str">
        <f>TEXT(Table1[[#This Row],[Order_Date]],"mmmm")</f>
        <v>January</v>
      </c>
      <c r="D966">
        <f>YEAR(Table1[[#This Row],[Order_Date]])</f>
        <v>2025</v>
      </c>
      <c r="E966" s="7">
        <v>45682</v>
      </c>
      <c r="F966" s="2" t="str">
        <f>VLOOKUP(Table1[[#This Row],[Customer_ID]],Customer_Dim!$A$2:$H$501,2,FALSE)</f>
        <v>Amy Walker</v>
      </c>
      <c r="G966" s="2" t="str">
        <f>_xlfn.XLOOKUP(Table1[[#This Row],[Customer_ID]],Customer_Dim!$A$2:$A$501,Customer_Dim!$E$2:$E$501)</f>
        <v>Smithland</v>
      </c>
      <c r="H966" t="s">
        <v>379</v>
      </c>
      <c r="I966" t="str">
        <f>VLOOKUP(Table1[[#This Row],[Product_ID]],Product_Dim!$A$2:$G$101,2,FALSE)</f>
        <v>Men's Winter Jacket-Clothing</v>
      </c>
      <c r="J966" t="s">
        <v>1615</v>
      </c>
      <c r="K966" t="str">
        <f>VLOOKUP(Table1[[#This Row],[Store_ID]],Store_Dim!$A$3:$D$22,2,FALSE)</f>
        <v>Shelton PLC-North</v>
      </c>
      <c r="L966" t="s">
        <v>1755</v>
      </c>
      <c r="M966" t="s">
        <v>3959</v>
      </c>
      <c r="N966" s="3">
        <v>614.99</v>
      </c>
      <c r="O966" s="4">
        <v>0.16</v>
      </c>
      <c r="P966" t="s">
        <v>1774</v>
      </c>
      <c r="Q966" s="4">
        <v>2066.3663999999999</v>
      </c>
    </row>
    <row r="967" spans="1:17" x14ac:dyDescent="0.3">
      <c r="A967" t="s">
        <v>2739</v>
      </c>
      <c r="B967" t="str">
        <f t="shared" si="15"/>
        <v>Q1</v>
      </c>
      <c r="C967" t="str">
        <f>TEXT(Table1[[#This Row],[Order_Date]],"mmmm")</f>
        <v>March</v>
      </c>
      <c r="D967">
        <f>YEAR(Table1[[#This Row],[Order_Date]])</f>
        <v>2025</v>
      </c>
      <c r="E967" s="7">
        <v>45730</v>
      </c>
      <c r="F967" s="2" t="str">
        <f>VLOOKUP(Table1[[#This Row],[Customer_ID]],Customer_Dim!$A$2:$H$501,2,FALSE)</f>
        <v>Susan Mcdonald</v>
      </c>
      <c r="G967" s="2" t="str">
        <f>_xlfn.XLOOKUP(Table1[[#This Row],[Customer_ID]],Customer_Dim!$A$2:$A$501,Customer_Dim!$E$2:$E$501)</f>
        <v>East Ellen</v>
      </c>
      <c r="H967" t="s">
        <v>436</v>
      </c>
      <c r="I967" t="str">
        <f>VLOOKUP(Table1[[#This Row],[Product_ID]],Product_Dim!$A$2:$G$101,2,FALSE)</f>
        <v>Laptop Cooling Pad-Electronics</v>
      </c>
      <c r="J967" t="s">
        <v>1647</v>
      </c>
      <c r="K967" t="str">
        <f>VLOOKUP(Table1[[#This Row],[Store_ID]],Store_Dim!$A$3:$D$22,2,FALSE)</f>
        <v>Rivera-Warner-East</v>
      </c>
      <c r="L967" t="s">
        <v>1725</v>
      </c>
      <c r="M967" t="s">
        <v>3959</v>
      </c>
      <c r="N967" s="3">
        <v>189.21</v>
      </c>
      <c r="O967" s="4">
        <v>0.06</v>
      </c>
      <c r="P967" t="s">
        <v>1777</v>
      </c>
      <c r="Q967" s="4">
        <v>711.42959999999994</v>
      </c>
    </row>
    <row r="968" spans="1:17" x14ac:dyDescent="0.3">
      <c r="A968" t="s">
        <v>2740</v>
      </c>
      <c r="B968" t="str">
        <f t="shared" si="15"/>
        <v>Q4</v>
      </c>
      <c r="C968" t="str">
        <f>TEXT(Table1[[#This Row],[Order_Date]],"mmmm")</f>
        <v>December</v>
      </c>
      <c r="D968">
        <f>YEAR(Table1[[#This Row],[Order_Date]])</f>
        <v>2024</v>
      </c>
      <c r="E968" s="7">
        <v>45629</v>
      </c>
      <c r="F968" s="2" t="str">
        <f>VLOOKUP(Table1[[#This Row],[Customer_ID]],Customer_Dim!$A$2:$H$501,2,FALSE)</f>
        <v>Julie Hale</v>
      </c>
      <c r="G968" s="2" t="str">
        <f>_xlfn.XLOOKUP(Table1[[#This Row],[Customer_ID]],Customer_Dim!$A$2:$A$501,Customer_Dim!$E$2:$E$501)</f>
        <v>Owensview</v>
      </c>
      <c r="H968" t="s">
        <v>512</v>
      </c>
      <c r="I968" t="str">
        <f>VLOOKUP(Table1[[#This Row],[Product_ID]],Product_Dim!$A$2:$G$101,2,FALSE)</f>
        <v>Laptop Cooling Pad-Electronics</v>
      </c>
      <c r="J968" t="s">
        <v>1647</v>
      </c>
      <c r="K968" t="str">
        <f>VLOOKUP(Table1[[#This Row],[Store_ID]],Store_Dim!$A$3:$D$22,2,FALSE)</f>
        <v>Mcdonald Inc-South</v>
      </c>
      <c r="L968" t="s">
        <v>1754</v>
      </c>
      <c r="M968" t="s">
        <v>3960</v>
      </c>
      <c r="N968" s="3">
        <v>233.33</v>
      </c>
      <c r="O968" s="4">
        <v>0.05</v>
      </c>
      <c r="P968" t="s">
        <v>1772</v>
      </c>
      <c r="Q968" s="4">
        <v>443.327</v>
      </c>
    </row>
    <row r="969" spans="1:17" x14ac:dyDescent="0.3">
      <c r="A969" t="s">
        <v>2741</v>
      </c>
      <c r="B969" t="str">
        <f t="shared" si="15"/>
        <v>Q2</v>
      </c>
      <c r="C969" t="str">
        <f>TEXT(Table1[[#This Row],[Order_Date]],"mmmm")</f>
        <v>May</v>
      </c>
      <c r="D969">
        <f>YEAR(Table1[[#This Row],[Order_Date]])</f>
        <v>2025</v>
      </c>
      <c r="E969" s="7">
        <v>45783</v>
      </c>
      <c r="F969" s="2" t="str">
        <f>VLOOKUP(Table1[[#This Row],[Customer_ID]],Customer_Dim!$A$2:$H$501,2,FALSE)</f>
        <v>Nicholas Webb</v>
      </c>
      <c r="G969" s="2" t="str">
        <f>_xlfn.XLOOKUP(Table1[[#This Row],[Customer_ID]],Customer_Dim!$A$2:$A$501,Customer_Dim!$E$2:$E$501)</f>
        <v>Lake Timothy</v>
      </c>
      <c r="H969" t="s">
        <v>788</v>
      </c>
      <c r="I969" t="str">
        <f>VLOOKUP(Table1[[#This Row],[Product_ID]],Product_Dim!$A$2:$G$101,2,FALSE)</f>
        <v>Portable Power Bank-Electronics</v>
      </c>
      <c r="J969" t="s">
        <v>1601</v>
      </c>
      <c r="K969" t="str">
        <f>VLOOKUP(Table1[[#This Row],[Store_ID]],Store_Dim!$A$3:$D$22,2,FALSE)</f>
        <v>Guerrero-Schmitt-East</v>
      </c>
      <c r="L969" t="s">
        <v>1761</v>
      </c>
      <c r="M969" t="s">
        <v>3958</v>
      </c>
      <c r="N969" s="3">
        <v>529.89</v>
      </c>
      <c r="O969" s="4">
        <v>0.21</v>
      </c>
      <c r="P969" t="s">
        <v>1772</v>
      </c>
      <c r="Q969" s="4">
        <v>1255.8393000000001</v>
      </c>
    </row>
    <row r="970" spans="1:17" x14ac:dyDescent="0.3">
      <c r="A970" t="s">
        <v>2742</v>
      </c>
      <c r="B970" t="str">
        <f t="shared" si="15"/>
        <v>Q3</v>
      </c>
      <c r="C970" t="str">
        <f>TEXT(Table1[[#This Row],[Order_Date]],"mmmm")</f>
        <v>August</v>
      </c>
      <c r="D970">
        <f>YEAR(Table1[[#This Row],[Order_Date]])</f>
        <v>2024</v>
      </c>
      <c r="E970" s="7">
        <v>45518</v>
      </c>
      <c r="F970" s="2" t="str">
        <f>VLOOKUP(Table1[[#This Row],[Customer_ID]],Customer_Dim!$A$2:$H$501,2,FALSE)</f>
        <v>Melinda Thomas</v>
      </c>
      <c r="G970" s="2" t="str">
        <f>_xlfn.XLOOKUP(Table1[[#This Row],[Customer_ID]],Customer_Dim!$A$2:$A$501,Customer_Dim!$E$2:$E$501)</f>
        <v>Lake Elizabethside</v>
      </c>
      <c r="H970" t="s">
        <v>1487</v>
      </c>
      <c r="I970" t="str">
        <f>VLOOKUP(Table1[[#This Row],[Product_ID]],Product_Dim!$A$2:$G$101,2,FALSE)</f>
        <v>Microwave Oven-Home</v>
      </c>
      <c r="J970" t="s">
        <v>1707</v>
      </c>
      <c r="K970" t="str">
        <f>VLOOKUP(Table1[[#This Row],[Store_ID]],Store_Dim!$A$3:$D$22,2,FALSE)</f>
        <v>Martinez, Adkins and Johnson-North</v>
      </c>
      <c r="L970" t="s">
        <v>1728</v>
      </c>
      <c r="M970" t="s">
        <v>3960</v>
      </c>
      <c r="N970" s="3">
        <v>954.1</v>
      </c>
      <c r="O970" s="4">
        <v>0.17</v>
      </c>
      <c r="P970" t="s">
        <v>1774</v>
      </c>
      <c r="Q970" s="4">
        <v>1583.806</v>
      </c>
    </row>
    <row r="971" spans="1:17" x14ac:dyDescent="0.3">
      <c r="A971" t="s">
        <v>2743</v>
      </c>
      <c r="B971" t="str">
        <f t="shared" si="15"/>
        <v>Q4</v>
      </c>
      <c r="C971" t="str">
        <f>TEXT(Table1[[#This Row],[Order_Date]],"mmmm")</f>
        <v>December</v>
      </c>
      <c r="D971">
        <f>YEAR(Table1[[#This Row],[Order_Date]])</f>
        <v>2023</v>
      </c>
      <c r="E971" s="7">
        <v>45274</v>
      </c>
      <c r="F971" s="2" t="str">
        <f>VLOOKUP(Table1[[#This Row],[Customer_ID]],Customer_Dim!$A$2:$H$501,2,FALSE)</f>
        <v>Kristy Dunlap</v>
      </c>
      <c r="G971" s="2" t="str">
        <f>_xlfn.XLOOKUP(Table1[[#This Row],[Customer_ID]],Customer_Dim!$A$2:$A$501,Customer_Dim!$E$2:$E$501)</f>
        <v>Whiteport</v>
      </c>
      <c r="H971" t="s">
        <v>1007</v>
      </c>
      <c r="I971" t="str">
        <f>VLOOKUP(Table1[[#This Row],[Product_ID]],Product_Dim!$A$2:$G$101,2,FALSE)</f>
        <v>Adjustable Dumbbells 20kg-Sports</v>
      </c>
      <c r="J971" t="s">
        <v>1653</v>
      </c>
      <c r="K971" t="str">
        <f>VLOOKUP(Table1[[#This Row],[Store_ID]],Store_Dim!$A$3:$D$22,2,FALSE)</f>
        <v>Martinez-Mullins-South</v>
      </c>
      <c r="L971" t="s">
        <v>1742</v>
      </c>
      <c r="M971" t="s">
        <v>3957</v>
      </c>
      <c r="N971" s="3">
        <v>370.04</v>
      </c>
      <c r="O971" s="4">
        <v>0.04</v>
      </c>
      <c r="P971" t="s">
        <v>1777</v>
      </c>
      <c r="Q971" s="4">
        <v>355.23840000000001</v>
      </c>
    </row>
    <row r="972" spans="1:17" x14ac:dyDescent="0.3">
      <c r="A972" t="s">
        <v>2744</v>
      </c>
      <c r="B972" t="str">
        <f t="shared" si="15"/>
        <v>Q1</v>
      </c>
      <c r="C972" t="str">
        <f>TEXT(Table1[[#This Row],[Order_Date]],"mmmm")</f>
        <v>January</v>
      </c>
      <c r="D972">
        <f>YEAR(Table1[[#This Row],[Order_Date]])</f>
        <v>2024</v>
      </c>
      <c r="E972" s="7">
        <v>45297</v>
      </c>
      <c r="F972" s="2" t="str">
        <f>VLOOKUP(Table1[[#This Row],[Customer_ID]],Customer_Dim!$A$2:$H$501,2,FALSE)</f>
        <v>Kristin Stein</v>
      </c>
      <c r="G972" s="2" t="str">
        <f>_xlfn.XLOOKUP(Table1[[#This Row],[Customer_ID]],Customer_Dim!$A$2:$A$501,Customer_Dim!$E$2:$E$501)</f>
        <v>Jennifermouth</v>
      </c>
      <c r="H972" t="s">
        <v>224</v>
      </c>
      <c r="I972" t="str">
        <f>VLOOKUP(Table1[[#This Row],[Product_ID]],Product_Dim!$A$2:$G$101,2,FALSE)</f>
        <v>Women's Formal Blazer-Clothing</v>
      </c>
      <c r="J972" t="s">
        <v>1715</v>
      </c>
      <c r="K972" t="str">
        <f>VLOOKUP(Table1[[#This Row],[Store_ID]],Store_Dim!$A$3:$D$22,2,FALSE)</f>
        <v>Mann-Austin-East</v>
      </c>
      <c r="L972" t="s">
        <v>1763</v>
      </c>
      <c r="M972" t="s">
        <v>3959</v>
      </c>
      <c r="N972" s="3">
        <v>492.71</v>
      </c>
      <c r="O972" s="4">
        <v>0.08</v>
      </c>
      <c r="P972" t="s">
        <v>1772</v>
      </c>
      <c r="Q972" s="4">
        <v>1813.1728000000001</v>
      </c>
    </row>
    <row r="973" spans="1:17" x14ac:dyDescent="0.3">
      <c r="A973" t="s">
        <v>2745</v>
      </c>
      <c r="B973" t="str">
        <f t="shared" si="15"/>
        <v>Q3</v>
      </c>
      <c r="C973" t="str">
        <f>TEXT(Table1[[#This Row],[Order_Date]],"mmmm")</f>
        <v>August</v>
      </c>
      <c r="D973">
        <f>YEAR(Table1[[#This Row],[Order_Date]])</f>
        <v>2024</v>
      </c>
      <c r="E973" s="7">
        <v>45530</v>
      </c>
      <c r="F973" s="2" t="str">
        <f>VLOOKUP(Table1[[#This Row],[Customer_ID]],Customer_Dim!$A$2:$H$501,2,FALSE)</f>
        <v>Antonio Leon</v>
      </c>
      <c r="G973" s="2" t="str">
        <f>_xlfn.XLOOKUP(Table1[[#This Row],[Customer_ID]],Customer_Dim!$A$2:$A$501,Customer_Dim!$E$2:$E$501)</f>
        <v>Morrisville</v>
      </c>
      <c r="H973" t="s">
        <v>882</v>
      </c>
      <c r="I973" t="str">
        <f>VLOOKUP(Table1[[#This Row],[Product_ID]],Product_Dim!$A$2:$G$101,2,FALSE)</f>
        <v>Women's High Heels-Clothing</v>
      </c>
      <c r="J973" t="s">
        <v>1705</v>
      </c>
      <c r="K973" t="str">
        <f>VLOOKUP(Table1[[#This Row],[Store_ID]],Store_Dim!$A$3:$D$22,2,FALSE)</f>
        <v>Gardner, Humphrey and Contreras-East</v>
      </c>
      <c r="L973" t="s">
        <v>1753</v>
      </c>
      <c r="M973" t="s">
        <v>3959</v>
      </c>
      <c r="N973" s="3">
        <v>853.26</v>
      </c>
      <c r="O973" s="4">
        <v>0.24</v>
      </c>
      <c r="P973" t="s">
        <v>1777</v>
      </c>
      <c r="Q973" s="4">
        <v>2593.9104000000002</v>
      </c>
    </row>
    <row r="974" spans="1:17" x14ac:dyDescent="0.3">
      <c r="A974" t="s">
        <v>2746</v>
      </c>
      <c r="B974" t="str">
        <f t="shared" si="15"/>
        <v>Q1</v>
      </c>
      <c r="C974" t="str">
        <f>TEXT(Table1[[#This Row],[Order_Date]],"mmmm")</f>
        <v>March</v>
      </c>
      <c r="D974">
        <f>YEAR(Table1[[#This Row],[Order_Date]])</f>
        <v>2025</v>
      </c>
      <c r="E974" s="7">
        <v>45740</v>
      </c>
      <c r="F974" s="2" t="str">
        <f>VLOOKUP(Table1[[#This Row],[Customer_ID]],Customer_Dim!$A$2:$H$501,2,FALSE)</f>
        <v>David Lozano</v>
      </c>
      <c r="G974" s="2" t="str">
        <f>_xlfn.XLOOKUP(Table1[[#This Row],[Customer_ID]],Customer_Dim!$A$2:$A$501,Customer_Dim!$E$2:$E$501)</f>
        <v>North Michaelfurt</v>
      </c>
      <c r="H974" t="s">
        <v>1249</v>
      </c>
      <c r="I974" t="str">
        <f>VLOOKUP(Table1[[#This Row],[Product_ID]],Product_Dim!$A$2:$G$101,2,FALSE)</f>
        <v>Men's Running Jacket-Clothing</v>
      </c>
      <c r="J974" t="s">
        <v>1529</v>
      </c>
      <c r="K974" t="str">
        <f>VLOOKUP(Table1[[#This Row],[Store_ID]],Store_Dim!$A$3:$D$22,2,FALSE)</f>
        <v>Frederick-Wright-West</v>
      </c>
      <c r="L974" t="s">
        <v>1757</v>
      </c>
      <c r="M974" t="s">
        <v>3957</v>
      </c>
      <c r="N974" s="3">
        <v>402.47</v>
      </c>
      <c r="O974" s="4">
        <v>0.19</v>
      </c>
      <c r="P974" t="s">
        <v>1774</v>
      </c>
      <c r="Q974" s="4">
        <v>326.00070000000011</v>
      </c>
    </row>
    <row r="975" spans="1:17" x14ac:dyDescent="0.3">
      <c r="A975" t="s">
        <v>2747</v>
      </c>
      <c r="B975" t="str">
        <f t="shared" si="15"/>
        <v>Q1</v>
      </c>
      <c r="C975" t="str">
        <f>TEXT(Table1[[#This Row],[Order_Date]],"mmmm")</f>
        <v>January</v>
      </c>
      <c r="D975">
        <f>YEAR(Table1[[#This Row],[Order_Date]])</f>
        <v>2024</v>
      </c>
      <c r="E975" s="7">
        <v>45311</v>
      </c>
      <c r="F975" s="2" t="str">
        <f>VLOOKUP(Table1[[#This Row],[Customer_ID]],Customer_Dim!$A$2:$H$501,2,FALSE)</f>
        <v>Cassandra Perez</v>
      </c>
      <c r="G975" s="2" t="str">
        <f>_xlfn.XLOOKUP(Table1[[#This Row],[Customer_ID]],Customer_Dim!$A$2:$A$501,Customer_Dim!$E$2:$E$501)</f>
        <v>Brandonville</v>
      </c>
      <c r="H975" t="s">
        <v>1238</v>
      </c>
      <c r="I975" t="str">
        <f>VLOOKUP(Table1[[#This Row],[Product_ID]],Product_Dim!$A$2:$G$101,2,FALSE)</f>
        <v>Sports Stopwatch Pro-Sports</v>
      </c>
      <c r="J975" t="s">
        <v>1631</v>
      </c>
      <c r="K975" t="str">
        <f>VLOOKUP(Table1[[#This Row],[Store_ID]],Store_Dim!$A$3:$D$22,2,FALSE)</f>
        <v>Guerrero-Schmitt-East</v>
      </c>
      <c r="L975" t="s">
        <v>1761</v>
      </c>
      <c r="M975" t="s">
        <v>3960</v>
      </c>
      <c r="N975" s="3">
        <v>528.29999999999995</v>
      </c>
      <c r="O975" s="4">
        <v>0.24</v>
      </c>
      <c r="P975" t="s">
        <v>1772</v>
      </c>
      <c r="Q975" s="4">
        <v>803.01599999999996</v>
      </c>
    </row>
    <row r="976" spans="1:17" x14ac:dyDescent="0.3">
      <c r="A976" t="s">
        <v>2748</v>
      </c>
      <c r="B976" t="str">
        <f t="shared" si="15"/>
        <v>Q1</v>
      </c>
      <c r="C976" t="str">
        <f>TEXT(Table1[[#This Row],[Order_Date]],"mmmm")</f>
        <v>January</v>
      </c>
      <c r="D976">
        <f>YEAR(Table1[[#This Row],[Order_Date]])</f>
        <v>2025</v>
      </c>
      <c r="E976" s="7">
        <v>45667</v>
      </c>
      <c r="F976" s="2" t="str">
        <f>VLOOKUP(Table1[[#This Row],[Customer_ID]],Customer_Dim!$A$2:$H$501,2,FALSE)</f>
        <v>Cheryl Carr</v>
      </c>
      <c r="G976" s="2" t="str">
        <f>_xlfn.XLOOKUP(Table1[[#This Row],[Customer_ID]],Customer_Dim!$A$2:$A$501,Customer_Dim!$E$2:$E$501)</f>
        <v>Jessicaland</v>
      </c>
      <c r="H976" t="s">
        <v>1358</v>
      </c>
      <c r="I976" t="str">
        <f>VLOOKUP(Table1[[#This Row],[Product_ID]],Product_Dim!$A$2:$G$101,2,FALSE)</f>
        <v>Ceramic Kitchen Bowl Set-Home</v>
      </c>
      <c r="J976" t="s">
        <v>1543</v>
      </c>
      <c r="K976" t="str">
        <f>VLOOKUP(Table1[[#This Row],[Store_ID]],Store_Dim!$A$3:$D$22,2,FALSE)</f>
        <v>Benson-Elliott-East</v>
      </c>
      <c r="L976" t="s">
        <v>1740</v>
      </c>
      <c r="M976" t="s">
        <v>3959</v>
      </c>
      <c r="N976" s="3">
        <v>599.85</v>
      </c>
      <c r="O976" s="4">
        <v>0.25</v>
      </c>
      <c r="P976" t="s">
        <v>1772</v>
      </c>
      <c r="Q976" s="4">
        <v>1799.55</v>
      </c>
    </row>
    <row r="977" spans="1:17" x14ac:dyDescent="0.3">
      <c r="A977" t="s">
        <v>2749</v>
      </c>
      <c r="B977" t="str">
        <f t="shared" si="15"/>
        <v>Q4</v>
      </c>
      <c r="C977" t="str">
        <f>TEXT(Table1[[#This Row],[Order_Date]],"mmmm")</f>
        <v>December</v>
      </c>
      <c r="D977">
        <f>YEAR(Table1[[#This Row],[Order_Date]])</f>
        <v>2023</v>
      </c>
      <c r="E977" s="7">
        <v>45281</v>
      </c>
      <c r="F977" s="2" t="str">
        <f>VLOOKUP(Table1[[#This Row],[Customer_ID]],Customer_Dim!$A$2:$H$501,2,FALSE)</f>
        <v>John Sloan</v>
      </c>
      <c r="G977" s="2" t="str">
        <f>_xlfn.XLOOKUP(Table1[[#This Row],[Customer_ID]],Customer_Dim!$A$2:$A$501,Customer_Dim!$E$2:$E$501)</f>
        <v>East Johntown</v>
      </c>
      <c r="H977" t="s">
        <v>948</v>
      </c>
      <c r="I977" t="str">
        <f>VLOOKUP(Table1[[#This Row],[Product_ID]],Product_Dim!$A$2:$G$101,2,FALSE)</f>
        <v>Beard Grooming Kit-Beauty</v>
      </c>
      <c r="J977" t="s">
        <v>1555</v>
      </c>
      <c r="K977" t="str">
        <f>VLOOKUP(Table1[[#This Row],[Store_ID]],Store_Dim!$A$3:$D$22,2,FALSE)</f>
        <v>Moore, Padilla and Butler-South</v>
      </c>
      <c r="L977" t="s">
        <v>1746</v>
      </c>
      <c r="M977" t="s">
        <v>3960</v>
      </c>
      <c r="N977" s="3">
        <v>61.42</v>
      </c>
      <c r="O977" s="4">
        <v>0.08</v>
      </c>
      <c r="P977" t="s">
        <v>1774</v>
      </c>
      <c r="Q977" s="4">
        <v>113.0128</v>
      </c>
    </row>
    <row r="978" spans="1:17" x14ac:dyDescent="0.3">
      <c r="A978" t="s">
        <v>2750</v>
      </c>
      <c r="B978" t="str">
        <f t="shared" si="15"/>
        <v>Q1</v>
      </c>
      <c r="C978" t="str">
        <f>TEXT(Table1[[#This Row],[Order_Date]],"mmmm")</f>
        <v>February</v>
      </c>
      <c r="D978">
        <f>YEAR(Table1[[#This Row],[Order_Date]])</f>
        <v>2025</v>
      </c>
      <c r="E978" s="7">
        <v>45693</v>
      </c>
      <c r="F978" s="2" t="str">
        <f>VLOOKUP(Table1[[#This Row],[Customer_ID]],Customer_Dim!$A$2:$H$501,2,FALSE)</f>
        <v>Lauren George</v>
      </c>
      <c r="G978" s="2" t="str">
        <f>_xlfn.XLOOKUP(Table1[[#This Row],[Customer_ID]],Customer_Dim!$A$2:$A$501,Customer_Dim!$E$2:$E$501)</f>
        <v>Garciamouth</v>
      </c>
      <c r="H978" t="s">
        <v>791</v>
      </c>
      <c r="I978" t="str">
        <f>VLOOKUP(Table1[[#This Row],[Product_ID]],Product_Dim!$A$2:$G$101,2,FALSE)</f>
        <v>Knee Support Brace-Sports</v>
      </c>
      <c r="J978" t="s">
        <v>1561</v>
      </c>
      <c r="K978" t="str">
        <f>VLOOKUP(Table1[[#This Row],[Store_ID]],Store_Dim!$A$3:$D$22,2,FALSE)</f>
        <v>Hill, Wagner and Ballard-East</v>
      </c>
      <c r="L978" t="s">
        <v>1748</v>
      </c>
      <c r="M978" t="s">
        <v>3960</v>
      </c>
      <c r="N978" s="3">
        <v>466.42</v>
      </c>
      <c r="O978" s="4">
        <v>0.12</v>
      </c>
      <c r="P978" t="s">
        <v>1774</v>
      </c>
      <c r="Q978" s="4">
        <v>820.89920000000006</v>
      </c>
    </row>
    <row r="979" spans="1:17" x14ac:dyDescent="0.3">
      <c r="A979" t="s">
        <v>2751</v>
      </c>
      <c r="B979" t="str">
        <f t="shared" si="15"/>
        <v>Q3</v>
      </c>
      <c r="C979" t="str">
        <f>TEXT(Table1[[#This Row],[Order_Date]],"mmmm")</f>
        <v>July</v>
      </c>
      <c r="D979">
        <f>YEAR(Table1[[#This Row],[Order_Date]])</f>
        <v>2025</v>
      </c>
      <c r="E979" s="7">
        <v>45857</v>
      </c>
      <c r="F979" s="2" t="str">
        <f>VLOOKUP(Table1[[#This Row],[Customer_ID]],Customer_Dim!$A$2:$H$501,2,FALSE)</f>
        <v>Sheila Wilson</v>
      </c>
      <c r="G979" s="2" t="str">
        <f>_xlfn.XLOOKUP(Table1[[#This Row],[Customer_ID]],Customer_Dim!$A$2:$A$501,Customer_Dim!$E$2:$E$501)</f>
        <v>South Dustin</v>
      </c>
      <c r="H979" t="s">
        <v>348</v>
      </c>
      <c r="I979" t="str">
        <f>VLOOKUP(Table1[[#This Row],[Product_ID]],Product_Dim!$A$2:$G$101,2,FALSE)</f>
        <v>Basketball-Sports</v>
      </c>
      <c r="J979" t="s">
        <v>1585</v>
      </c>
      <c r="K979" t="str">
        <f>VLOOKUP(Table1[[#This Row],[Store_ID]],Store_Dim!$A$3:$D$22,2,FALSE)</f>
        <v>Gray Ltd-North</v>
      </c>
      <c r="L979" t="s">
        <v>1738</v>
      </c>
      <c r="M979" t="s">
        <v>3959</v>
      </c>
      <c r="N979" s="3">
        <v>540.69000000000005</v>
      </c>
      <c r="O979" s="4">
        <v>0.09</v>
      </c>
      <c r="P979" t="s">
        <v>1777</v>
      </c>
      <c r="Q979" s="4">
        <v>1968.1116</v>
      </c>
    </row>
    <row r="980" spans="1:17" x14ac:dyDescent="0.3">
      <c r="A980" t="s">
        <v>2752</v>
      </c>
      <c r="B980" t="str">
        <f t="shared" si="15"/>
        <v>Q1</v>
      </c>
      <c r="C980" t="str">
        <f>TEXT(Table1[[#This Row],[Order_Date]],"mmmm")</f>
        <v>March</v>
      </c>
      <c r="D980">
        <f>YEAR(Table1[[#This Row],[Order_Date]])</f>
        <v>2025</v>
      </c>
      <c r="E980" s="7">
        <v>45737</v>
      </c>
      <c r="F980" s="2" t="str">
        <f>VLOOKUP(Table1[[#This Row],[Customer_ID]],Customer_Dim!$A$2:$H$501,2,FALSE)</f>
        <v>Tracy Stephens</v>
      </c>
      <c r="G980" s="2" t="str">
        <f>_xlfn.XLOOKUP(Table1[[#This Row],[Customer_ID]],Customer_Dim!$A$2:$A$501,Customer_Dim!$E$2:$E$501)</f>
        <v>New Joshuatown</v>
      </c>
      <c r="H980" t="s">
        <v>933</v>
      </c>
      <c r="I980" t="str">
        <f>VLOOKUP(Table1[[#This Row],[Product_ID]],Product_Dim!$A$2:$G$101,2,FALSE)</f>
        <v>Knee Support Brace-Sports</v>
      </c>
      <c r="J980" t="s">
        <v>1561</v>
      </c>
      <c r="K980" t="str">
        <f>VLOOKUP(Table1[[#This Row],[Store_ID]],Store_Dim!$A$3:$D$22,2,FALSE)</f>
        <v>Gardner, Humphrey and Contreras-East</v>
      </c>
      <c r="L980" t="s">
        <v>1753</v>
      </c>
      <c r="M980" t="s">
        <v>3958</v>
      </c>
      <c r="N980" s="3">
        <v>677.46</v>
      </c>
      <c r="O980" s="4">
        <v>0.05</v>
      </c>
      <c r="P980" t="s">
        <v>1772</v>
      </c>
      <c r="Q980" s="4">
        <v>1930.761</v>
      </c>
    </row>
    <row r="981" spans="1:17" x14ac:dyDescent="0.3">
      <c r="A981" t="s">
        <v>2753</v>
      </c>
      <c r="B981" t="str">
        <f t="shared" si="15"/>
        <v>Q2</v>
      </c>
      <c r="C981" t="str">
        <f>TEXT(Table1[[#This Row],[Order_Date]],"mmmm")</f>
        <v>April</v>
      </c>
      <c r="D981">
        <f>YEAR(Table1[[#This Row],[Order_Date]])</f>
        <v>2025</v>
      </c>
      <c r="E981" s="7">
        <v>45771</v>
      </c>
      <c r="F981" s="2" t="str">
        <f>VLOOKUP(Table1[[#This Row],[Customer_ID]],Customer_Dim!$A$2:$H$501,2,FALSE)</f>
        <v>Mario Harvey Jr.</v>
      </c>
      <c r="G981" s="2" t="str">
        <f>_xlfn.XLOOKUP(Table1[[#This Row],[Customer_ID]],Customer_Dim!$A$2:$A$501,Customer_Dim!$E$2:$E$501)</f>
        <v>Jessicaport</v>
      </c>
      <c r="H981" t="s">
        <v>1021</v>
      </c>
      <c r="I981" t="str">
        <f>VLOOKUP(Table1[[#This Row],[Product_ID]],Product_Dim!$A$2:$G$101,2,FALSE)</f>
        <v>Multi-Purpose Storage Box-Home</v>
      </c>
      <c r="J981" t="s">
        <v>1565</v>
      </c>
      <c r="K981" t="str">
        <f>VLOOKUP(Table1[[#This Row],[Store_ID]],Store_Dim!$A$3:$D$22,2,FALSE)</f>
        <v>Martinez, Adkins and Johnson-North</v>
      </c>
      <c r="L981" t="s">
        <v>1728</v>
      </c>
      <c r="M981" t="s">
        <v>3958</v>
      </c>
      <c r="N981" s="3">
        <v>614.63</v>
      </c>
      <c r="O981" s="4">
        <v>0.06</v>
      </c>
      <c r="P981" t="s">
        <v>1774</v>
      </c>
      <c r="Q981" s="4">
        <v>1733.2565999999999</v>
      </c>
    </row>
    <row r="982" spans="1:17" x14ac:dyDescent="0.3">
      <c r="A982" t="s">
        <v>2754</v>
      </c>
      <c r="B982" t="str">
        <f t="shared" si="15"/>
        <v>Q4</v>
      </c>
      <c r="C982" t="str">
        <f>TEXT(Table1[[#This Row],[Order_Date]],"mmmm")</f>
        <v>December</v>
      </c>
      <c r="D982">
        <f>YEAR(Table1[[#This Row],[Order_Date]])</f>
        <v>2023</v>
      </c>
      <c r="E982" s="7">
        <v>45272</v>
      </c>
      <c r="F982" s="2" t="str">
        <f>VLOOKUP(Table1[[#This Row],[Customer_ID]],Customer_Dim!$A$2:$H$501,2,FALSE)</f>
        <v>Christy Hill</v>
      </c>
      <c r="G982" s="2" t="str">
        <f>_xlfn.XLOOKUP(Table1[[#This Row],[Customer_ID]],Customer_Dim!$A$2:$A$501,Customer_Dim!$E$2:$E$501)</f>
        <v>Tammyton</v>
      </c>
      <c r="H982" t="s">
        <v>740</v>
      </c>
      <c r="I982" t="str">
        <f>VLOOKUP(Table1[[#This Row],[Product_ID]],Product_Dim!$A$2:$G$101,2,FALSE)</f>
        <v>Women's Hair Dryer Brush-Beauty</v>
      </c>
      <c r="J982" t="s">
        <v>1655</v>
      </c>
      <c r="K982" t="str">
        <f>VLOOKUP(Table1[[#This Row],[Store_ID]],Store_Dim!$A$3:$D$22,2,FALSE)</f>
        <v>Bean, Jones and Park-West</v>
      </c>
      <c r="L982" t="s">
        <v>1744</v>
      </c>
      <c r="M982" t="s">
        <v>3959</v>
      </c>
      <c r="N982" s="3">
        <v>649.52</v>
      </c>
      <c r="O982" s="4">
        <v>0.11</v>
      </c>
      <c r="P982" t="s">
        <v>1772</v>
      </c>
      <c r="Q982" s="4">
        <v>2312.2912000000001</v>
      </c>
    </row>
    <row r="983" spans="1:17" x14ac:dyDescent="0.3">
      <c r="A983" t="s">
        <v>2755</v>
      </c>
      <c r="B983" t="str">
        <f t="shared" si="15"/>
        <v>Q3</v>
      </c>
      <c r="C983" t="str">
        <f>TEXT(Table1[[#This Row],[Order_Date]],"mmmm")</f>
        <v>July</v>
      </c>
      <c r="D983">
        <f>YEAR(Table1[[#This Row],[Order_Date]])</f>
        <v>2024</v>
      </c>
      <c r="E983" s="7">
        <v>45481</v>
      </c>
      <c r="F983" s="2" t="str">
        <f>VLOOKUP(Table1[[#This Row],[Customer_ID]],Customer_Dim!$A$2:$H$501,2,FALSE)</f>
        <v>Gene Lee</v>
      </c>
      <c r="G983" s="2" t="str">
        <f>_xlfn.XLOOKUP(Table1[[#This Row],[Customer_ID]],Customer_Dim!$A$2:$A$501,Customer_Dim!$E$2:$E$501)</f>
        <v>Mcfarlandmouth</v>
      </c>
      <c r="H983" t="s">
        <v>1361</v>
      </c>
      <c r="I983" t="str">
        <f>VLOOKUP(Table1[[#This Row],[Product_ID]],Product_Dim!$A$2:$G$101,2,FALSE)</f>
        <v>Women's Beanie Hat-Clothing</v>
      </c>
      <c r="J983" t="s">
        <v>1693</v>
      </c>
      <c r="K983" t="str">
        <f>VLOOKUP(Table1[[#This Row],[Store_ID]],Store_Dim!$A$3:$D$22,2,FALSE)</f>
        <v>Bean, Jones and Park-West</v>
      </c>
      <c r="L983" t="s">
        <v>1744</v>
      </c>
      <c r="M983" t="s">
        <v>3960</v>
      </c>
      <c r="N983" s="3">
        <v>943.93</v>
      </c>
      <c r="O983" s="4">
        <v>0.22</v>
      </c>
      <c r="P983" t="s">
        <v>1774</v>
      </c>
      <c r="Q983" s="4">
        <v>1472.5308</v>
      </c>
    </row>
    <row r="984" spans="1:17" x14ac:dyDescent="0.3">
      <c r="A984" t="s">
        <v>2756</v>
      </c>
      <c r="B984" t="str">
        <f t="shared" si="15"/>
        <v>Q4</v>
      </c>
      <c r="C984" t="str">
        <f>TEXT(Table1[[#This Row],[Order_Date]],"mmmm")</f>
        <v>October</v>
      </c>
      <c r="D984">
        <f>YEAR(Table1[[#This Row],[Order_Date]])</f>
        <v>2023</v>
      </c>
      <c r="E984" s="7">
        <v>45228</v>
      </c>
      <c r="F984" s="2" t="str">
        <f>VLOOKUP(Table1[[#This Row],[Customer_ID]],Customer_Dim!$A$2:$H$501,2,FALSE)</f>
        <v>Jason Wheeler</v>
      </c>
      <c r="G984" s="2" t="str">
        <f>_xlfn.XLOOKUP(Table1[[#This Row],[Customer_ID]],Customer_Dim!$A$2:$A$501,Customer_Dim!$E$2:$E$501)</f>
        <v>Carolview</v>
      </c>
      <c r="H984" t="s">
        <v>545</v>
      </c>
      <c r="I984" t="str">
        <f>VLOOKUP(Table1[[#This Row],[Product_ID]],Product_Dim!$A$2:$G$101,2,FALSE)</f>
        <v>Basketball-Sports</v>
      </c>
      <c r="J984" t="s">
        <v>1585</v>
      </c>
      <c r="K984" t="str">
        <f>VLOOKUP(Table1[[#This Row],[Store_ID]],Store_Dim!$A$3:$D$22,2,FALSE)</f>
        <v>Bean, Jones and Park-West</v>
      </c>
      <c r="L984" t="s">
        <v>1744</v>
      </c>
      <c r="M984" t="s">
        <v>3959</v>
      </c>
      <c r="N984" s="3">
        <v>538.73</v>
      </c>
      <c r="O984" s="4">
        <v>0.03</v>
      </c>
      <c r="P984" t="s">
        <v>1772</v>
      </c>
      <c r="Q984" s="4">
        <v>2090.2723999999998</v>
      </c>
    </row>
    <row r="985" spans="1:17" x14ac:dyDescent="0.3">
      <c r="A985" t="s">
        <v>2757</v>
      </c>
      <c r="B985" t="str">
        <f t="shared" si="15"/>
        <v>Q2</v>
      </c>
      <c r="C985" t="str">
        <f>TEXT(Table1[[#This Row],[Order_Date]],"mmmm")</f>
        <v>May</v>
      </c>
      <c r="D985">
        <f>YEAR(Table1[[#This Row],[Order_Date]])</f>
        <v>2024</v>
      </c>
      <c r="E985" s="7">
        <v>45432</v>
      </c>
      <c r="F985" s="2" t="str">
        <f>VLOOKUP(Table1[[#This Row],[Customer_ID]],Customer_Dim!$A$2:$H$501,2,FALSE)</f>
        <v>Timothy Wright</v>
      </c>
      <c r="G985" s="2" t="str">
        <f>_xlfn.XLOOKUP(Table1[[#This Row],[Customer_ID]],Customer_Dim!$A$2:$A$501,Customer_Dim!$E$2:$E$501)</f>
        <v>Ashleystad</v>
      </c>
      <c r="H985" t="s">
        <v>313</v>
      </c>
      <c r="I985" t="str">
        <f>VLOOKUP(Table1[[#This Row],[Product_ID]],Product_Dim!$A$2:$G$101,2,FALSE)</f>
        <v>Women's Hair Dryer Brush-Beauty</v>
      </c>
      <c r="J985" t="s">
        <v>1655</v>
      </c>
      <c r="K985" t="str">
        <f>VLOOKUP(Table1[[#This Row],[Store_ID]],Store_Dim!$A$3:$D$22,2,FALSE)</f>
        <v>Bean, Jones and Park-West</v>
      </c>
      <c r="L985" t="s">
        <v>1744</v>
      </c>
      <c r="M985" t="s">
        <v>3960</v>
      </c>
      <c r="N985" s="3">
        <v>853.93</v>
      </c>
      <c r="O985" s="4">
        <v>0.01</v>
      </c>
      <c r="P985" t="s">
        <v>1774</v>
      </c>
      <c r="Q985" s="4">
        <v>1690.7814000000001</v>
      </c>
    </row>
    <row r="986" spans="1:17" x14ac:dyDescent="0.3">
      <c r="A986" t="s">
        <v>2758</v>
      </c>
      <c r="B986" t="str">
        <f t="shared" si="15"/>
        <v>Q3</v>
      </c>
      <c r="C986" t="str">
        <f>TEXT(Table1[[#This Row],[Order_Date]],"mmmm")</f>
        <v>September</v>
      </c>
      <c r="D986">
        <f>YEAR(Table1[[#This Row],[Order_Date]])</f>
        <v>2025</v>
      </c>
      <c r="E986" s="7">
        <v>45914</v>
      </c>
      <c r="F986" s="2" t="str">
        <f>VLOOKUP(Table1[[#This Row],[Customer_ID]],Customer_Dim!$A$2:$H$501,2,FALSE)</f>
        <v>Kaitlin Brown</v>
      </c>
      <c r="G986" s="2" t="str">
        <f>_xlfn.XLOOKUP(Table1[[#This Row],[Customer_ID]],Customer_Dim!$A$2:$A$501,Customer_Dim!$E$2:$E$501)</f>
        <v>Kellyberg</v>
      </c>
      <c r="H986" t="s">
        <v>1493</v>
      </c>
      <c r="I986" t="str">
        <f>VLOOKUP(Table1[[#This Row],[Product_ID]],Product_Dim!$A$2:$G$101,2,FALSE)</f>
        <v>Fabric Sofa Throw Blanket-Home</v>
      </c>
      <c r="J986" t="s">
        <v>1581</v>
      </c>
      <c r="K986" t="str">
        <f>VLOOKUP(Table1[[#This Row],[Store_ID]],Store_Dim!$A$3:$D$22,2,FALSE)</f>
        <v>Alexander Group-South</v>
      </c>
      <c r="L986" t="s">
        <v>1735</v>
      </c>
      <c r="M986" t="s">
        <v>3959</v>
      </c>
      <c r="N986" s="3">
        <v>465.42</v>
      </c>
      <c r="O986" s="4">
        <v>0.26</v>
      </c>
      <c r="P986" t="s">
        <v>1777</v>
      </c>
      <c r="Q986" s="4">
        <v>1377.6432</v>
      </c>
    </row>
    <row r="987" spans="1:17" x14ac:dyDescent="0.3">
      <c r="A987" t="s">
        <v>2759</v>
      </c>
      <c r="B987" t="str">
        <f t="shared" si="15"/>
        <v>Q2</v>
      </c>
      <c r="C987" t="str">
        <f>TEXT(Table1[[#This Row],[Order_Date]],"mmmm")</f>
        <v>April</v>
      </c>
      <c r="D987">
        <f>YEAR(Table1[[#This Row],[Order_Date]])</f>
        <v>2025</v>
      </c>
      <c r="E987" s="7">
        <v>45758</v>
      </c>
      <c r="F987" s="2" t="str">
        <f>VLOOKUP(Table1[[#This Row],[Customer_ID]],Customer_Dim!$A$2:$H$501,2,FALSE)</f>
        <v>Wayne Mcpherson</v>
      </c>
      <c r="G987" s="2" t="str">
        <f>_xlfn.XLOOKUP(Table1[[#This Row],[Customer_ID]],Customer_Dim!$A$2:$A$501,Customer_Dim!$E$2:$E$501)</f>
        <v>Edwardsfort</v>
      </c>
      <c r="H987" t="s">
        <v>205</v>
      </c>
      <c r="I987" t="str">
        <f>VLOOKUP(Table1[[#This Row],[Product_ID]],Product_Dim!$A$2:$G$101,2,FALSE)</f>
        <v>Men's Graphic T-Shirt-Clothing</v>
      </c>
      <c r="J987" t="s">
        <v>1525</v>
      </c>
      <c r="K987" t="str">
        <f>VLOOKUP(Table1[[#This Row],[Store_ID]],Store_Dim!$A$3:$D$22,2,FALSE)</f>
        <v>Aguirre-Keller-South</v>
      </c>
      <c r="L987" t="s">
        <v>1750</v>
      </c>
      <c r="M987" t="s">
        <v>3959</v>
      </c>
      <c r="N987" s="3">
        <v>880.26</v>
      </c>
      <c r="O987" s="4">
        <v>0.11</v>
      </c>
      <c r="P987" t="s">
        <v>1777</v>
      </c>
      <c r="Q987" s="4">
        <v>3133.7256000000002</v>
      </c>
    </row>
    <row r="988" spans="1:17" x14ac:dyDescent="0.3">
      <c r="A988" t="s">
        <v>2760</v>
      </c>
      <c r="B988" t="str">
        <f t="shared" si="15"/>
        <v>Q2</v>
      </c>
      <c r="C988" t="str">
        <f>TEXT(Table1[[#This Row],[Order_Date]],"mmmm")</f>
        <v>May</v>
      </c>
      <c r="D988">
        <f>YEAR(Table1[[#This Row],[Order_Date]])</f>
        <v>2024</v>
      </c>
      <c r="E988" s="7">
        <v>45429</v>
      </c>
      <c r="F988" s="2" t="str">
        <f>VLOOKUP(Table1[[#This Row],[Customer_ID]],Customer_Dim!$A$2:$H$501,2,FALSE)</f>
        <v>Sarah Smith</v>
      </c>
      <c r="G988" s="2" t="str">
        <f>_xlfn.XLOOKUP(Table1[[#This Row],[Customer_ID]],Customer_Dim!$A$2:$A$501,Customer_Dim!$E$2:$E$501)</f>
        <v>East Rodney</v>
      </c>
      <c r="H988" t="s">
        <v>1470</v>
      </c>
      <c r="I988" t="str">
        <f>VLOOKUP(Table1[[#This Row],[Product_ID]],Product_Dim!$A$2:$G$101,2,FALSE)</f>
        <v>HDMI Cable – 2m-Electronics</v>
      </c>
      <c r="J988" t="s">
        <v>1625</v>
      </c>
      <c r="K988" t="str">
        <f>VLOOKUP(Table1[[#This Row],[Store_ID]],Store_Dim!$A$3:$D$22,2,FALSE)</f>
        <v>Aguirre-Keller-South</v>
      </c>
      <c r="L988" t="s">
        <v>1750</v>
      </c>
      <c r="M988" t="s">
        <v>3958</v>
      </c>
      <c r="N988" s="3">
        <v>461.02</v>
      </c>
      <c r="O988" s="4">
        <v>0.28999999999999998</v>
      </c>
      <c r="P988" t="s">
        <v>1774</v>
      </c>
      <c r="Q988" s="4">
        <v>981.97259999999994</v>
      </c>
    </row>
    <row r="989" spans="1:17" x14ac:dyDescent="0.3">
      <c r="A989" t="s">
        <v>2761</v>
      </c>
      <c r="B989" t="str">
        <f t="shared" si="15"/>
        <v>Q4</v>
      </c>
      <c r="C989" t="str">
        <f>TEXT(Table1[[#This Row],[Order_Date]],"mmmm")</f>
        <v>October</v>
      </c>
      <c r="D989">
        <f>YEAR(Table1[[#This Row],[Order_Date]])</f>
        <v>2024</v>
      </c>
      <c r="E989" s="7">
        <v>45578</v>
      </c>
      <c r="F989" s="2" t="str">
        <f>VLOOKUP(Table1[[#This Row],[Customer_ID]],Customer_Dim!$A$2:$H$501,2,FALSE)</f>
        <v>Amber Carlson</v>
      </c>
      <c r="G989" s="2" t="str">
        <f>_xlfn.XLOOKUP(Table1[[#This Row],[Customer_ID]],Customer_Dim!$A$2:$A$501,Customer_Dim!$E$2:$E$501)</f>
        <v>East Michellemouth</v>
      </c>
      <c r="H989" t="s">
        <v>110</v>
      </c>
      <c r="I989" t="str">
        <f>VLOOKUP(Table1[[#This Row],[Product_ID]],Product_Dim!$A$2:$G$101,2,FALSE)</f>
        <v>Women's Scarf Set-Clothing</v>
      </c>
      <c r="J989" t="s">
        <v>1573</v>
      </c>
      <c r="K989" t="str">
        <f>VLOOKUP(Table1[[#This Row],[Store_ID]],Store_Dim!$A$3:$D$22,2,FALSE)</f>
        <v>Gardner, Humphrey and Contreras-East</v>
      </c>
      <c r="L989" t="s">
        <v>1753</v>
      </c>
      <c r="M989" t="s">
        <v>3957</v>
      </c>
      <c r="N989" s="3">
        <v>531.99</v>
      </c>
      <c r="O989" s="4">
        <v>0.17</v>
      </c>
      <c r="P989" t="s">
        <v>1774</v>
      </c>
      <c r="Q989" s="4">
        <v>441.55169999999998</v>
      </c>
    </row>
    <row r="990" spans="1:17" x14ac:dyDescent="0.3">
      <c r="A990" t="s">
        <v>2762</v>
      </c>
      <c r="B990" t="str">
        <f t="shared" si="15"/>
        <v>Q3</v>
      </c>
      <c r="C990" t="str">
        <f>TEXT(Table1[[#This Row],[Order_Date]],"mmmm")</f>
        <v>July</v>
      </c>
      <c r="D990">
        <f>YEAR(Table1[[#This Row],[Order_Date]])</f>
        <v>2024</v>
      </c>
      <c r="E990" s="7">
        <v>45486</v>
      </c>
      <c r="F990" s="2" t="str">
        <f>VLOOKUP(Table1[[#This Row],[Customer_ID]],Customer_Dim!$A$2:$H$501,2,FALSE)</f>
        <v>Caroline Collins</v>
      </c>
      <c r="G990" s="2" t="str">
        <f>_xlfn.XLOOKUP(Table1[[#This Row],[Customer_ID]],Customer_Dim!$A$2:$A$501,Customer_Dim!$E$2:$E$501)</f>
        <v>Nicholasshire</v>
      </c>
      <c r="H990" t="s">
        <v>27</v>
      </c>
      <c r="I990" t="str">
        <f>VLOOKUP(Table1[[#This Row],[Product_ID]],Product_Dim!$A$2:$G$101,2,FALSE)</f>
        <v>Makeup Brush Set-Beauty</v>
      </c>
      <c r="J990" t="s">
        <v>1617</v>
      </c>
      <c r="K990" t="str">
        <f>VLOOKUP(Table1[[#This Row],[Store_ID]],Store_Dim!$A$3:$D$22,2,FALSE)</f>
        <v>Holloway Ltd-North</v>
      </c>
      <c r="L990" t="s">
        <v>1759</v>
      </c>
      <c r="M990" t="s">
        <v>3960</v>
      </c>
      <c r="N990" s="3">
        <v>274.08999999999997</v>
      </c>
      <c r="O990" s="4">
        <v>0.13</v>
      </c>
      <c r="P990" t="s">
        <v>1774</v>
      </c>
      <c r="Q990" s="4">
        <v>476.91660000000002</v>
      </c>
    </row>
    <row r="991" spans="1:17" x14ac:dyDescent="0.3">
      <c r="A991" t="s">
        <v>2763</v>
      </c>
      <c r="B991" t="str">
        <f t="shared" si="15"/>
        <v>Q1</v>
      </c>
      <c r="C991" t="str">
        <f>TEXT(Table1[[#This Row],[Order_Date]],"mmmm")</f>
        <v>February</v>
      </c>
      <c r="D991">
        <f>YEAR(Table1[[#This Row],[Order_Date]])</f>
        <v>2025</v>
      </c>
      <c r="E991" s="7">
        <v>45694</v>
      </c>
      <c r="F991" s="2" t="str">
        <f>VLOOKUP(Table1[[#This Row],[Customer_ID]],Customer_Dim!$A$2:$H$501,2,FALSE)</f>
        <v>Adam Castro</v>
      </c>
      <c r="G991" s="2" t="str">
        <f>_xlfn.XLOOKUP(Table1[[#This Row],[Customer_ID]],Customer_Dim!$A$2:$A$501,Customer_Dim!$E$2:$E$501)</f>
        <v>New Donnabury</v>
      </c>
      <c r="H991" t="s">
        <v>1355</v>
      </c>
      <c r="I991" t="str">
        <f>VLOOKUP(Table1[[#This Row],[Product_ID]],Product_Dim!$A$2:$G$101,2,FALSE)</f>
        <v>Sports Wrist Sweatbands-Sports</v>
      </c>
      <c r="J991" t="s">
        <v>1699</v>
      </c>
      <c r="K991" t="str">
        <f>VLOOKUP(Table1[[#This Row],[Store_ID]],Store_Dim!$A$3:$D$22,2,FALSE)</f>
        <v>Hill, Wagner and Ballard-East</v>
      </c>
      <c r="L991" t="s">
        <v>1748</v>
      </c>
      <c r="M991" t="s">
        <v>3957</v>
      </c>
      <c r="N991" s="3">
        <v>66.14</v>
      </c>
      <c r="O991" s="4">
        <v>0.14000000000000001</v>
      </c>
      <c r="P991" t="s">
        <v>1777</v>
      </c>
      <c r="Q991" s="4">
        <v>56.880400000000002</v>
      </c>
    </row>
    <row r="992" spans="1:17" x14ac:dyDescent="0.3">
      <c r="A992" t="s">
        <v>2764</v>
      </c>
      <c r="B992" t="str">
        <f t="shared" si="15"/>
        <v>Q3</v>
      </c>
      <c r="C992" t="str">
        <f>TEXT(Table1[[#This Row],[Order_Date]],"mmmm")</f>
        <v>August</v>
      </c>
      <c r="D992">
        <f>YEAR(Table1[[#This Row],[Order_Date]])</f>
        <v>2025</v>
      </c>
      <c r="E992" s="7">
        <v>45875</v>
      </c>
      <c r="F992" s="2" t="str">
        <f>VLOOKUP(Table1[[#This Row],[Customer_ID]],Customer_Dim!$A$2:$H$501,2,FALSE)</f>
        <v>Katherine Young</v>
      </c>
      <c r="G992" s="2" t="str">
        <f>_xlfn.XLOOKUP(Table1[[#This Row],[Customer_ID]],Customer_Dim!$A$2:$A$501,Customer_Dim!$E$2:$E$501)</f>
        <v>North Valeriemouth</v>
      </c>
      <c r="H992" t="s">
        <v>278</v>
      </c>
      <c r="I992" t="str">
        <f>VLOOKUP(Table1[[#This Row],[Product_ID]],Product_Dim!$A$2:$G$101,2,FALSE)</f>
        <v>Outdoor Sports Water Bottle-Sports</v>
      </c>
      <c r="J992" t="s">
        <v>1563</v>
      </c>
      <c r="K992" t="str">
        <f>VLOOKUP(Table1[[#This Row],[Store_ID]],Store_Dim!$A$3:$D$22,2,FALSE)</f>
        <v>Moore, Padilla and Butler-South</v>
      </c>
      <c r="L992" t="s">
        <v>1746</v>
      </c>
      <c r="M992" t="s">
        <v>3958</v>
      </c>
      <c r="N992" s="3">
        <v>955.82</v>
      </c>
      <c r="O992" s="4">
        <v>0.16</v>
      </c>
      <c r="P992" t="s">
        <v>1777</v>
      </c>
      <c r="Q992" s="4">
        <v>2408.6664000000001</v>
      </c>
    </row>
    <row r="993" spans="1:17" x14ac:dyDescent="0.3">
      <c r="A993" t="s">
        <v>2765</v>
      </c>
      <c r="B993" t="str">
        <f t="shared" si="15"/>
        <v>Q2</v>
      </c>
      <c r="C993" t="str">
        <f>TEXT(Table1[[#This Row],[Order_Date]],"mmmm")</f>
        <v>May</v>
      </c>
      <c r="D993">
        <f>YEAR(Table1[[#This Row],[Order_Date]])</f>
        <v>2024</v>
      </c>
      <c r="E993" s="7">
        <v>45432</v>
      </c>
      <c r="F993" s="2" t="str">
        <f>VLOOKUP(Table1[[#This Row],[Customer_ID]],Customer_Dim!$A$2:$H$501,2,FALSE)</f>
        <v>Casey Simpson</v>
      </c>
      <c r="G993" s="2" t="str">
        <f>_xlfn.XLOOKUP(Table1[[#This Row],[Customer_ID]],Customer_Dim!$A$2:$A$501,Customer_Dim!$E$2:$E$501)</f>
        <v>West Mathewside</v>
      </c>
      <c r="H993" t="s">
        <v>995</v>
      </c>
      <c r="I993" t="str">
        <f>VLOOKUP(Table1[[#This Row],[Product_ID]],Product_Dim!$A$2:$G$101,2,FALSE)</f>
        <v>Carbon Fiber Tennis Racket-Sports</v>
      </c>
      <c r="J993" t="s">
        <v>1567</v>
      </c>
      <c r="K993" t="str">
        <f>VLOOKUP(Table1[[#This Row],[Store_ID]],Store_Dim!$A$3:$D$22,2,FALSE)</f>
        <v>Thomas, Bridges and Harris-North</v>
      </c>
      <c r="L993" t="s">
        <v>1751</v>
      </c>
      <c r="M993" t="s">
        <v>3957</v>
      </c>
      <c r="N993" s="3">
        <v>904.92</v>
      </c>
      <c r="O993" s="4">
        <v>0.13</v>
      </c>
      <c r="P993" t="s">
        <v>1772</v>
      </c>
      <c r="Q993" s="4">
        <v>787.28039999999999</v>
      </c>
    </row>
    <row r="994" spans="1:17" x14ac:dyDescent="0.3">
      <c r="A994" t="s">
        <v>2766</v>
      </c>
      <c r="B994" t="str">
        <f t="shared" si="15"/>
        <v>Q4</v>
      </c>
      <c r="C994" t="str">
        <f>TEXT(Table1[[#This Row],[Order_Date]],"mmmm")</f>
        <v>October</v>
      </c>
      <c r="D994">
        <f>YEAR(Table1[[#This Row],[Order_Date]])</f>
        <v>2024</v>
      </c>
      <c r="E994" s="7">
        <v>45575</v>
      </c>
      <c r="F994" s="2" t="str">
        <f>VLOOKUP(Table1[[#This Row],[Customer_ID]],Customer_Dim!$A$2:$H$501,2,FALSE)</f>
        <v xml:space="preserve">  Sheena Bonilla  </v>
      </c>
      <c r="G994" s="2" t="str">
        <f>_xlfn.XLOOKUP(Table1[[#This Row],[Customer_ID]],Customer_Dim!$A$2:$A$501,Customer_Dim!$E$2:$E$501)</f>
        <v>Donaldton</v>
      </c>
      <c r="H994" t="s">
        <v>8</v>
      </c>
      <c r="I994" t="str">
        <f>VLOOKUP(Table1[[#This Row],[Product_ID]],Product_Dim!$A$2:$G$101,2,FALSE)</f>
        <v>Noise-Canceling Headphones-Electronics</v>
      </c>
      <c r="J994" t="s">
        <v>1603</v>
      </c>
      <c r="K994" t="str">
        <f>VLOOKUP(Table1[[#This Row],[Store_ID]],Store_Dim!$A$3:$D$22,2,FALSE)</f>
        <v>Martinez-Mullins-South</v>
      </c>
      <c r="L994" t="s">
        <v>1742</v>
      </c>
      <c r="M994" t="s">
        <v>3958</v>
      </c>
      <c r="N994" s="3">
        <v>490.02</v>
      </c>
      <c r="O994" s="4">
        <v>0.26</v>
      </c>
      <c r="P994" t="s">
        <v>1772</v>
      </c>
      <c r="Q994" s="4">
        <v>1087.8444</v>
      </c>
    </row>
    <row r="995" spans="1:17" x14ac:dyDescent="0.3">
      <c r="A995" t="s">
        <v>2767</v>
      </c>
      <c r="B995" t="str">
        <f t="shared" si="15"/>
        <v>Q1</v>
      </c>
      <c r="C995" t="str">
        <f>TEXT(Table1[[#This Row],[Order_Date]],"mmmm")</f>
        <v>February</v>
      </c>
      <c r="D995">
        <f>YEAR(Table1[[#This Row],[Order_Date]])</f>
        <v>2024</v>
      </c>
      <c r="E995" s="7">
        <v>45340</v>
      </c>
      <c r="F995" s="2" t="str">
        <f>VLOOKUP(Table1[[#This Row],[Customer_ID]],Customer_Dim!$A$2:$H$501,2,FALSE)</f>
        <v>Elizabeth Smith</v>
      </c>
      <c r="G995" s="2" t="str">
        <f>_xlfn.XLOOKUP(Table1[[#This Row],[Customer_ID]],Customer_Dim!$A$2:$A$501,Customer_Dim!$E$2:$E$501)</f>
        <v>Murphytown</v>
      </c>
      <c r="H995" t="s">
        <v>1123</v>
      </c>
      <c r="I995" t="str">
        <f>VLOOKUP(Table1[[#This Row],[Product_ID]],Product_Dim!$A$2:$G$101,2,FALSE)</f>
        <v>Knee Support Brace-Sports</v>
      </c>
      <c r="J995" t="s">
        <v>1561</v>
      </c>
      <c r="K995" t="str">
        <f>VLOOKUP(Table1[[#This Row],[Store_ID]],Store_Dim!$A$3:$D$22,2,FALSE)</f>
        <v>Benson-Elliott-East</v>
      </c>
      <c r="L995" t="s">
        <v>1740</v>
      </c>
      <c r="M995" t="s">
        <v>3960</v>
      </c>
      <c r="N995" s="3">
        <v>957.54</v>
      </c>
      <c r="O995" s="4">
        <v>0.1</v>
      </c>
      <c r="P995" t="s">
        <v>1777</v>
      </c>
      <c r="Q995" s="4">
        <v>1723.5719999999999</v>
      </c>
    </row>
    <row r="996" spans="1:17" x14ac:dyDescent="0.3">
      <c r="A996" t="s">
        <v>2768</v>
      </c>
      <c r="B996" t="str">
        <f t="shared" si="15"/>
        <v>Q3</v>
      </c>
      <c r="C996" t="str">
        <f>TEXT(Table1[[#This Row],[Order_Date]],"mmmm")</f>
        <v>September</v>
      </c>
      <c r="D996">
        <f>YEAR(Table1[[#This Row],[Order_Date]])</f>
        <v>2025</v>
      </c>
      <c r="E996" s="7">
        <v>45926</v>
      </c>
      <c r="F996" s="2" t="str">
        <f>VLOOKUP(Table1[[#This Row],[Customer_ID]],Customer_Dim!$A$2:$H$501,2,FALSE)</f>
        <v>Victor Mcintosh</v>
      </c>
      <c r="G996" s="2" t="str">
        <f>_xlfn.XLOOKUP(Table1[[#This Row],[Customer_ID]],Customer_Dim!$A$2:$A$501,Customer_Dim!$E$2:$E$501)</f>
        <v>Tiffanyshire</v>
      </c>
      <c r="H996" t="s">
        <v>1024</v>
      </c>
      <c r="I996" t="str">
        <f>VLOOKUP(Table1[[#This Row],[Product_ID]],Product_Dim!$A$2:$G$101,2,FALSE)</f>
        <v>Stainless Steel Cookware Set-Home</v>
      </c>
      <c r="J996" t="s">
        <v>1721</v>
      </c>
      <c r="K996" t="str">
        <f>VLOOKUP(Table1[[#This Row],[Store_ID]],Store_Dim!$A$3:$D$22,2,FALSE)</f>
        <v>Gardner, Humphrey and Contreras-East</v>
      </c>
      <c r="L996" t="s">
        <v>1753</v>
      </c>
      <c r="M996" t="s">
        <v>3960</v>
      </c>
      <c r="N996" s="3">
        <v>314.39999999999998</v>
      </c>
      <c r="O996" s="4">
        <v>7.0000000000000007E-2</v>
      </c>
      <c r="P996" t="s">
        <v>1774</v>
      </c>
      <c r="Q996" s="4">
        <v>584.78399999999988</v>
      </c>
    </row>
    <row r="997" spans="1:17" x14ac:dyDescent="0.3">
      <c r="A997" t="s">
        <v>2769</v>
      </c>
      <c r="B997" t="str">
        <f t="shared" si="15"/>
        <v>Q1</v>
      </c>
      <c r="C997" t="str">
        <f>TEXT(Table1[[#This Row],[Order_Date]],"mmmm")</f>
        <v>March</v>
      </c>
      <c r="D997">
        <f>YEAR(Table1[[#This Row],[Order_Date]])</f>
        <v>2024</v>
      </c>
      <c r="E997" s="7">
        <v>45373</v>
      </c>
      <c r="F997" s="2" t="str">
        <f>VLOOKUP(Table1[[#This Row],[Customer_ID]],Customer_Dim!$A$2:$H$501,2,FALSE)</f>
        <v>Alejandro Evans</v>
      </c>
      <c r="G997" s="2" t="str">
        <f>_xlfn.XLOOKUP(Table1[[#This Row],[Customer_ID]],Customer_Dim!$A$2:$A$501,Customer_Dim!$E$2:$E$501)</f>
        <v>Cannonberg</v>
      </c>
      <c r="H997" t="s">
        <v>1216</v>
      </c>
      <c r="I997" t="str">
        <f>VLOOKUP(Table1[[#This Row],[Product_ID]],Product_Dim!$A$2:$G$101,2,FALSE)</f>
        <v>Foldable Camping Chair-Sports</v>
      </c>
      <c r="J997" t="s">
        <v>1571</v>
      </c>
      <c r="K997" t="str">
        <f>VLOOKUP(Table1[[#This Row],[Store_ID]],Store_Dim!$A$3:$D$22,2,FALSE)</f>
        <v>Benson-Elliott-East</v>
      </c>
      <c r="L997" t="s">
        <v>1740</v>
      </c>
      <c r="M997" t="s">
        <v>3958</v>
      </c>
      <c r="N997" s="3">
        <v>480.11</v>
      </c>
      <c r="O997" s="4">
        <v>0.11</v>
      </c>
      <c r="P997" t="s">
        <v>1774</v>
      </c>
      <c r="Q997" s="4">
        <v>1281.8937000000001</v>
      </c>
    </row>
    <row r="998" spans="1:17" x14ac:dyDescent="0.3">
      <c r="A998" t="s">
        <v>2770</v>
      </c>
      <c r="B998" t="str">
        <f t="shared" si="15"/>
        <v>Q4</v>
      </c>
      <c r="C998" t="str">
        <f>TEXT(Table1[[#This Row],[Order_Date]],"mmmm")</f>
        <v>October</v>
      </c>
      <c r="D998">
        <f>YEAR(Table1[[#This Row],[Order_Date]])</f>
        <v>2024</v>
      </c>
      <c r="E998" s="7">
        <v>45579</v>
      </c>
      <c r="F998" s="2" t="str">
        <f>VLOOKUP(Table1[[#This Row],[Customer_ID]],Customer_Dim!$A$2:$H$501,2,FALSE)</f>
        <v>Timothy Valenzuela</v>
      </c>
      <c r="G998" s="2" t="str">
        <f>_xlfn.XLOOKUP(Table1[[#This Row],[Customer_ID]],Customer_Dim!$A$2:$A$501,Customer_Dim!$E$2:$E$501)</f>
        <v>Stevensshire</v>
      </c>
      <c r="H998" t="s">
        <v>1198</v>
      </c>
      <c r="I998" t="str">
        <f>VLOOKUP(Table1[[#This Row],[Product_ID]],Product_Dim!$A$2:$G$101,2,FALSE)</f>
        <v>Car Dashboard Phone Holder-Electronics</v>
      </c>
      <c r="J998" t="s">
        <v>1619</v>
      </c>
      <c r="K998" t="str">
        <f>VLOOKUP(Table1[[#This Row],[Store_ID]],Store_Dim!$A$3:$D$22,2,FALSE)</f>
        <v>Benson-Elliott-East</v>
      </c>
      <c r="L998" t="s">
        <v>1740</v>
      </c>
      <c r="M998" t="s">
        <v>3959</v>
      </c>
      <c r="N998" s="3">
        <v>826.55</v>
      </c>
      <c r="O998" s="4">
        <v>0.28000000000000003</v>
      </c>
      <c r="P998" t="s">
        <v>1772</v>
      </c>
      <c r="Q998" s="4">
        <v>2380.4639999999999</v>
      </c>
    </row>
    <row r="999" spans="1:17" x14ac:dyDescent="0.3">
      <c r="A999" t="s">
        <v>2771</v>
      </c>
      <c r="B999" t="str">
        <f t="shared" si="15"/>
        <v>Q2</v>
      </c>
      <c r="C999" t="str">
        <f>TEXT(Table1[[#This Row],[Order_Date]],"mmmm")</f>
        <v>May</v>
      </c>
      <c r="D999">
        <f>YEAR(Table1[[#This Row],[Order_Date]])</f>
        <v>2025</v>
      </c>
      <c r="E999" s="7">
        <v>45805</v>
      </c>
      <c r="F999" s="2" t="str">
        <f>VLOOKUP(Table1[[#This Row],[Customer_ID]],Customer_Dim!$A$2:$H$501,2,FALSE)</f>
        <v>Christopher Stewart</v>
      </c>
      <c r="G999" s="2" t="str">
        <f>_xlfn.XLOOKUP(Table1[[#This Row],[Customer_ID]],Customer_Dim!$A$2:$A$501,Customer_Dim!$E$2:$E$501)</f>
        <v>Amandaside</v>
      </c>
      <c r="H999" t="s">
        <v>619</v>
      </c>
      <c r="I999" t="str">
        <f>VLOOKUP(Table1[[#This Row],[Product_ID]],Product_Dim!$A$2:$G$101,2,FALSE)</f>
        <v>Decorative Floor Vase-Home</v>
      </c>
      <c r="J999" t="s">
        <v>1577</v>
      </c>
      <c r="K999" t="str">
        <f>VLOOKUP(Table1[[#This Row],[Store_ID]],Store_Dim!$A$3:$D$22,2,FALSE)</f>
        <v>Johnson-Wright-North</v>
      </c>
      <c r="L999" t="s">
        <v>1733</v>
      </c>
      <c r="M999" t="s">
        <v>3958</v>
      </c>
      <c r="N999" s="3">
        <v>530.16999999999996</v>
      </c>
      <c r="O999" s="4">
        <v>0.18</v>
      </c>
      <c r="P999" t="s">
        <v>1774</v>
      </c>
      <c r="Q999" s="4">
        <v>1304.2182</v>
      </c>
    </row>
    <row r="1000" spans="1:17" x14ac:dyDescent="0.3">
      <c r="A1000" t="s">
        <v>2772</v>
      </c>
      <c r="B1000" t="str">
        <f t="shared" si="15"/>
        <v>Q3</v>
      </c>
      <c r="C1000" t="str">
        <f>TEXT(Table1[[#This Row],[Order_Date]],"mmmm")</f>
        <v>August</v>
      </c>
      <c r="D1000">
        <f>YEAR(Table1[[#This Row],[Order_Date]])</f>
        <v>2024</v>
      </c>
      <c r="E1000" s="7">
        <v>45522</v>
      </c>
      <c r="F1000" s="2" t="str">
        <f>VLOOKUP(Table1[[#This Row],[Customer_ID]],Customer_Dim!$A$2:$H$501,2,FALSE)</f>
        <v>Joseph Mendoza</v>
      </c>
      <c r="G1000" s="2" t="str">
        <f>_xlfn.XLOOKUP(Table1[[#This Row],[Customer_ID]],Customer_Dim!$A$2:$A$501,Customer_Dim!$E$2:$E$501)</f>
        <v>Ashleymouth</v>
      </c>
      <c r="H1000" t="s">
        <v>1252</v>
      </c>
      <c r="I1000" t="str">
        <f>VLOOKUP(Table1[[#This Row],[Product_ID]],Product_Dim!$A$2:$G$101,2,FALSE)</f>
        <v>Gaming Mechanical Keyboard-Electronics</v>
      </c>
      <c r="J1000" t="s">
        <v>1591</v>
      </c>
      <c r="K1000" t="str">
        <f>VLOOKUP(Table1[[#This Row],[Store_ID]],Store_Dim!$A$3:$D$22,2,FALSE)</f>
        <v>Holloway Ltd-North</v>
      </c>
      <c r="L1000" t="s">
        <v>1759</v>
      </c>
      <c r="M1000" t="s">
        <v>3958</v>
      </c>
      <c r="N1000" s="3">
        <v>336.17</v>
      </c>
      <c r="O1000" s="4">
        <v>0.04</v>
      </c>
      <c r="P1000" t="s">
        <v>1777</v>
      </c>
      <c r="Q1000" s="4">
        <v>968.16959999999995</v>
      </c>
    </row>
    <row r="1001" spans="1:17" x14ac:dyDescent="0.3">
      <c r="A1001" t="s">
        <v>2773</v>
      </c>
      <c r="B1001" t="str">
        <f t="shared" si="15"/>
        <v>Q1</v>
      </c>
      <c r="C1001" t="str">
        <f>TEXT(Table1[[#This Row],[Order_Date]],"mmmm")</f>
        <v>January</v>
      </c>
      <c r="D1001">
        <f>YEAR(Table1[[#This Row],[Order_Date]])</f>
        <v>2024</v>
      </c>
      <c r="E1001" s="7">
        <v>45304</v>
      </c>
      <c r="F1001" s="2" t="str">
        <f>VLOOKUP(Table1[[#This Row],[Customer_ID]],Customer_Dim!$A$2:$H$501,2,FALSE)</f>
        <v>Holly Robinson</v>
      </c>
      <c r="G1001" s="2" t="str">
        <f>_xlfn.XLOOKUP(Table1[[#This Row],[Customer_ID]],Customer_Dim!$A$2:$A$501,Customer_Dim!$E$2:$E$501)</f>
        <v>East Amy</v>
      </c>
      <c r="H1001" t="s">
        <v>1292</v>
      </c>
      <c r="I1001" t="str">
        <f>VLOOKUP(Table1[[#This Row],[Product_ID]],Product_Dim!$A$2:$G$101,2,FALSE)</f>
        <v>Badminton Racket Set-Sports</v>
      </c>
      <c r="J1001" t="s">
        <v>1685</v>
      </c>
      <c r="K1001" t="str">
        <f>VLOOKUP(Table1[[#This Row],[Store_ID]],Store_Dim!$A$3:$D$22,2,FALSE)</f>
        <v>Bean, Jones and Park-West</v>
      </c>
      <c r="L1001" t="s">
        <v>1744</v>
      </c>
      <c r="M1001" t="s">
        <v>3959</v>
      </c>
      <c r="N1001" s="3">
        <v>22.51</v>
      </c>
      <c r="O1001" s="4">
        <v>0.27</v>
      </c>
      <c r="P1001" t="s">
        <v>1774</v>
      </c>
      <c r="Q1001" s="4">
        <v>65.729200000000006</v>
      </c>
    </row>
    <row r="1002" spans="1:17" x14ac:dyDescent="0.3">
      <c r="A1002" t="s">
        <v>2774</v>
      </c>
      <c r="B1002" t="str">
        <f t="shared" si="15"/>
        <v>Q2</v>
      </c>
      <c r="C1002" t="str">
        <f>TEXT(Table1[[#This Row],[Order_Date]],"mmmm")</f>
        <v>June</v>
      </c>
      <c r="D1002">
        <f>YEAR(Table1[[#This Row],[Order_Date]])</f>
        <v>2024</v>
      </c>
      <c r="E1002" s="7">
        <v>45456</v>
      </c>
      <c r="F1002" s="2" t="str">
        <f>VLOOKUP(Table1[[#This Row],[Customer_ID]],Customer_Dim!$A$2:$H$501,2,FALSE)</f>
        <v>Christopher Stewart</v>
      </c>
      <c r="G1002" s="2" t="str">
        <f>_xlfn.XLOOKUP(Table1[[#This Row],[Customer_ID]],Customer_Dim!$A$2:$A$501,Customer_Dim!$E$2:$E$501)</f>
        <v>Amandaside</v>
      </c>
      <c r="H1002" t="s">
        <v>619</v>
      </c>
      <c r="I1002" t="str">
        <f>VLOOKUP(Table1[[#This Row],[Product_ID]],Product_Dim!$A$2:$G$101,2,FALSE)</f>
        <v>Men's Hair Styling Gel-Beauty</v>
      </c>
      <c r="J1002" t="s">
        <v>1641</v>
      </c>
      <c r="K1002" t="str">
        <f>VLOOKUP(Table1[[#This Row],[Store_ID]],Store_Dim!$A$3:$D$22,2,FALSE)</f>
        <v>Black-Horn-South</v>
      </c>
      <c r="L1002" t="s">
        <v>1730</v>
      </c>
      <c r="M1002" t="s">
        <v>3960</v>
      </c>
      <c r="N1002" s="3">
        <v>909.51</v>
      </c>
      <c r="O1002" s="4">
        <v>0.27</v>
      </c>
      <c r="P1002" t="s">
        <v>1772</v>
      </c>
      <c r="Q1002" s="4">
        <v>1327.8846000000001</v>
      </c>
    </row>
    <row r="1003" spans="1:17" x14ac:dyDescent="0.3">
      <c r="A1003" t="s">
        <v>2775</v>
      </c>
      <c r="B1003" t="str">
        <f t="shared" si="15"/>
        <v>Q2</v>
      </c>
      <c r="C1003" t="str">
        <f>TEXT(Table1[[#This Row],[Order_Date]],"mmmm")</f>
        <v>April</v>
      </c>
      <c r="D1003">
        <f>YEAR(Table1[[#This Row],[Order_Date]])</f>
        <v>2025</v>
      </c>
      <c r="E1003" s="7">
        <v>45776</v>
      </c>
      <c r="F1003" s="2" t="str">
        <f>VLOOKUP(Table1[[#This Row],[Customer_ID]],Customer_Dim!$A$2:$H$501,2,FALSE)</f>
        <v>Debra Liu</v>
      </c>
      <c r="G1003" s="2" t="str">
        <f>_xlfn.XLOOKUP(Table1[[#This Row],[Customer_ID]],Customer_Dim!$A$2:$A$501,Customer_Dim!$E$2:$E$501)</f>
        <v>South Timtown</v>
      </c>
      <c r="H1003" t="s">
        <v>195</v>
      </c>
      <c r="I1003" t="str">
        <f>VLOOKUP(Table1[[#This Row],[Product_ID]],Product_Dim!$A$2:$G$101,2,FALSE)</f>
        <v>Men's Sports Shorts-Clothing</v>
      </c>
      <c r="J1003" t="s">
        <v>1661</v>
      </c>
      <c r="K1003" t="str">
        <f>VLOOKUP(Table1[[#This Row],[Store_ID]],Store_Dim!$A$3:$D$22,2,FALSE)</f>
        <v>Mcdonald Inc-South</v>
      </c>
      <c r="L1003" t="s">
        <v>1754</v>
      </c>
      <c r="M1003" t="s">
        <v>3959</v>
      </c>
      <c r="N1003" s="3">
        <v>593.84</v>
      </c>
      <c r="O1003" s="4">
        <v>0.24</v>
      </c>
      <c r="P1003" t="s">
        <v>1774</v>
      </c>
      <c r="Q1003" s="4">
        <v>1805.2736</v>
      </c>
    </row>
    <row r="1004" spans="1:17" x14ac:dyDescent="0.3">
      <c r="A1004" t="s">
        <v>2776</v>
      </c>
      <c r="B1004" t="str">
        <f t="shared" si="15"/>
        <v>Q4</v>
      </c>
      <c r="C1004" t="str">
        <f>TEXT(Table1[[#This Row],[Order_Date]],"mmmm")</f>
        <v>October</v>
      </c>
      <c r="D1004">
        <f>YEAR(Table1[[#This Row],[Order_Date]])</f>
        <v>2024</v>
      </c>
      <c r="E1004" s="7">
        <v>45566</v>
      </c>
      <c r="F1004" s="2" t="str">
        <f>VLOOKUP(Table1[[#This Row],[Customer_ID]],Customer_Dim!$A$2:$H$501,2,FALSE)</f>
        <v>Amy Walker</v>
      </c>
      <c r="G1004" s="2" t="str">
        <f>_xlfn.XLOOKUP(Table1[[#This Row],[Customer_ID]],Customer_Dim!$A$2:$A$501,Customer_Dim!$E$2:$E$501)</f>
        <v>Smithland</v>
      </c>
      <c r="H1004" t="s">
        <v>379</v>
      </c>
      <c r="I1004" t="str">
        <f>VLOOKUP(Table1[[#This Row],[Product_ID]],Product_Dim!$A$2:$G$101,2,FALSE)</f>
        <v>Shin Guards – Adult-Sports</v>
      </c>
      <c r="J1004" t="s">
        <v>1669</v>
      </c>
      <c r="K1004" t="str">
        <f>VLOOKUP(Table1[[#This Row],[Store_ID]],Store_Dim!$A$3:$D$22,2,FALSE)</f>
        <v>Hill, Wagner and Ballard-East</v>
      </c>
      <c r="L1004" t="s">
        <v>1748</v>
      </c>
      <c r="M1004" t="s">
        <v>3958</v>
      </c>
      <c r="N1004" s="3">
        <v>909.11</v>
      </c>
      <c r="O1004" s="4">
        <v>0.23</v>
      </c>
      <c r="P1004" t="s">
        <v>1777</v>
      </c>
      <c r="Q1004" s="4">
        <v>2100.0441000000001</v>
      </c>
    </row>
    <row r="1005" spans="1:17" x14ac:dyDescent="0.3">
      <c r="A1005" t="s">
        <v>2777</v>
      </c>
      <c r="B1005" t="str">
        <f t="shared" si="15"/>
        <v>Q3</v>
      </c>
      <c r="C1005" t="str">
        <f>TEXT(Table1[[#This Row],[Order_Date]],"mmmm")</f>
        <v>September</v>
      </c>
      <c r="D1005">
        <f>YEAR(Table1[[#This Row],[Order_Date]])</f>
        <v>2024</v>
      </c>
      <c r="E1005" s="7">
        <v>45542</v>
      </c>
      <c r="F1005" s="2" t="str">
        <f>VLOOKUP(Table1[[#This Row],[Customer_ID]],Customer_Dim!$A$2:$H$501,2,FALSE)</f>
        <v>John Donaldson</v>
      </c>
      <c r="G1005" s="2" t="str">
        <f>_xlfn.XLOOKUP(Table1[[#This Row],[Customer_ID]],Customer_Dim!$A$2:$A$501,Customer_Dim!$E$2:$E$501)</f>
        <v>New Edward</v>
      </c>
      <c r="H1005" t="s">
        <v>1229</v>
      </c>
      <c r="I1005" t="str">
        <f>VLOOKUP(Table1[[#This Row],[Product_ID]],Product_Dim!$A$2:$G$101,2,FALSE)</f>
        <v>Foldable Camping Chair-Sports</v>
      </c>
      <c r="J1005" t="s">
        <v>1571</v>
      </c>
      <c r="K1005" t="str">
        <f>VLOOKUP(Table1[[#This Row],[Store_ID]],Store_Dim!$A$3:$D$22,2,FALSE)</f>
        <v>Martinez, Adkins and Johnson-North</v>
      </c>
      <c r="L1005" t="s">
        <v>1728</v>
      </c>
      <c r="M1005" t="s">
        <v>3959</v>
      </c>
      <c r="N1005" s="3">
        <v>996.85</v>
      </c>
      <c r="O1005" s="4">
        <v>0.24</v>
      </c>
      <c r="P1005" t="s">
        <v>1774</v>
      </c>
      <c r="Q1005" s="4">
        <v>3030.424</v>
      </c>
    </row>
    <row r="1006" spans="1:17" x14ac:dyDescent="0.3">
      <c r="A1006" t="s">
        <v>2778</v>
      </c>
      <c r="B1006" t="str">
        <f t="shared" si="15"/>
        <v>Q2</v>
      </c>
      <c r="C1006" t="str">
        <f>TEXT(Table1[[#This Row],[Order_Date]],"mmmm")</f>
        <v>June</v>
      </c>
      <c r="D1006">
        <f>YEAR(Table1[[#This Row],[Order_Date]])</f>
        <v>2025</v>
      </c>
      <c r="E1006" s="7">
        <v>45834</v>
      </c>
      <c r="F1006" s="2" t="str">
        <f>VLOOKUP(Table1[[#This Row],[Customer_ID]],Customer_Dim!$A$2:$H$501,2,FALSE)</f>
        <v>Matthew Avery</v>
      </c>
      <c r="G1006" s="2" t="str">
        <f>_xlfn.XLOOKUP(Table1[[#This Row],[Customer_ID]],Customer_Dim!$A$2:$A$501,Customer_Dim!$E$2:$E$501)</f>
        <v>Lake Melissashire</v>
      </c>
      <c r="H1006" t="s">
        <v>939</v>
      </c>
      <c r="I1006" t="str">
        <f>VLOOKUP(Table1[[#This Row],[Product_ID]],Product_Dim!$A$2:$G$101,2,FALSE)</f>
        <v>Brother Laser Printer-Electronics</v>
      </c>
      <c r="J1006" t="s">
        <v>1523</v>
      </c>
      <c r="K1006" t="str">
        <f>VLOOKUP(Table1[[#This Row],[Store_ID]],Store_Dim!$A$3:$D$22,2,FALSE)</f>
        <v>Holloway Ltd-North</v>
      </c>
      <c r="L1006" t="s">
        <v>1759</v>
      </c>
      <c r="M1006" t="s">
        <v>3957</v>
      </c>
      <c r="N1006" s="3">
        <v>522.69000000000005</v>
      </c>
      <c r="O1006" s="4">
        <v>0.06</v>
      </c>
      <c r="P1006" t="s">
        <v>1777</v>
      </c>
      <c r="Q1006" s="4">
        <v>491.32860000000011</v>
      </c>
    </row>
    <row r="1007" spans="1:17" x14ac:dyDescent="0.3">
      <c r="A1007" t="s">
        <v>2779</v>
      </c>
      <c r="B1007" t="str">
        <f t="shared" si="15"/>
        <v>Q2</v>
      </c>
      <c r="C1007" t="str">
        <f>TEXT(Table1[[#This Row],[Order_Date]],"mmmm")</f>
        <v>April</v>
      </c>
      <c r="D1007">
        <f>YEAR(Table1[[#This Row],[Order_Date]])</f>
        <v>2024</v>
      </c>
      <c r="E1007" s="7">
        <v>45405</v>
      </c>
      <c r="F1007" s="2" t="str">
        <f>VLOOKUP(Table1[[#This Row],[Customer_ID]],Customer_Dim!$A$2:$H$501,2,FALSE)</f>
        <v>Ashley Ferguson</v>
      </c>
      <c r="G1007" s="2" t="str">
        <f>_xlfn.XLOOKUP(Table1[[#This Row],[Customer_ID]],Customer_Dim!$A$2:$A$501,Customer_Dim!$E$2:$E$501)</f>
        <v>Sarahmouth</v>
      </c>
      <c r="H1007" t="s">
        <v>631</v>
      </c>
      <c r="I1007" t="str">
        <f>VLOOKUP(Table1[[#This Row],[Product_ID]],Product_Dim!$A$2:$G$101,2,FALSE)</f>
        <v>Sports Stopwatch Pro-Sports</v>
      </c>
      <c r="J1007" t="s">
        <v>1631</v>
      </c>
      <c r="K1007" t="str">
        <f>VLOOKUP(Table1[[#This Row],[Store_ID]],Store_Dim!$A$3:$D$22,2,FALSE)</f>
        <v>Johnson-Wright-North</v>
      </c>
      <c r="L1007" t="s">
        <v>1733</v>
      </c>
      <c r="M1007" t="s">
        <v>3958</v>
      </c>
      <c r="N1007" s="3">
        <v>261.05</v>
      </c>
      <c r="O1007" s="4">
        <v>0.12</v>
      </c>
      <c r="P1007" t="s">
        <v>1774</v>
      </c>
      <c r="Q1007" s="4">
        <v>689.17200000000014</v>
      </c>
    </row>
    <row r="1008" spans="1:17" x14ac:dyDescent="0.3">
      <c r="A1008" t="s">
        <v>2780</v>
      </c>
      <c r="B1008" t="str">
        <f t="shared" si="15"/>
        <v>Q3</v>
      </c>
      <c r="C1008" t="str">
        <f>TEXT(Table1[[#This Row],[Order_Date]],"mmmm")</f>
        <v>September</v>
      </c>
      <c r="D1008">
        <f>YEAR(Table1[[#This Row],[Order_Date]])</f>
        <v>2025</v>
      </c>
      <c r="E1008" s="7">
        <v>45918</v>
      </c>
      <c r="F1008" s="2" t="str">
        <f>VLOOKUP(Table1[[#This Row],[Customer_ID]],Customer_Dim!$A$2:$H$501,2,FALSE)</f>
        <v>Melissa Duffy Md</v>
      </c>
      <c r="G1008" s="2" t="str">
        <f>_xlfn.XLOOKUP(Table1[[#This Row],[Customer_ID]],Customer_Dim!$A$2:$A$501,Customer_Dim!$E$2:$E$501)</f>
        <v>East Jenna</v>
      </c>
      <c r="H1008" t="s">
        <v>310</v>
      </c>
      <c r="I1008" t="str">
        <f>VLOOKUP(Table1[[#This Row],[Product_ID]],Product_Dim!$A$2:$G$101,2,FALSE)</f>
        <v>Men's Formal Shirt-Clothing</v>
      </c>
      <c r="J1008" t="s">
        <v>1569</v>
      </c>
      <c r="K1008" t="str">
        <f>VLOOKUP(Table1[[#This Row],[Store_ID]],Store_Dim!$A$3:$D$22,2,FALSE)</f>
        <v>Holloway Ltd-North</v>
      </c>
      <c r="L1008" t="s">
        <v>1759</v>
      </c>
      <c r="M1008" t="s">
        <v>3958</v>
      </c>
      <c r="N1008" s="3">
        <v>644.73</v>
      </c>
      <c r="O1008" s="4">
        <v>0.01</v>
      </c>
      <c r="P1008" t="s">
        <v>1777</v>
      </c>
      <c r="Q1008" s="4">
        <v>1914.8480999999999</v>
      </c>
    </row>
    <row r="1009" spans="1:17" x14ac:dyDescent="0.3">
      <c r="A1009" t="s">
        <v>2781</v>
      </c>
      <c r="B1009" t="str">
        <f t="shared" si="15"/>
        <v>Q4</v>
      </c>
      <c r="C1009" t="str">
        <f>TEXT(Table1[[#This Row],[Order_Date]],"mmmm")</f>
        <v>October</v>
      </c>
      <c r="D1009">
        <f>YEAR(Table1[[#This Row],[Order_Date]])</f>
        <v>2023</v>
      </c>
      <c r="E1009" s="7">
        <v>45217</v>
      </c>
      <c r="F1009" s="2" t="str">
        <f>VLOOKUP(Table1[[#This Row],[Customer_ID]],Customer_Dim!$A$2:$H$501,2,FALSE)</f>
        <v>Wanda Snyder</v>
      </c>
      <c r="G1009" s="2" t="str">
        <f>_xlfn.XLOOKUP(Table1[[#This Row],[Customer_ID]],Customer_Dim!$A$2:$A$501,Customer_Dim!$E$2:$E$501)</f>
        <v>Frostmouth</v>
      </c>
      <c r="H1009" t="s">
        <v>642</v>
      </c>
      <c r="I1009" t="str">
        <f>VLOOKUP(Table1[[#This Row],[Product_ID]],Product_Dim!$A$2:$G$101,2,FALSE)</f>
        <v>Women's Ankle Boots-Clothing</v>
      </c>
      <c r="J1009" t="s">
        <v>1673</v>
      </c>
      <c r="K1009" t="str">
        <f>VLOOKUP(Table1[[#This Row],[Store_ID]],Store_Dim!$A$3:$D$22,2,FALSE)</f>
        <v>Black-Horn-South</v>
      </c>
      <c r="L1009" t="s">
        <v>1730</v>
      </c>
      <c r="M1009" t="s">
        <v>3960</v>
      </c>
      <c r="N1009" s="3">
        <v>541.52</v>
      </c>
      <c r="O1009" s="4">
        <v>0.26</v>
      </c>
      <c r="P1009" t="s">
        <v>1774</v>
      </c>
      <c r="Q1009" s="4">
        <v>801.44959999999992</v>
      </c>
    </row>
    <row r="1010" spans="1:17" x14ac:dyDescent="0.3">
      <c r="A1010" t="s">
        <v>2782</v>
      </c>
      <c r="B1010" t="str">
        <f t="shared" si="15"/>
        <v>Q4</v>
      </c>
      <c r="C1010" t="str">
        <f>TEXT(Table1[[#This Row],[Order_Date]],"mmmm")</f>
        <v>November</v>
      </c>
      <c r="D1010">
        <f>YEAR(Table1[[#This Row],[Order_Date]])</f>
        <v>2023</v>
      </c>
      <c r="E1010" s="7">
        <v>45259</v>
      </c>
      <c r="F1010" s="2" t="str">
        <f>VLOOKUP(Table1[[#This Row],[Customer_ID]],Customer_Dim!$A$2:$H$501,2,FALSE)</f>
        <v>Jeanette Nichols</v>
      </c>
      <c r="G1010" s="2" t="str">
        <f>_xlfn.XLOOKUP(Table1[[#This Row],[Customer_ID]],Customer_Dim!$A$2:$A$501,Customer_Dim!$E$2:$E$501)</f>
        <v>Aguilarland</v>
      </c>
      <c r="H1010" t="s">
        <v>1306</v>
      </c>
      <c r="I1010" t="str">
        <f>VLOOKUP(Table1[[#This Row],[Product_ID]],Product_Dim!$A$2:$G$101,2,FALSE)</f>
        <v>Organic Sunscreen Lotion-Beauty</v>
      </c>
      <c r="J1010" t="s">
        <v>1649</v>
      </c>
      <c r="K1010" t="str">
        <f>VLOOKUP(Table1[[#This Row],[Store_ID]],Store_Dim!$A$3:$D$22,2,FALSE)</f>
        <v>Hill, Wagner and Ballard-East</v>
      </c>
      <c r="L1010" t="s">
        <v>1748</v>
      </c>
      <c r="M1010" t="s">
        <v>3957</v>
      </c>
      <c r="N1010" s="3">
        <v>395.18</v>
      </c>
      <c r="O1010" s="4">
        <v>0.09</v>
      </c>
      <c r="P1010" t="s">
        <v>1774</v>
      </c>
      <c r="Q1010" s="4">
        <v>359.61380000000003</v>
      </c>
    </row>
    <row r="1011" spans="1:17" x14ac:dyDescent="0.3">
      <c r="A1011" t="s">
        <v>2783</v>
      </c>
      <c r="B1011" t="str">
        <f t="shared" si="15"/>
        <v>Q1</v>
      </c>
      <c r="C1011" t="str">
        <f>TEXT(Table1[[#This Row],[Order_Date]],"mmmm")</f>
        <v>March</v>
      </c>
      <c r="D1011">
        <f>YEAR(Table1[[#This Row],[Order_Date]])</f>
        <v>2025</v>
      </c>
      <c r="E1011" s="7">
        <v>45740</v>
      </c>
      <c r="F1011" s="2" t="str">
        <f>VLOOKUP(Table1[[#This Row],[Customer_ID]],Customer_Dim!$A$2:$H$501,2,FALSE)</f>
        <v>Diane Watson</v>
      </c>
      <c r="G1011" s="2" t="str">
        <f>_xlfn.XLOOKUP(Table1[[#This Row],[Customer_ID]],Customer_Dim!$A$2:$A$501,Customer_Dim!$E$2:$E$501)</f>
        <v>North Codyport</v>
      </c>
      <c r="H1011" t="s">
        <v>351</v>
      </c>
      <c r="I1011" t="str">
        <f>VLOOKUP(Table1[[#This Row],[Product_ID]],Product_Dim!$A$2:$G$101,2,FALSE)</f>
        <v>Wireless Bluetooth Earbuds-Electronics</v>
      </c>
      <c r="J1011" t="s">
        <v>1539</v>
      </c>
      <c r="K1011" t="str">
        <f>VLOOKUP(Table1[[#This Row],[Store_ID]],Store_Dim!$A$3:$D$22,2,FALSE)</f>
        <v>Bean, Jones and Park-West</v>
      </c>
      <c r="L1011" t="s">
        <v>1744</v>
      </c>
      <c r="M1011" t="s">
        <v>3959</v>
      </c>
      <c r="N1011" s="3">
        <v>56.37</v>
      </c>
      <c r="O1011" s="4">
        <v>0.17</v>
      </c>
      <c r="P1011" t="s">
        <v>1772</v>
      </c>
      <c r="Q1011" s="4">
        <v>187.14840000000001</v>
      </c>
    </row>
    <row r="1012" spans="1:17" x14ac:dyDescent="0.3">
      <c r="A1012" t="s">
        <v>2784</v>
      </c>
      <c r="B1012" t="str">
        <f t="shared" si="15"/>
        <v>Q3</v>
      </c>
      <c r="C1012" t="str">
        <f>TEXT(Table1[[#This Row],[Order_Date]],"mmmm")</f>
        <v>September</v>
      </c>
      <c r="D1012">
        <f>YEAR(Table1[[#This Row],[Order_Date]])</f>
        <v>2025</v>
      </c>
      <c r="E1012" s="7">
        <v>45908</v>
      </c>
      <c r="F1012" s="2" t="str">
        <f>VLOOKUP(Table1[[#This Row],[Customer_ID]],Customer_Dim!$A$2:$H$501,2,FALSE)</f>
        <v>Joan Johnson</v>
      </c>
      <c r="G1012" s="2" t="str">
        <f>_xlfn.XLOOKUP(Table1[[#This Row],[Customer_ID]],Customer_Dim!$A$2:$A$501,Customer_Dim!$E$2:$E$501)</f>
        <v>Lake Josephport</v>
      </c>
      <c r="H1012" t="s">
        <v>675</v>
      </c>
      <c r="I1012" t="str">
        <f>VLOOKUP(Table1[[#This Row],[Product_ID]],Product_Dim!$A$2:$G$101,2,FALSE)</f>
        <v>Decorative Lamp Shade-Home</v>
      </c>
      <c r="J1012" t="s">
        <v>1681</v>
      </c>
      <c r="K1012" t="str">
        <f>VLOOKUP(Table1[[#This Row],[Store_ID]],Store_Dim!$A$3:$D$22,2,FALSE)</f>
        <v>Moore, Padilla and Butler-South</v>
      </c>
      <c r="L1012" t="s">
        <v>1746</v>
      </c>
      <c r="M1012" t="s">
        <v>3959</v>
      </c>
      <c r="N1012" s="3">
        <v>202.59</v>
      </c>
      <c r="O1012" s="4">
        <v>0.06</v>
      </c>
      <c r="P1012" t="s">
        <v>1777</v>
      </c>
      <c r="Q1012" s="4">
        <v>761.73839999999996</v>
      </c>
    </row>
    <row r="1013" spans="1:17" x14ac:dyDescent="0.3">
      <c r="A1013" t="s">
        <v>2785</v>
      </c>
      <c r="B1013" t="str">
        <f t="shared" si="15"/>
        <v>Q4</v>
      </c>
      <c r="C1013" t="str">
        <f>TEXT(Table1[[#This Row],[Order_Date]],"mmmm")</f>
        <v>November</v>
      </c>
      <c r="D1013">
        <f>YEAR(Table1[[#This Row],[Order_Date]])</f>
        <v>2024</v>
      </c>
      <c r="E1013" s="7">
        <v>45601</v>
      </c>
      <c r="F1013" s="2" t="str">
        <f>VLOOKUP(Table1[[#This Row],[Customer_ID]],Customer_Dim!$A$2:$H$501,2,FALSE)</f>
        <v>Caroline Collins</v>
      </c>
      <c r="G1013" s="2" t="str">
        <f>_xlfn.XLOOKUP(Table1[[#This Row],[Customer_ID]],Customer_Dim!$A$2:$A$501,Customer_Dim!$E$2:$E$501)</f>
        <v>Nicholasshire</v>
      </c>
      <c r="H1013" t="s">
        <v>27</v>
      </c>
      <c r="I1013" t="str">
        <f>VLOOKUP(Table1[[#This Row],[Product_ID]],Product_Dim!$A$2:$G$101,2,FALSE)</f>
        <v>Badminton Racket Set-Sports</v>
      </c>
      <c r="J1013" t="s">
        <v>1685</v>
      </c>
      <c r="K1013" t="str">
        <f>VLOOKUP(Table1[[#This Row],[Store_ID]],Store_Dim!$A$3:$D$22,2,FALSE)</f>
        <v>Gray Ltd-North</v>
      </c>
      <c r="L1013" t="s">
        <v>1738</v>
      </c>
      <c r="M1013" t="s">
        <v>3960</v>
      </c>
      <c r="N1013" s="3">
        <v>358.36</v>
      </c>
      <c r="O1013" s="4">
        <v>0.05</v>
      </c>
      <c r="P1013" t="s">
        <v>1774</v>
      </c>
      <c r="Q1013" s="4">
        <v>680.88400000000001</v>
      </c>
    </row>
    <row r="1014" spans="1:17" x14ac:dyDescent="0.3">
      <c r="A1014" t="s">
        <v>2786</v>
      </c>
      <c r="B1014" t="str">
        <f t="shared" si="15"/>
        <v>Q3</v>
      </c>
      <c r="C1014" t="str">
        <f>TEXT(Table1[[#This Row],[Order_Date]],"mmmm")</f>
        <v>August</v>
      </c>
      <c r="D1014">
        <f>YEAR(Table1[[#This Row],[Order_Date]])</f>
        <v>2024</v>
      </c>
      <c r="E1014" s="7">
        <v>45535</v>
      </c>
      <c r="F1014" s="2" t="str">
        <f>VLOOKUP(Table1[[#This Row],[Customer_ID]],Customer_Dim!$A$2:$H$501,2,FALSE)</f>
        <v>Tonya Burch</v>
      </c>
      <c r="G1014" s="2" t="str">
        <f>_xlfn.XLOOKUP(Table1[[#This Row],[Customer_ID]],Customer_Dim!$A$2:$A$501,Customer_Dim!$E$2:$E$501)</f>
        <v>Olsonhaven</v>
      </c>
      <c r="H1014" t="s">
        <v>261</v>
      </c>
      <c r="I1014" t="str">
        <f>VLOOKUP(Table1[[#This Row],[Product_ID]],Product_Dim!$A$2:$G$101,2,FALSE)</f>
        <v>Men's Casual Sneakers-Clothing</v>
      </c>
      <c r="J1014" t="s">
        <v>1597</v>
      </c>
      <c r="K1014" t="str">
        <f>VLOOKUP(Table1[[#This Row],[Store_ID]],Store_Dim!$A$3:$D$22,2,FALSE)</f>
        <v>Guerrero-Schmitt-East</v>
      </c>
      <c r="L1014" t="s">
        <v>1761</v>
      </c>
      <c r="M1014" t="s">
        <v>3959</v>
      </c>
      <c r="N1014" s="3">
        <v>85.62</v>
      </c>
      <c r="O1014" s="4">
        <v>0.28000000000000003</v>
      </c>
      <c r="P1014" t="s">
        <v>1777</v>
      </c>
      <c r="Q1014" s="4">
        <v>246.5856</v>
      </c>
    </row>
    <row r="1015" spans="1:17" x14ac:dyDescent="0.3">
      <c r="A1015" t="s">
        <v>2787</v>
      </c>
      <c r="B1015" t="str">
        <f t="shared" si="15"/>
        <v>Q2</v>
      </c>
      <c r="C1015" t="str">
        <f>TEXT(Table1[[#This Row],[Order_Date]],"mmmm")</f>
        <v>June</v>
      </c>
      <c r="D1015">
        <f>YEAR(Table1[[#This Row],[Order_Date]])</f>
        <v>2024</v>
      </c>
      <c r="E1015" s="7">
        <v>45459</v>
      </c>
      <c r="F1015" s="2" t="str">
        <f>VLOOKUP(Table1[[#This Row],[Customer_ID]],Customer_Dim!$A$2:$H$501,2,FALSE)</f>
        <v>Brent Rivas</v>
      </c>
      <c r="G1015" s="2" t="str">
        <f>_xlfn.XLOOKUP(Table1[[#This Row],[Customer_ID]],Customer_Dim!$A$2:$A$501,Customer_Dim!$E$2:$E$501)</f>
        <v>North Kellyberg</v>
      </c>
      <c r="H1015" t="s">
        <v>604</v>
      </c>
      <c r="I1015" t="str">
        <f>VLOOKUP(Table1[[#This Row],[Product_ID]],Product_Dim!$A$2:$G$101,2,FALSE)</f>
        <v>LED Table Lamp-Home</v>
      </c>
      <c r="J1015" t="s">
        <v>1537</v>
      </c>
      <c r="K1015" t="str">
        <f>VLOOKUP(Table1[[#This Row],[Store_ID]],Store_Dim!$A$3:$D$22,2,FALSE)</f>
        <v>Holloway Ltd-North</v>
      </c>
      <c r="L1015" t="s">
        <v>1759</v>
      </c>
      <c r="M1015" t="s">
        <v>3959</v>
      </c>
      <c r="N1015" s="3">
        <v>929.26</v>
      </c>
      <c r="O1015" s="4">
        <v>0.23</v>
      </c>
      <c r="P1015" t="s">
        <v>1774</v>
      </c>
      <c r="Q1015" s="4">
        <v>2862.1208000000001</v>
      </c>
    </row>
    <row r="1016" spans="1:17" x14ac:dyDescent="0.3">
      <c r="A1016" t="s">
        <v>2788</v>
      </c>
      <c r="B1016" t="str">
        <f t="shared" si="15"/>
        <v>Q1</v>
      </c>
      <c r="C1016" t="str">
        <f>TEXT(Table1[[#This Row],[Order_Date]],"mmmm")</f>
        <v>January</v>
      </c>
      <c r="D1016">
        <f>YEAR(Table1[[#This Row],[Order_Date]])</f>
        <v>2025</v>
      </c>
      <c r="E1016" s="7">
        <v>45681</v>
      </c>
      <c r="F1016" s="2" t="str">
        <f>VLOOKUP(Table1[[#This Row],[Customer_ID]],Customer_Dim!$A$2:$H$501,2,FALSE)</f>
        <v>Stacy Collins</v>
      </c>
      <c r="G1016" s="2" t="str">
        <f>_xlfn.XLOOKUP(Table1[[#This Row],[Customer_ID]],Customer_Dim!$A$2:$A$501,Customer_Dim!$E$2:$E$501)</f>
        <v>Randychester</v>
      </c>
      <c r="H1016" t="s">
        <v>965</v>
      </c>
      <c r="I1016" t="str">
        <f>VLOOKUP(Table1[[#This Row],[Product_ID]],Product_Dim!$A$2:$G$101,2,FALSE)</f>
        <v>Luxury Perfume Spray-Beauty</v>
      </c>
      <c r="J1016" t="s">
        <v>1643</v>
      </c>
      <c r="K1016" t="str">
        <f>VLOOKUP(Table1[[#This Row],[Store_ID]],Store_Dim!$A$3:$D$22,2,FALSE)</f>
        <v>Gardner, Humphrey and Contreras-East</v>
      </c>
      <c r="L1016" t="s">
        <v>1753</v>
      </c>
      <c r="M1016" t="s">
        <v>3960</v>
      </c>
      <c r="N1016" s="3">
        <v>92.64</v>
      </c>
      <c r="O1016" s="4">
        <v>0.14000000000000001</v>
      </c>
      <c r="P1016" t="s">
        <v>1777</v>
      </c>
      <c r="Q1016" s="4">
        <v>159.3408</v>
      </c>
    </row>
    <row r="1017" spans="1:17" x14ac:dyDescent="0.3">
      <c r="A1017" t="s">
        <v>2789</v>
      </c>
      <c r="B1017" t="str">
        <f t="shared" si="15"/>
        <v>Q1</v>
      </c>
      <c r="C1017" t="str">
        <f>TEXT(Table1[[#This Row],[Order_Date]],"mmmm")</f>
        <v>March</v>
      </c>
      <c r="D1017">
        <f>YEAR(Table1[[#This Row],[Order_Date]])</f>
        <v>2025</v>
      </c>
      <c r="E1017" s="7">
        <v>45725</v>
      </c>
      <c r="F1017" s="2" t="str">
        <f>VLOOKUP(Table1[[#This Row],[Customer_ID]],Customer_Dim!$A$2:$H$501,2,FALSE)</f>
        <v>Nicholas Webb</v>
      </c>
      <c r="G1017" s="2" t="str">
        <f>_xlfn.XLOOKUP(Table1[[#This Row],[Customer_ID]],Customer_Dim!$A$2:$A$501,Customer_Dim!$E$2:$E$501)</f>
        <v>Lake Timothy</v>
      </c>
      <c r="H1017" t="s">
        <v>788</v>
      </c>
      <c r="I1017" t="str">
        <f>VLOOKUP(Table1[[#This Row],[Product_ID]],Product_Dim!$A$2:$G$101,2,FALSE)</f>
        <v>Laptop Cooling Pad-Electronics</v>
      </c>
      <c r="J1017" t="s">
        <v>1647</v>
      </c>
      <c r="K1017" t="str">
        <f>VLOOKUP(Table1[[#This Row],[Store_ID]],Store_Dim!$A$3:$D$22,2,FALSE)</f>
        <v>Alexander Group-South</v>
      </c>
      <c r="L1017" t="s">
        <v>1735</v>
      </c>
      <c r="M1017" t="s">
        <v>3959</v>
      </c>
      <c r="N1017" s="3">
        <v>139.05000000000001</v>
      </c>
      <c r="O1017" s="4">
        <v>0.28999999999999998</v>
      </c>
      <c r="P1017" t="s">
        <v>1777</v>
      </c>
      <c r="Q1017" s="4">
        <v>394.90199999999999</v>
      </c>
    </row>
    <row r="1018" spans="1:17" x14ac:dyDescent="0.3">
      <c r="A1018" t="s">
        <v>2790</v>
      </c>
      <c r="B1018" t="str">
        <f t="shared" si="15"/>
        <v>Q2</v>
      </c>
      <c r="C1018" t="str">
        <f>TEXT(Table1[[#This Row],[Order_Date]],"mmmm")</f>
        <v>June</v>
      </c>
      <c r="D1018">
        <f>YEAR(Table1[[#This Row],[Order_Date]])</f>
        <v>2024</v>
      </c>
      <c r="E1018" s="7">
        <v>45461</v>
      </c>
      <c r="F1018" s="2" t="str">
        <f>VLOOKUP(Table1[[#This Row],[Customer_ID]],Customer_Dim!$A$2:$H$501,2,FALSE)</f>
        <v>Patty Francis</v>
      </c>
      <c r="G1018" s="2" t="str">
        <f>_xlfn.XLOOKUP(Table1[[#This Row],[Customer_ID]],Customer_Dim!$A$2:$A$501,Customer_Dim!$E$2:$E$501)</f>
        <v>South Brooke</v>
      </c>
      <c r="H1018" t="s">
        <v>470</v>
      </c>
      <c r="I1018" t="str">
        <f>VLOOKUP(Table1[[#This Row],[Product_ID]],Product_Dim!$A$2:$G$101,2,FALSE)</f>
        <v>Men's Track Pants-Clothing</v>
      </c>
      <c r="J1018" t="s">
        <v>1629</v>
      </c>
      <c r="K1018" t="str">
        <f>VLOOKUP(Table1[[#This Row],[Store_ID]],Store_Dim!$A$3:$D$22,2,FALSE)</f>
        <v>Alexander Group-South</v>
      </c>
      <c r="L1018" t="s">
        <v>1735</v>
      </c>
      <c r="M1018" t="s">
        <v>3958</v>
      </c>
      <c r="N1018" s="3">
        <v>155.87</v>
      </c>
      <c r="O1018" s="4">
        <v>0.03</v>
      </c>
      <c r="P1018" t="s">
        <v>1777</v>
      </c>
      <c r="Q1018" s="4">
        <v>453.58170000000001</v>
      </c>
    </row>
    <row r="1019" spans="1:17" x14ac:dyDescent="0.3">
      <c r="A1019" t="s">
        <v>2791</v>
      </c>
      <c r="B1019" t="str">
        <f t="shared" si="15"/>
        <v>Q2</v>
      </c>
      <c r="C1019" t="str">
        <f>TEXT(Table1[[#This Row],[Order_Date]],"mmmm")</f>
        <v>June</v>
      </c>
      <c r="D1019">
        <f>YEAR(Table1[[#This Row],[Order_Date]])</f>
        <v>2025</v>
      </c>
      <c r="E1019" s="7">
        <v>45837</v>
      </c>
      <c r="F1019" s="2" t="str">
        <f>VLOOKUP(Table1[[#This Row],[Customer_ID]],Customer_Dim!$A$2:$H$501,2,FALSE)</f>
        <v>Kelli Smith</v>
      </c>
      <c r="G1019" s="2" t="str">
        <f>_xlfn.XLOOKUP(Table1[[#This Row],[Customer_ID]],Customer_Dim!$A$2:$A$501,Customer_Dim!$E$2:$E$501)</f>
        <v>North Maryfort</v>
      </c>
      <c r="H1019" t="s">
        <v>1352</v>
      </c>
      <c r="I1019" t="str">
        <f>VLOOKUP(Table1[[#This Row],[Product_ID]],Product_Dim!$A$2:$G$101,2,FALSE)</f>
        <v>Gaming Mechanical Keyboard-Electronics</v>
      </c>
      <c r="J1019" t="s">
        <v>1591</v>
      </c>
      <c r="K1019" t="str">
        <f>VLOOKUP(Table1[[#This Row],[Store_ID]],Store_Dim!$A$3:$D$22,2,FALSE)</f>
        <v>Frederick-Wright-West</v>
      </c>
      <c r="L1019" t="s">
        <v>1757</v>
      </c>
      <c r="M1019" t="s">
        <v>3959</v>
      </c>
      <c r="N1019" s="3">
        <v>115.42</v>
      </c>
      <c r="O1019" s="4">
        <v>0.03</v>
      </c>
      <c r="P1019" t="s">
        <v>1777</v>
      </c>
      <c r="Q1019" s="4">
        <v>447.82960000000003</v>
      </c>
    </row>
    <row r="1020" spans="1:17" x14ac:dyDescent="0.3">
      <c r="A1020" t="s">
        <v>2792</v>
      </c>
      <c r="B1020" t="str">
        <f t="shared" si="15"/>
        <v>Q2</v>
      </c>
      <c r="C1020" t="str">
        <f>TEXT(Table1[[#This Row],[Order_Date]],"mmmm")</f>
        <v>June</v>
      </c>
      <c r="D1020">
        <f>YEAR(Table1[[#This Row],[Order_Date]])</f>
        <v>2025</v>
      </c>
      <c r="E1020" s="7">
        <v>45823</v>
      </c>
      <c r="F1020" s="2" t="str">
        <f>VLOOKUP(Table1[[#This Row],[Customer_ID]],Customer_Dim!$A$2:$H$501,2,FALSE)</f>
        <v>Michael Chang</v>
      </c>
      <c r="G1020" s="2" t="str">
        <f>_xlfn.XLOOKUP(Table1[[#This Row],[Customer_ID]],Customer_Dim!$A$2:$A$501,Customer_Dim!$E$2:$E$501)</f>
        <v>Kathrynport</v>
      </c>
      <c r="H1020" t="s">
        <v>417</v>
      </c>
      <c r="I1020" t="str">
        <f>VLOOKUP(Table1[[#This Row],[Product_ID]],Product_Dim!$A$2:$G$101,2,FALSE)</f>
        <v>Rugby Ball-Sports</v>
      </c>
      <c r="J1020" t="s">
        <v>1627</v>
      </c>
      <c r="K1020" t="str">
        <f>VLOOKUP(Table1[[#This Row],[Store_ID]],Store_Dim!$A$3:$D$22,2,FALSE)</f>
        <v>Benson-Elliott-East</v>
      </c>
      <c r="L1020" t="s">
        <v>1740</v>
      </c>
      <c r="M1020" t="s">
        <v>3958</v>
      </c>
      <c r="N1020" s="3">
        <v>593.62</v>
      </c>
      <c r="O1020" s="4">
        <v>0.08</v>
      </c>
      <c r="P1020" t="s">
        <v>1772</v>
      </c>
      <c r="Q1020" s="4">
        <v>1638.3912</v>
      </c>
    </row>
    <row r="1021" spans="1:17" x14ac:dyDescent="0.3">
      <c r="A1021" t="s">
        <v>2793</v>
      </c>
      <c r="B1021" t="str">
        <f t="shared" si="15"/>
        <v>Q1</v>
      </c>
      <c r="C1021" t="str">
        <f>TEXT(Table1[[#This Row],[Order_Date]],"mmmm")</f>
        <v>March</v>
      </c>
      <c r="D1021">
        <f>YEAR(Table1[[#This Row],[Order_Date]])</f>
        <v>2025</v>
      </c>
      <c r="E1021" s="7">
        <v>45733</v>
      </c>
      <c r="F1021" s="2" t="str">
        <f>VLOOKUP(Table1[[#This Row],[Customer_ID]],Customer_Dim!$A$2:$H$501,2,FALSE)</f>
        <v xml:space="preserve">   Laura Green</v>
      </c>
      <c r="G1021" s="2" t="str">
        <f>_xlfn.XLOOKUP(Table1[[#This Row],[Customer_ID]],Customer_Dim!$A$2:$A$501,Customer_Dim!$E$2:$E$501)</f>
        <v>Westbury</v>
      </c>
      <c r="H1021" t="s">
        <v>1095</v>
      </c>
      <c r="I1021" t="str">
        <f>VLOOKUP(Table1[[#This Row],[Product_ID]],Product_Dim!$A$2:$G$101,2,FALSE)</f>
        <v>High-Grip Football-Sports</v>
      </c>
      <c r="J1021" t="s">
        <v>1613</v>
      </c>
      <c r="K1021" t="str">
        <f>VLOOKUP(Table1[[#This Row],[Store_ID]],Store_Dim!$A$3:$D$22,2,FALSE)</f>
        <v>Alexander Group-South</v>
      </c>
      <c r="L1021" t="s">
        <v>1735</v>
      </c>
      <c r="M1021" t="s">
        <v>3960</v>
      </c>
      <c r="N1021" s="3">
        <v>825.04</v>
      </c>
      <c r="O1021" s="4">
        <v>0.2</v>
      </c>
      <c r="P1021" t="s">
        <v>1772</v>
      </c>
      <c r="Q1021" s="4">
        <v>1320.0640000000001</v>
      </c>
    </row>
    <row r="1022" spans="1:17" x14ac:dyDescent="0.3">
      <c r="A1022" t="s">
        <v>2794</v>
      </c>
      <c r="B1022" t="str">
        <f t="shared" si="15"/>
        <v>Q1</v>
      </c>
      <c r="C1022" t="str">
        <f>TEXT(Table1[[#This Row],[Order_Date]],"mmmm")</f>
        <v>January</v>
      </c>
      <c r="D1022">
        <f>YEAR(Table1[[#This Row],[Order_Date]])</f>
        <v>2024</v>
      </c>
      <c r="E1022" s="7">
        <v>45322</v>
      </c>
      <c r="F1022" s="2" t="s">
        <v>3826</v>
      </c>
      <c r="G1022" s="2" t="s">
        <v>3826</v>
      </c>
      <c r="H1022" t="s">
        <v>1415</v>
      </c>
      <c r="I1022" t="str">
        <f>VLOOKUP(Table1[[#This Row],[Product_ID]],Product_Dim!$A$2:$G$101,2,FALSE)</f>
        <v>Women's Scarf Set-Clothing</v>
      </c>
      <c r="J1022" t="s">
        <v>1573</v>
      </c>
      <c r="K1022" t="str">
        <f>VLOOKUP(Table1[[#This Row],[Store_ID]],Store_Dim!$A$3:$D$22,2,FALSE)</f>
        <v>Gardner, Humphrey and Contreras-East</v>
      </c>
      <c r="L1022" t="s">
        <v>1753</v>
      </c>
      <c r="M1022" t="s">
        <v>3957</v>
      </c>
      <c r="N1022" s="3">
        <v>963.76</v>
      </c>
      <c r="O1022" s="4">
        <v>0.14000000000000001</v>
      </c>
      <c r="P1022" t="s">
        <v>1774</v>
      </c>
      <c r="Q1022" s="4">
        <v>828.83359999999993</v>
      </c>
    </row>
    <row r="1023" spans="1:17" x14ac:dyDescent="0.3">
      <c r="A1023" t="s">
        <v>2795</v>
      </c>
      <c r="B1023" t="str">
        <f t="shared" si="15"/>
        <v>Q2</v>
      </c>
      <c r="C1023" t="str">
        <f>TEXT(Table1[[#This Row],[Order_Date]],"mmmm")</f>
        <v>May</v>
      </c>
      <c r="D1023">
        <f>YEAR(Table1[[#This Row],[Order_Date]])</f>
        <v>2024</v>
      </c>
      <c r="E1023" s="7">
        <v>45415</v>
      </c>
      <c r="F1023" s="2" t="str">
        <f>VLOOKUP(Table1[[#This Row],[Customer_ID]],Customer_Dim!$A$2:$H$501,2,FALSE)</f>
        <v>Ricardo Jones</v>
      </c>
      <c r="G1023" s="2" t="str">
        <f>_xlfn.XLOOKUP(Table1[[#This Row],[Customer_ID]],Customer_Dim!$A$2:$A$501,Customer_Dim!$E$2:$E$501)</f>
        <v>Danielland</v>
      </c>
      <c r="H1023" t="s">
        <v>917</v>
      </c>
      <c r="I1023" t="str">
        <f>VLOOKUP(Table1[[#This Row],[Product_ID]],Product_Dim!$A$2:$G$101,2,FALSE)</f>
        <v>Ceramic Plant Pot-Home</v>
      </c>
      <c r="J1023" t="s">
        <v>1633</v>
      </c>
      <c r="K1023" t="str">
        <f>VLOOKUP(Table1[[#This Row],[Store_ID]],Store_Dim!$A$3:$D$22,2,FALSE)</f>
        <v>Benson-Elliott-East</v>
      </c>
      <c r="L1023" t="s">
        <v>1740</v>
      </c>
      <c r="M1023" t="s">
        <v>3957</v>
      </c>
      <c r="N1023" s="3">
        <v>238.24</v>
      </c>
      <c r="O1023" s="4">
        <v>0.12</v>
      </c>
      <c r="P1023" t="s">
        <v>1774</v>
      </c>
      <c r="Q1023" s="4">
        <v>209.65119999999999</v>
      </c>
    </row>
    <row r="1024" spans="1:17" x14ac:dyDescent="0.3">
      <c r="A1024" t="s">
        <v>2796</v>
      </c>
      <c r="B1024" t="str">
        <f t="shared" si="15"/>
        <v>Q4</v>
      </c>
      <c r="C1024" t="str">
        <f>TEXT(Table1[[#This Row],[Order_Date]],"mmmm")</f>
        <v>December</v>
      </c>
      <c r="D1024">
        <f>YEAR(Table1[[#This Row],[Order_Date]])</f>
        <v>2024</v>
      </c>
      <c r="E1024" s="7">
        <v>45644</v>
      </c>
      <c r="F1024" s="2" t="str">
        <f>VLOOKUP(Table1[[#This Row],[Customer_ID]],Customer_Dim!$A$2:$H$501,2,FALSE)</f>
        <v>Christina Robertson</v>
      </c>
      <c r="G1024" s="2" t="str">
        <f>_xlfn.XLOOKUP(Table1[[#This Row],[Customer_ID]],Customer_Dim!$A$2:$A$501,Customer_Dim!$E$2:$E$501)</f>
        <v>Hubbardborough</v>
      </c>
      <c r="H1024" t="s">
        <v>1395</v>
      </c>
      <c r="I1024" t="str">
        <f>VLOOKUP(Table1[[#This Row],[Product_ID]],Product_Dim!$A$2:$G$101,2,FALSE)</f>
        <v>Fitness Resistance Bands-Sports</v>
      </c>
      <c r="J1024" t="s">
        <v>1687</v>
      </c>
      <c r="K1024" t="str">
        <f>VLOOKUP(Table1[[#This Row],[Store_ID]],Store_Dim!$A$3:$D$22,2,FALSE)</f>
        <v>Frederick-Wright-West</v>
      </c>
      <c r="L1024" t="s">
        <v>1757</v>
      </c>
      <c r="M1024" t="s">
        <v>3957</v>
      </c>
      <c r="N1024" s="3">
        <v>756.63</v>
      </c>
      <c r="O1024" s="4">
        <v>0.04</v>
      </c>
      <c r="P1024" t="s">
        <v>1774</v>
      </c>
      <c r="Q1024" s="4">
        <v>726.36479999999995</v>
      </c>
    </row>
    <row r="1025" spans="1:17" x14ac:dyDescent="0.3">
      <c r="A1025" t="s">
        <v>2797</v>
      </c>
      <c r="B1025" t="str">
        <f t="shared" si="15"/>
        <v>Q3</v>
      </c>
      <c r="C1025" t="str">
        <f>TEXT(Table1[[#This Row],[Order_Date]],"mmmm")</f>
        <v>July</v>
      </c>
      <c r="D1025">
        <f>YEAR(Table1[[#This Row],[Order_Date]])</f>
        <v>2025</v>
      </c>
      <c r="E1025" s="7">
        <v>45845</v>
      </c>
      <c r="F1025" s="2" t="str">
        <f>VLOOKUP(Table1[[#This Row],[Customer_ID]],Customer_Dim!$A$2:$H$501,2,FALSE)</f>
        <v>Michael Torres</v>
      </c>
      <c r="G1025" s="2" t="str">
        <f>_xlfn.XLOOKUP(Table1[[#This Row],[Customer_ID]],Customer_Dim!$A$2:$A$501,Customer_Dim!$E$2:$E$501)</f>
        <v>Gonzalezfort</v>
      </c>
      <c r="H1025" t="s">
        <v>85</v>
      </c>
      <c r="I1025" t="str">
        <f>VLOOKUP(Table1[[#This Row],[Product_ID]],Product_Dim!$A$2:$G$101,2,FALSE)</f>
        <v>USB-C Laptop Charger-Electronics</v>
      </c>
      <c r="J1025" t="s">
        <v>1709</v>
      </c>
      <c r="K1025" t="str">
        <f>VLOOKUP(Table1[[#This Row],[Store_ID]],Store_Dim!$A$3:$D$22,2,FALSE)</f>
        <v>Martinez-Mullins-South</v>
      </c>
      <c r="L1025" t="s">
        <v>1742</v>
      </c>
      <c r="M1025" t="s">
        <v>3958</v>
      </c>
      <c r="N1025" s="3">
        <v>159.76</v>
      </c>
      <c r="O1025" s="4">
        <v>0.22</v>
      </c>
      <c r="P1025" t="s">
        <v>1772</v>
      </c>
      <c r="Q1025" s="4">
        <v>373.83839999999998</v>
      </c>
    </row>
    <row r="1026" spans="1:17" x14ac:dyDescent="0.3">
      <c r="A1026" t="s">
        <v>2798</v>
      </c>
      <c r="B1026" t="str">
        <f t="shared" ref="B1026:B1089" si="16">"Q" &amp;ROUNDUP(MONTH(E1026)/3,0)</f>
        <v>Q1</v>
      </c>
      <c r="C1026" t="str">
        <f>TEXT(Table1[[#This Row],[Order_Date]],"mmmm")</f>
        <v>March</v>
      </c>
      <c r="D1026">
        <f>YEAR(Table1[[#This Row],[Order_Date]])</f>
        <v>2024</v>
      </c>
      <c r="E1026" s="7">
        <v>45354</v>
      </c>
      <c r="F1026" s="2" t="str">
        <f>VLOOKUP(Table1[[#This Row],[Customer_ID]],Customer_Dim!$A$2:$H$501,2,FALSE)</f>
        <v>Miranda King</v>
      </c>
      <c r="G1026" s="2" t="str">
        <f>_xlfn.XLOOKUP(Table1[[#This Row],[Customer_ID]],Customer_Dim!$A$2:$A$501,Customer_Dim!$E$2:$E$501)</f>
        <v>West Mathew</v>
      </c>
      <c r="H1026" t="s">
        <v>1138</v>
      </c>
      <c r="I1026" t="str">
        <f>VLOOKUP(Table1[[#This Row],[Product_ID]],Product_Dim!$A$2:$G$101,2,FALSE)</f>
        <v>Sports Stopwatch Basic-Sports</v>
      </c>
      <c r="J1026" t="s">
        <v>1713</v>
      </c>
      <c r="K1026" t="str">
        <f>VLOOKUP(Table1[[#This Row],[Store_ID]],Store_Dim!$A$3:$D$22,2,FALSE)</f>
        <v>Bean, Jones and Park-West</v>
      </c>
      <c r="L1026" t="s">
        <v>1744</v>
      </c>
      <c r="M1026" t="s">
        <v>3957</v>
      </c>
      <c r="N1026" s="3">
        <v>329.94</v>
      </c>
      <c r="O1026" s="4">
        <v>0.14000000000000001</v>
      </c>
      <c r="P1026" t="s">
        <v>1777</v>
      </c>
      <c r="Q1026" s="4">
        <v>283.7484</v>
      </c>
    </row>
    <row r="1027" spans="1:17" x14ac:dyDescent="0.3">
      <c r="A1027" t="s">
        <v>2799</v>
      </c>
      <c r="B1027" t="str">
        <f t="shared" si="16"/>
        <v>Q1</v>
      </c>
      <c r="C1027" t="str">
        <f>TEXT(Table1[[#This Row],[Order_Date]],"mmmm")</f>
        <v>March</v>
      </c>
      <c r="D1027">
        <f>YEAR(Table1[[#This Row],[Order_Date]])</f>
        <v>2025</v>
      </c>
      <c r="E1027" s="7">
        <v>45720</v>
      </c>
      <c r="F1027" s="2" t="str">
        <f>VLOOKUP(Table1[[#This Row],[Customer_ID]],Customer_Dim!$A$2:$H$501,2,FALSE)</f>
        <v>Dr. David Smith</v>
      </c>
      <c r="G1027" s="2" t="str">
        <f>_xlfn.XLOOKUP(Table1[[#This Row],[Customer_ID]],Customer_Dim!$A$2:$A$501,Customer_Dim!$E$2:$E$501)</f>
        <v>Schmidtchester</v>
      </c>
      <c r="H1027" t="s">
        <v>221</v>
      </c>
      <c r="I1027" t="str">
        <f>VLOOKUP(Table1[[#This Row],[Product_ID]],Product_Dim!$A$2:$G$101,2,FALSE)</f>
        <v>Soccer Training Cone Set-Sports</v>
      </c>
      <c r="J1027" t="s">
        <v>1557</v>
      </c>
      <c r="K1027" t="str">
        <f>VLOOKUP(Table1[[#This Row],[Store_ID]],Store_Dim!$A$3:$D$22,2,FALSE)</f>
        <v>Bean, Jones and Park-West</v>
      </c>
      <c r="L1027" t="s">
        <v>1744</v>
      </c>
      <c r="M1027" t="s">
        <v>3957</v>
      </c>
      <c r="N1027" s="3">
        <v>234.06</v>
      </c>
      <c r="O1027" s="4">
        <v>0.11</v>
      </c>
      <c r="P1027" t="s">
        <v>1774</v>
      </c>
      <c r="Q1027" s="4">
        <v>208.3134</v>
      </c>
    </row>
    <row r="1028" spans="1:17" x14ac:dyDescent="0.3">
      <c r="A1028" t="s">
        <v>2800</v>
      </c>
      <c r="B1028" t="str">
        <f t="shared" si="16"/>
        <v>Q4</v>
      </c>
      <c r="C1028" t="str">
        <f>TEXT(Table1[[#This Row],[Order_Date]],"mmmm")</f>
        <v>December</v>
      </c>
      <c r="D1028">
        <f>YEAR(Table1[[#This Row],[Order_Date]])</f>
        <v>2023</v>
      </c>
      <c r="E1028" s="7">
        <v>45278</v>
      </c>
      <c r="F1028" s="2" t="str">
        <f>VLOOKUP(Table1[[#This Row],[Customer_ID]],Customer_Dim!$A$2:$H$501,2,FALSE)</f>
        <v>Tiffany Williams</v>
      </c>
      <c r="G1028" s="2" t="str">
        <f>_xlfn.XLOOKUP(Table1[[#This Row],[Customer_ID]],Customer_Dim!$A$2:$A$501,Customer_Dim!$E$2:$E$501)</f>
        <v>Richardsport</v>
      </c>
      <c r="H1028" t="s">
        <v>989</v>
      </c>
      <c r="I1028" t="str">
        <f>VLOOKUP(Table1[[#This Row],[Product_ID]],Product_Dim!$A$2:$G$101,2,FALSE)</f>
        <v>Badminton Racket Set-Sports</v>
      </c>
      <c r="J1028" t="s">
        <v>1685</v>
      </c>
      <c r="K1028" t="str">
        <f>VLOOKUP(Table1[[#This Row],[Store_ID]],Store_Dim!$A$3:$D$22,2,FALSE)</f>
        <v>Rivera-Warner-East</v>
      </c>
      <c r="L1028" t="s">
        <v>1725</v>
      </c>
      <c r="M1028" t="s">
        <v>3960</v>
      </c>
      <c r="N1028" s="3">
        <v>773.75</v>
      </c>
      <c r="O1028" s="4">
        <v>0.16</v>
      </c>
      <c r="P1028" t="s">
        <v>1774</v>
      </c>
      <c r="Q1028" s="4">
        <v>1299.9000000000001</v>
      </c>
    </row>
    <row r="1029" spans="1:17" x14ac:dyDescent="0.3">
      <c r="A1029" t="s">
        <v>2801</v>
      </c>
      <c r="B1029" t="str">
        <f t="shared" si="16"/>
        <v>Q2</v>
      </c>
      <c r="C1029" t="str">
        <f>TEXT(Table1[[#This Row],[Order_Date]],"mmmm")</f>
        <v>May</v>
      </c>
      <c r="D1029">
        <f>YEAR(Table1[[#This Row],[Order_Date]])</f>
        <v>2024</v>
      </c>
      <c r="E1029" s="7">
        <v>45422</v>
      </c>
      <c r="F1029" s="2" t="str">
        <f>VLOOKUP(Table1[[#This Row],[Customer_ID]],Customer_Dim!$A$2:$H$501,2,FALSE)</f>
        <v>Sharon Simpson</v>
      </c>
      <c r="G1029" s="2" t="str">
        <f>_xlfn.XLOOKUP(Table1[[#This Row],[Customer_ID]],Customer_Dim!$A$2:$A$501,Customer_Dim!$E$2:$E$501)</f>
        <v>South Michellebury</v>
      </c>
      <c r="H1029" t="s">
        <v>1336</v>
      </c>
      <c r="I1029" t="str">
        <f>VLOOKUP(Table1[[#This Row],[Product_ID]],Product_Dim!$A$2:$G$101,2,FALSE)</f>
        <v>Rugby Ball-Sports</v>
      </c>
      <c r="J1029" t="s">
        <v>1627</v>
      </c>
      <c r="K1029" t="str">
        <f>VLOOKUP(Table1[[#This Row],[Store_ID]],Store_Dim!$A$3:$D$22,2,FALSE)</f>
        <v>Guerrero-Schmitt-East</v>
      </c>
      <c r="L1029" t="s">
        <v>1761</v>
      </c>
      <c r="M1029" t="s">
        <v>3957</v>
      </c>
      <c r="N1029" s="3">
        <v>73.88</v>
      </c>
      <c r="O1029" s="4">
        <v>0.04</v>
      </c>
      <c r="P1029" t="s">
        <v>1772</v>
      </c>
      <c r="Q1029" s="4">
        <v>70.924799999999991</v>
      </c>
    </row>
    <row r="1030" spans="1:17" x14ac:dyDescent="0.3">
      <c r="A1030" t="s">
        <v>2802</v>
      </c>
      <c r="B1030" t="str">
        <f t="shared" si="16"/>
        <v>Q1</v>
      </c>
      <c r="C1030" t="str">
        <f>TEXT(Table1[[#This Row],[Order_Date]],"mmmm")</f>
        <v>February</v>
      </c>
      <c r="D1030">
        <f>YEAR(Table1[[#This Row],[Order_Date]])</f>
        <v>2024</v>
      </c>
      <c r="E1030" s="7">
        <v>45337</v>
      </c>
      <c r="F1030" s="2" t="str">
        <f>VLOOKUP(Table1[[#This Row],[Customer_ID]],Customer_Dim!$A$2:$H$501,2,FALSE)</f>
        <v>Christine Vaughn</v>
      </c>
      <c r="G1030" s="2" t="str">
        <f>_xlfn.XLOOKUP(Table1[[#This Row],[Customer_ID]],Customer_Dim!$A$2:$A$501,Customer_Dim!$E$2:$E$501)</f>
        <v>East Amandamouth</v>
      </c>
      <c r="H1030" t="s">
        <v>32</v>
      </c>
      <c r="I1030" t="str">
        <f>VLOOKUP(Table1[[#This Row],[Product_ID]],Product_Dim!$A$2:$G$101,2,FALSE)</f>
        <v>Kitchen Cutting Board-Home</v>
      </c>
      <c r="J1030" t="s">
        <v>1695</v>
      </c>
      <c r="K1030" t="str">
        <f>VLOOKUP(Table1[[#This Row],[Store_ID]],Store_Dim!$A$3:$D$22,2,FALSE)</f>
        <v>Guerrero-Schmitt-East</v>
      </c>
      <c r="L1030" t="s">
        <v>1761</v>
      </c>
      <c r="M1030" t="s">
        <v>3957</v>
      </c>
      <c r="N1030" s="3">
        <v>859.3</v>
      </c>
      <c r="O1030" s="4">
        <v>0.16</v>
      </c>
      <c r="P1030" t="s">
        <v>1774</v>
      </c>
      <c r="Q1030" s="4">
        <v>721.8119999999999</v>
      </c>
    </row>
    <row r="1031" spans="1:17" x14ac:dyDescent="0.3">
      <c r="A1031" t="s">
        <v>2803</v>
      </c>
      <c r="B1031" t="str">
        <f t="shared" si="16"/>
        <v>Q3</v>
      </c>
      <c r="C1031" t="str">
        <f>TEXT(Table1[[#This Row],[Order_Date]],"mmmm")</f>
        <v>September</v>
      </c>
      <c r="D1031">
        <f>YEAR(Table1[[#This Row],[Order_Date]])</f>
        <v>2024</v>
      </c>
      <c r="E1031" s="7">
        <v>45564</v>
      </c>
      <c r="F1031" s="2" t="str">
        <f>VLOOKUP(Table1[[#This Row],[Customer_ID]],Customer_Dim!$A$2:$H$501,2,FALSE)</f>
        <v>Jessica Mitchell</v>
      </c>
      <c r="G1031" s="2" t="str">
        <f>_xlfn.XLOOKUP(Table1[[#This Row],[Customer_ID]],Customer_Dim!$A$2:$A$501,Customer_Dim!$E$2:$E$501)</f>
        <v>Matthewbury</v>
      </c>
      <c r="H1031" t="s">
        <v>439</v>
      </c>
      <c r="I1031" t="str">
        <f>VLOOKUP(Table1[[#This Row],[Product_ID]],Product_Dim!$A$2:$G$101,2,FALSE)</f>
        <v>Badminton Racket Set-Sports</v>
      </c>
      <c r="J1031" t="s">
        <v>1685</v>
      </c>
      <c r="K1031" t="str">
        <f>VLOOKUP(Table1[[#This Row],[Store_ID]],Store_Dim!$A$3:$D$22,2,FALSE)</f>
        <v>Benson-Elliott-East</v>
      </c>
      <c r="L1031" t="s">
        <v>1740</v>
      </c>
      <c r="M1031" t="s">
        <v>3959</v>
      </c>
      <c r="N1031" s="3">
        <v>762.43</v>
      </c>
      <c r="O1031" s="4">
        <v>0.05</v>
      </c>
      <c r="P1031" t="s">
        <v>1772</v>
      </c>
      <c r="Q1031" s="4">
        <v>2897.233999999999</v>
      </c>
    </row>
    <row r="1032" spans="1:17" x14ac:dyDescent="0.3">
      <c r="A1032" t="s">
        <v>2804</v>
      </c>
      <c r="B1032" t="str">
        <f t="shared" si="16"/>
        <v>Q2</v>
      </c>
      <c r="C1032" t="str">
        <f>TEXT(Table1[[#This Row],[Order_Date]],"mmmm")</f>
        <v>May</v>
      </c>
      <c r="D1032">
        <f>YEAR(Table1[[#This Row],[Order_Date]])</f>
        <v>2024</v>
      </c>
      <c r="E1032" s="7">
        <v>45424</v>
      </c>
      <c r="F1032" s="2" t="str">
        <f>VLOOKUP(Table1[[#This Row],[Customer_ID]],Customer_Dim!$A$2:$H$501,2,FALSE)</f>
        <v>Donald Lee</v>
      </c>
      <c r="G1032" s="2" t="str">
        <f>_xlfn.XLOOKUP(Table1[[#This Row],[Customer_ID]],Customer_Dim!$A$2:$A$501,Customer_Dim!$E$2:$E$501)</f>
        <v>Wongberg</v>
      </c>
      <c r="H1032" t="s">
        <v>423</v>
      </c>
      <c r="I1032" t="str">
        <f>VLOOKUP(Table1[[#This Row],[Product_ID]],Product_Dim!$A$2:$G$101,2,FALSE)</f>
        <v>Shin Guards – Adult-Sports</v>
      </c>
      <c r="J1032" t="s">
        <v>1669</v>
      </c>
      <c r="K1032" t="str">
        <f>VLOOKUP(Table1[[#This Row],[Store_ID]],Store_Dim!$A$3:$D$22,2,FALSE)</f>
        <v>Rivera-Warner-East</v>
      </c>
      <c r="L1032" t="s">
        <v>1725</v>
      </c>
      <c r="M1032" t="s">
        <v>3957</v>
      </c>
      <c r="N1032" s="3">
        <v>328.51</v>
      </c>
      <c r="O1032" s="4">
        <v>0.2</v>
      </c>
      <c r="P1032" t="s">
        <v>1777</v>
      </c>
      <c r="Q1032" s="4">
        <v>262.80799999999999</v>
      </c>
    </row>
    <row r="1033" spans="1:17" x14ac:dyDescent="0.3">
      <c r="A1033" t="s">
        <v>2805</v>
      </c>
      <c r="B1033" t="str">
        <f t="shared" si="16"/>
        <v>Q1</v>
      </c>
      <c r="C1033" t="str">
        <f>TEXT(Table1[[#This Row],[Order_Date]],"mmmm")</f>
        <v>March</v>
      </c>
      <c r="D1033">
        <f>YEAR(Table1[[#This Row],[Order_Date]])</f>
        <v>2025</v>
      </c>
      <c r="E1033" s="7">
        <v>45719</v>
      </c>
      <c r="F1033" s="2" t="str">
        <f>VLOOKUP(Table1[[#This Row],[Customer_ID]],Customer_Dim!$A$2:$H$501,2,FALSE)</f>
        <v>Sarah Lane</v>
      </c>
      <c r="G1033" s="2" t="str">
        <f>_xlfn.XLOOKUP(Table1[[#This Row],[Customer_ID]],Customer_Dim!$A$2:$A$501,Customer_Dim!$E$2:$E$501)</f>
        <v>Edwardborough</v>
      </c>
      <c r="H1033" t="s">
        <v>864</v>
      </c>
      <c r="I1033" t="str">
        <f>VLOOKUP(Table1[[#This Row],[Product_ID]],Product_Dim!$A$2:$G$101,2,FALSE)</f>
        <v>Adjustable Jump Rope-Sports</v>
      </c>
      <c r="J1033" t="s">
        <v>1611</v>
      </c>
      <c r="K1033" t="str">
        <f>VLOOKUP(Table1[[#This Row],[Store_ID]],Store_Dim!$A$3:$D$22,2,FALSE)</f>
        <v>Alexander Group-South</v>
      </c>
      <c r="L1033" t="s">
        <v>1735</v>
      </c>
      <c r="M1033" t="s">
        <v>3957</v>
      </c>
      <c r="N1033" s="3">
        <v>34.51</v>
      </c>
      <c r="O1033" s="4">
        <v>0.04</v>
      </c>
      <c r="P1033" t="s">
        <v>1777</v>
      </c>
      <c r="Q1033" s="4">
        <v>33.129600000000003</v>
      </c>
    </row>
    <row r="1034" spans="1:17" x14ac:dyDescent="0.3">
      <c r="A1034" t="s">
        <v>2806</v>
      </c>
      <c r="B1034" t="str">
        <f t="shared" si="16"/>
        <v>Q4</v>
      </c>
      <c r="C1034" t="str">
        <f>TEXT(Table1[[#This Row],[Order_Date]],"mmmm")</f>
        <v>November</v>
      </c>
      <c r="D1034">
        <f>YEAR(Table1[[#This Row],[Order_Date]])</f>
        <v>2023</v>
      </c>
      <c r="E1034" s="7">
        <v>45250</v>
      </c>
      <c r="F1034" s="2" t="str">
        <f>VLOOKUP(Table1[[#This Row],[Customer_ID]],Customer_Dim!$A$2:$H$501,2,FALSE)</f>
        <v>Lance Baker</v>
      </c>
      <c r="G1034" s="2" t="str">
        <f>_xlfn.XLOOKUP(Table1[[#This Row],[Customer_ID]],Customer_Dim!$A$2:$A$501,Customer_Dim!$E$2:$E$501)</f>
        <v>Port Victoria</v>
      </c>
      <c r="H1034" t="s">
        <v>367</v>
      </c>
      <c r="I1034" t="str">
        <f>VLOOKUP(Table1[[#This Row],[Product_ID]],Product_Dim!$A$2:$G$101,2,FALSE)</f>
        <v>Knee Support Brace-Sports</v>
      </c>
      <c r="J1034" t="s">
        <v>1561</v>
      </c>
      <c r="K1034" t="str">
        <f>VLOOKUP(Table1[[#This Row],[Store_ID]],Store_Dim!$A$3:$D$22,2,FALSE)</f>
        <v>Aguirre-Keller-South</v>
      </c>
      <c r="L1034" t="s">
        <v>1750</v>
      </c>
      <c r="M1034" t="s">
        <v>3958</v>
      </c>
      <c r="N1034" s="3">
        <v>663.73</v>
      </c>
      <c r="O1034" s="4">
        <v>0.06</v>
      </c>
      <c r="P1034" t="s">
        <v>1777</v>
      </c>
      <c r="Q1034" s="4">
        <v>1871.7185999999999</v>
      </c>
    </row>
    <row r="1035" spans="1:17" x14ac:dyDescent="0.3">
      <c r="A1035" t="s">
        <v>2807</v>
      </c>
      <c r="B1035" t="str">
        <f t="shared" si="16"/>
        <v>Q3</v>
      </c>
      <c r="C1035" t="str">
        <f>TEXT(Table1[[#This Row],[Order_Date]],"mmmm")</f>
        <v>July</v>
      </c>
      <c r="D1035">
        <f>YEAR(Table1[[#This Row],[Order_Date]])</f>
        <v>2024</v>
      </c>
      <c r="E1035" s="7">
        <v>45479</v>
      </c>
      <c r="F1035" s="2" t="str">
        <f>VLOOKUP(Table1[[#This Row],[Customer_ID]],Customer_Dim!$A$2:$H$501,2,FALSE)</f>
        <v>Mary Russell</v>
      </c>
      <c r="G1035" s="2" t="str">
        <f>_xlfn.XLOOKUP(Table1[[#This Row],[Customer_ID]],Customer_Dim!$A$2:$A$501,Customer_Dim!$E$2:$E$501)</f>
        <v>South Regina</v>
      </c>
      <c r="H1035" t="s">
        <v>782</v>
      </c>
      <c r="I1035" t="str">
        <f>VLOOKUP(Table1[[#This Row],[Product_ID]],Product_Dim!$A$2:$G$101,2,FALSE)</f>
        <v>Modern Wall Clock-Home</v>
      </c>
      <c r="J1035" t="s">
        <v>1589</v>
      </c>
      <c r="K1035" t="str">
        <f>VLOOKUP(Table1[[#This Row],[Store_ID]],Store_Dim!$A$3:$D$22,2,FALSE)</f>
        <v>Moore, Padilla and Butler-South</v>
      </c>
      <c r="L1035" t="s">
        <v>1746</v>
      </c>
      <c r="M1035" t="s">
        <v>3957</v>
      </c>
      <c r="N1035" s="3">
        <v>409.41</v>
      </c>
      <c r="O1035" s="4">
        <v>0.13</v>
      </c>
      <c r="P1035" t="s">
        <v>1774</v>
      </c>
      <c r="Q1035" s="4">
        <v>356.18669999999997</v>
      </c>
    </row>
    <row r="1036" spans="1:17" x14ac:dyDescent="0.3">
      <c r="A1036" t="s">
        <v>2808</v>
      </c>
      <c r="B1036" t="str">
        <f t="shared" si="16"/>
        <v>Q1</v>
      </c>
      <c r="C1036" t="str">
        <f>TEXT(Table1[[#This Row],[Order_Date]],"mmmm")</f>
        <v>March</v>
      </c>
      <c r="D1036">
        <f>YEAR(Table1[[#This Row],[Order_Date]])</f>
        <v>2025</v>
      </c>
      <c r="E1036" s="7">
        <v>45727</v>
      </c>
      <c r="F1036" s="2" t="str">
        <f>VLOOKUP(Table1[[#This Row],[Customer_ID]],Customer_Dim!$A$2:$H$501,2,FALSE)</f>
        <v>Robert Jackson</v>
      </c>
      <c r="G1036" s="2" t="str">
        <f>_xlfn.XLOOKUP(Table1[[#This Row],[Customer_ID]],Customer_Dim!$A$2:$A$501,Customer_Dim!$E$2:$E$501)</f>
        <v>Lake Brandy</v>
      </c>
      <c r="H1036" t="s">
        <v>327</v>
      </c>
      <c r="I1036" t="str">
        <f>VLOOKUP(Table1[[#This Row],[Product_ID]],Product_Dim!$A$2:$G$101,2,FALSE)</f>
        <v>Essential Oil Diffuser-Home</v>
      </c>
      <c r="J1036" t="s">
        <v>1679</v>
      </c>
      <c r="K1036" t="str">
        <f>VLOOKUP(Table1[[#This Row],[Store_ID]],Store_Dim!$A$3:$D$22,2,FALSE)</f>
        <v>Johnson-Wright-North</v>
      </c>
      <c r="L1036" t="s">
        <v>1733</v>
      </c>
      <c r="M1036" t="s">
        <v>3958</v>
      </c>
      <c r="N1036" s="3">
        <v>461.03</v>
      </c>
      <c r="O1036" s="4">
        <v>0.11</v>
      </c>
      <c r="P1036" t="s">
        <v>1774</v>
      </c>
      <c r="Q1036" s="4">
        <v>1230.9501</v>
      </c>
    </row>
    <row r="1037" spans="1:17" x14ac:dyDescent="0.3">
      <c r="A1037" t="s">
        <v>2809</v>
      </c>
      <c r="B1037" t="str">
        <f t="shared" si="16"/>
        <v>Q2</v>
      </c>
      <c r="C1037" t="str">
        <f>TEXT(Table1[[#This Row],[Order_Date]],"mmmm")</f>
        <v>April</v>
      </c>
      <c r="D1037">
        <f>YEAR(Table1[[#This Row],[Order_Date]])</f>
        <v>2024</v>
      </c>
      <c r="E1037" s="7">
        <v>45394</v>
      </c>
      <c r="F1037" s="2" t="str">
        <f>VLOOKUP(Table1[[#This Row],[Customer_ID]],Customer_Dim!$A$2:$H$501,2,FALSE)</f>
        <v>Miranda King</v>
      </c>
      <c r="G1037" s="2" t="str">
        <f>_xlfn.XLOOKUP(Table1[[#This Row],[Customer_ID]],Customer_Dim!$A$2:$A$501,Customer_Dim!$E$2:$E$501)</f>
        <v>West Mathew</v>
      </c>
      <c r="H1037" t="s">
        <v>1138</v>
      </c>
      <c r="I1037" t="str">
        <f>VLOOKUP(Table1[[#This Row],[Product_ID]],Product_Dim!$A$2:$G$101,2,FALSE)</f>
        <v>Knee Support Brace-Sports</v>
      </c>
      <c r="J1037" t="s">
        <v>1561</v>
      </c>
      <c r="K1037" t="str">
        <f>VLOOKUP(Table1[[#This Row],[Store_ID]],Store_Dim!$A$3:$D$22,2,FALSE)</f>
        <v>Mcdonald Inc-South</v>
      </c>
      <c r="L1037" t="s">
        <v>1754</v>
      </c>
      <c r="M1037" t="s">
        <v>3960</v>
      </c>
      <c r="N1037" s="3">
        <v>760.14</v>
      </c>
      <c r="O1037" s="4">
        <v>0.02</v>
      </c>
      <c r="P1037" t="s">
        <v>1777</v>
      </c>
      <c r="Q1037" s="4">
        <v>1489.8743999999999</v>
      </c>
    </row>
    <row r="1038" spans="1:17" x14ac:dyDescent="0.3">
      <c r="A1038" t="s">
        <v>2810</v>
      </c>
      <c r="B1038" t="str">
        <f t="shared" si="16"/>
        <v>Q2</v>
      </c>
      <c r="C1038" t="str">
        <f>TEXT(Table1[[#This Row],[Order_Date]],"mmmm")</f>
        <v>April</v>
      </c>
      <c r="D1038">
        <f>YEAR(Table1[[#This Row],[Order_Date]])</f>
        <v>2025</v>
      </c>
      <c r="E1038" s="7">
        <v>45773</v>
      </c>
      <c r="F1038" s="2" t="str">
        <f>VLOOKUP(Table1[[#This Row],[Customer_ID]],Customer_Dim!$A$2:$H$501,2,FALSE)</f>
        <v>Stephen Fowler</v>
      </c>
      <c r="G1038" s="2" t="str">
        <f>_xlfn.XLOOKUP(Table1[[#This Row],[Customer_ID]],Customer_Dim!$A$2:$A$501,Customer_Dim!$E$2:$E$501)</f>
        <v>Port Mariastad</v>
      </c>
      <c r="H1038" t="s">
        <v>876</v>
      </c>
      <c r="I1038" t="str">
        <f>VLOOKUP(Table1[[#This Row],[Product_ID]],Product_Dim!$A$2:$G$101,2,FALSE)</f>
        <v>Men's Formal Shirt-Clothing</v>
      </c>
      <c r="J1038" t="s">
        <v>1569</v>
      </c>
      <c r="K1038" t="str">
        <f>VLOOKUP(Table1[[#This Row],[Store_ID]],Store_Dim!$A$3:$D$22,2,FALSE)</f>
        <v>Martinez, Adkins and Johnson-North</v>
      </c>
      <c r="L1038" t="s">
        <v>1728</v>
      </c>
      <c r="M1038" t="s">
        <v>3958</v>
      </c>
      <c r="N1038" s="3">
        <v>688.76</v>
      </c>
      <c r="O1038" s="4">
        <v>0.12</v>
      </c>
      <c r="P1038" t="s">
        <v>1774</v>
      </c>
      <c r="Q1038" s="4">
        <v>1818.3263999999999</v>
      </c>
    </row>
    <row r="1039" spans="1:17" x14ac:dyDescent="0.3">
      <c r="A1039" t="s">
        <v>2811</v>
      </c>
      <c r="B1039" t="str">
        <f t="shared" si="16"/>
        <v>Q2</v>
      </c>
      <c r="C1039" t="str">
        <f>TEXT(Table1[[#This Row],[Order_Date]],"mmmm")</f>
        <v>May</v>
      </c>
      <c r="D1039">
        <f>YEAR(Table1[[#This Row],[Order_Date]])</f>
        <v>2025</v>
      </c>
      <c r="E1039" s="7">
        <v>45779</v>
      </c>
      <c r="F1039" s="2" t="str">
        <f>VLOOKUP(Table1[[#This Row],[Customer_ID]],Customer_Dim!$A$2:$H$501,2,FALSE)</f>
        <v>Brian Choi</v>
      </c>
      <c r="G1039" s="2" t="str">
        <f>_xlfn.XLOOKUP(Table1[[#This Row],[Customer_ID]],Customer_Dim!$A$2:$A$501,Customer_Dim!$E$2:$E$501)</f>
        <v>Floydton</v>
      </c>
      <c r="H1039" t="s">
        <v>527</v>
      </c>
      <c r="I1039" t="str">
        <f>VLOOKUP(Table1[[#This Row],[Product_ID]],Product_Dim!$A$2:$G$101,2,FALSE)</f>
        <v>USB External Hard Drive-Electronics</v>
      </c>
      <c r="J1039" t="s">
        <v>1609</v>
      </c>
      <c r="K1039" t="str">
        <f>VLOOKUP(Table1[[#This Row],[Store_ID]],Store_Dim!$A$3:$D$22,2,FALSE)</f>
        <v>Moore, Padilla and Butler-South</v>
      </c>
      <c r="L1039" t="s">
        <v>1746</v>
      </c>
      <c r="M1039" t="s">
        <v>3960</v>
      </c>
      <c r="N1039" s="3">
        <v>257.77999999999997</v>
      </c>
      <c r="O1039" s="4">
        <v>0.05</v>
      </c>
      <c r="P1039" t="s">
        <v>1772</v>
      </c>
      <c r="Q1039" s="4">
        <v>489.78199999999993</v>
      </c>
    </row>
    <row r="1040" spans="1:17" x14ac:dyDescent="0.3">
      <c r="A1040" t="s">
        <v>2812</v>
      </c>
      <c r="B1040" t="str">
        <f t="shared" si="16"/>
        <v>Q2</v>
      </c>
      <c r="C1040" t="str">
        <f>TEXT(Table1[[#This Row],[Order_Date]],"mmmm")</f>
        <v>April</v>
      </c>
      <c r="D1040">
        <f>YEAR(Table1[[#This Row],[Order_Date]])</f>
        <v>2024</v>
      </c>
      <c r="E1040" s="7">
        <v>45400</v>
      </c>
      <c r="F1040" s="2" t="str">
        <f>VLOOKUP(Table1[[#This Row],[Customer_ID]],Customer_Dim!$A$2:$H$501,2,FALSE)</f>
        <v>Debra Liu</v>
      </c>
      <c r="G1040" s="2" t="str">
        <f>_xlfn.XLOOKUP(Table1[[#This Row],[Customer_ID]],Customer_Dim!$A$2:$A$501,Customer_Dim!$E$2:$E$501)</f>
        <v>South Timtown</v>
      </c>
      <c r="H1040" t="s">
        <v>195</v>
      </c>
      <c r="I1040" t="str">
        <f>VLOOKUP(Table1[[#This Row],[Product_ID]],Product_Dim!$A$2:$G$101,2,FALSE)</f>
        <v>Men's Track Pants-Clothing</v>
      </c>
      <c r="J1040" t="s">
        <v>1629</v>
      </c>
      <c r="K1040" t="str">
        <f>VLOOKUP(Table1[[#This Row],[Store_ID]],Store_Dim!$A$3:$D$22,2,FALSE)</f>
        <v>Martinez-Mullins-South</v>
      </c>
      <c r="L1040" t="s">
        <v>1742</v>
      </c>
      <c r="M1040" t="s">
        <v>3960</v>
      </c>
      <c r="N1040" s="3">
        <v>314.29000000000002</v>
      </c>
      <c r="O1040" s="4">
        <v>0.19</v>
      </c>
      <c r="P1040" t="s">
        <v>1777</v>
      </c>
      <c r="Q1040" s="4">
        <v>509.14980000000008</v>
      </c>
    </row>
    <row r="1041" spans="1:17" x14ac:dyDescent="0.3">
      <c r="A1041" t="s">
        <v>2813</v>
      </c>
      <c r="B1041" t="str">
        <f t="shared" si="16"/>
        <v>Q3</v>
      </c>
      <c r="C1041" t="str">
        <f>TEXT(Table1[[#This Row],[Order_Date]],"mmmm")</f>
        <v>August</v>
      </c>
      <c r="D1041">
        <f>YEAR(Table1[[#This Row],[Order_Date]])</f>
        <v>2024</v>
      </c>
      <c r="E1041" s="7">
        <v>45520</v>
      </c>
      <c r="F1041" s="2" t="str">
        <f>VLOOKUP(Table1[[#This Row],[Customer_ID]],Customer_Dim!$A$2:$H$501,2,FALSE)</f>
        <v>Curtis Haynes</v>
      </c>
      <c r="G1041" s="2" t="str">
        <f>_xlfn.XLOOKUP(Table1[[#This Row],[Customer_ID]],Customer_Dim!$A$2:$A$501,Customer_Dim!$E$2:$E$501)</f>
        <v>Estradaside</v>
      </c>
      <c r="H1041" t="s">
        <v>515</v>
      </c>
      <c r="I1041" t="str">
        <f>VLOOKUP(Table1[[#This Row],[Product_ID]],Product_Dim!$A$2:$G$101,2,FALSE)</f>
        <v>Professional Jump Rope-Sports</v>
      </c>
      <c r="J1041" t="s">
        <v>1667</v>
      </c>
      <c r="K1041" t="str">
        <f>VLOOKUP(Table1[[#This Row],[Store_ID]],Store_Dim!$A$3:$D$22,2,FALSE)</f>
        <v>Mcdonald Inc-South</v>
      </c>
      <c r="L1041" t="s">
        <v>1754</v>
      </c>
      <c r="M1041" t="s">
        <v>3958</v>
      </c>
      <c r="N1041" s="3">
        <v>336.09</v>
      </c>
      <c r="O1041" s="4">
        <v>0.01</v>
      </c>
      <c r="P1041" t="s">
        <v>1774</v>
      </c>
      <c r="Q1041" s="4">
        <v>998.18729999999994</v>
      </c>
    </row>
    <row r="1042" spans="1:17" x14ac:dyDescent="0.3">
      <c r="A1042" t="s">
        <v>2814</v>
      </c>
      <c r="B1042" t="str">
        <f t="shared" si="16"/>
        <v>Q3</v>
      </c>
      <c r="C1042" t="str">
        <f>TEXT(Table1[[#This Row],[Order_Date]],"mmmm")</f>
        <v>July</v>
      </c>
      <c r="D1042">
        <f>YEAR(Table1[[#This Row],[Order_Date]])</f>
        <v>2025</v>
      </c>
      <c r="E1042" s="7">
        <v>45861</v>
      </c>
      <c r="F1042" s="2" t="str">
        <f>VLOOKUP(Table1[[#This Row],[Customer_ID]],Customer_Dim!$A$2:$H$501,2,FALSE)</f>
        <v>Dr. Benjamin Price</v>
      </c>
      <c r="G1042" s="2" t="str">
        <f>_xlfn.XLOOKUP(Table1[[#This Row],[Customer_ID]],Customer_Dim!$A$2:$A$501,Customer_Dim!$E$2:$E$501)</f>
        <v>Kylebury</v>
      </c>
      <c r="H1042" t="s">
        <v>20</v>
      </c>
      <c r="I1042" t="str">
        <f>VLOOKUP(Table1[[#This Row],[Product_ID]],Product_Dim!$A$2:$G$101,2,FALSE)</f>
        <v>Women's Ankle Boots-Clothing</v>
      </c>
      <c r="J1042" t="s">
        <v>1673</v>
      </c>
      <c r="K1042" t="str">
        <f>VLOOKUP(Table1[[#This Row],[Store_ID]],Store_Dim!$A$3:$D$22,2,FALSE)</f>
        <v>Holloway Ltd-North</v>
      </c>
      <c r="L1042" t="s">
        <v>1759</v>
      </c>
      <c r="M1042" t="s">
        <v>3958</v>
      </c>
      <c r="N1042" s="3">
        <v>202.07</v>
      </c>
      <c r="O1042" s="4">
        <v>0.23</v>
      </c>
      <c r="P1042" t="s">
        <v>1774</v>
      </c>
      <c r="Q1042" s="4">
        <v>466.78170000000011</v>
      </c>
    </row>
    <row r="1043" spans="1:17" x14ac:dyDescent="0.3">
      <c r="A1043" t="s">
        <v>2815</v>
      </c>
      <c r="B1043" t="str">
        <f t="shared" si="16"/>
        <v>Q2</v>
      </c>
      <c r="C1043" t="str">
        <f>TEXT(Table1[[#This Row],[Order_Date]],"mmmm")</f>
        <v>May</v>
      </c>
      <c r="D1043">
        <f>YEAR(Table1[[#This Row],[Order_Date]])</f>
        <v>2025</v>
      </c>
      <c r="E1043" s="7">
        <v>45781</v>
      </c>
      <c r="F1043" s="2" t="str">
        <f>VLOOKUP(Table1[[#This Row],[Customer_ID]],Customer_Dim!$A$2:$H$501,2,FALSE)</f>
        <v>Kara Dodson</v>
      </c>
      <c r="G1043" s="2" t="str">
        <f>_xlfn.XLOOKUP(Table1[[#This Row],[Customer_ID]],Customer_Dim!$A$2:$A$501,Customer_Dim!$E$2:$E$501)</f>
        <v>Joelside</v>
      </c>
      <c r="H1043" t="s">
        <v>968</v>
      </c>
      <c r="I1043" t="str">
        <f>VLOOKUP(Table1[[#This Row],[Product_ID]],Product_Dim!$A$2:$G$101,2,FALSE)</f>
        <v>Soccer Training Cone Set-Sports</v>
      </c>
      <c r="J1043" t="s">
        <v>1557</v>
      </c>
      <c r="K1043" t="str">
        <f>VLOOKUP(Table1[[#This Row],[Store_ID]],Store_Dim!$A$3:$D$22,2,FALSE)</f>
        <v>Bean, Jones and Park-West</v>
      </c>
      <c r="L1043" t="s">
        <v>1744</v>
      </c>
      <c r="M1043" t="s">
        <v>3960</v>
      </c>
      <c r="N1043" s="3">
        <v>485.25</v>
      </c>
      <c r="O1043" s="4">
        <v>0.28000000000000003</v>
      </c>
      <c r="P1043" t="s">
        <v>1772</v>
      </c>
      <c r="Q1043" s="4">
        <v>698.76</v>
      </c>
    </row>
    <row r="1044" spans="1:17" x14ac:dyDescent="0.3">
      <c r="A1044" t="s">
        <v>2816</v>
      </c>
      <c r="B1044" t="str">
        <f t="shared" si="16"/>
        <v>Q3</v>
      </c>
      <c r="C1044" t="str">
        <f>TEXT(Table1[[#This Row],[Order_Date]],"mmmm")</f>
        <v>September</v>
      </c>
      <c r="D1044">
        <f>YEAR(Table1[[#This Row],[Order_Date]])</f>
        <v>2025</v>
      </c>
      <c r="E1044" s="7">
        <v>45906</v>
      </c>
      <c r="F1044" s="2" t="str">
        <f>VLOOKUP(Table1[[#This Row],[Customer_ID]],Customer_Dim!$A$2:$H$501,2,FALSE)</f>
        <v>Amy Wilson</v>
      </c>
      <c r="G1044" s="2" t="str">
        <f>_xlfn.XLOOKUP(Table1[[#This Row],[Customer_ID]],Customer_Dim!$A$2:$A$501,Customer_Dim!$E$2:$E$501)</f>
        <v>Morrisburgh</v>
      </c>
      <c r="H1044" t="s">
        <v>562</v>
      </c>
      <c r="I1044" t="str">
        <f>VLOOKUP(Table1[[#This Row],[Product_ID]],Product_Dim!$A$2:$G$101,2,FALSE)</f>
        <v>Women's Ankle Boots-Clothing</v>
      </c>
      <c r="J1044" t="s">
        <v>1673</v>
      </c>
      <c r="K1044" t="str">
        <f>VLOOKUP(Table1[[#This Row],[Store_ID]],Store_Dim!$A$3:$D$22,2,FALSE)</f>
        <v>Hill, Wagner and Ballard-East</v>
      </c>
      <c r="L1044" t="s">
        <v>1748</v>
      </c>
      <c r="M1044" t="s">
        <v>3959</v>
      </c>
      <c r="N1044" s="3">
        <v>552.38</v>
      </c>
      <c r="O1044" s="4">
        <v>0.1</v>
      </c>
      <c r="P1044" t="s">
        <v>1774</v>
      </c>
      <c r="Q1044" s="4">
        <v>1988.568</v>
      </c>
    </row>
    <row r="1045" spans="1:17" x14ac:dyDescent="0.3">
      <c r="A1045" t="s">
        <v>2817</v>
      </c>
      <c r="B1045" t="str">
        <f t="shared" si="16"/>
        <v>Q4</v>
      </c>
      <c r="C1045" t="str">
        <f>TEXT(Table1[[#This Row],[Order_Date]],"mmmm")</f>
        <v>November</v>
      </c>
      <c r="D1045">
        <f>YEAR(Table1[[#This Row],[Order_Date]])</f>
        <v>2023</v>
      </c>
      <c r="E1045" s="7">
        <v>45251</v>
      </c>
      <c r="F1045" s="2" t="str">
        <f>VLOOKUP(Table1[[#This Row],[Customer_ID]],Customer_Dim!$A$2:$H$501,2,FALSE)</f>
        <v>Erica Carney</v>
      </c>
      <c r="G1045" s="2" t="str">
        <f>_xlfn.XLOOKUP(Table1[[#This Row],[Customer_ID]],Customer_Dim!$A$2:$A$501,Customer_Dim!$E$2:$E$501)</f>
        <v>North Justin</v>
      </c>
      <c r="H1045" t="s">
        <v>373</v>
      </c>
      <c r="I1045" t="str">
        <f>VLOOKUP(Table1[[#This Row],[Product_ID]],Product_Dim!$A$2:$G$101,2,FALSE)</f>
        <v>Womens Cotton Scarf-Clothing</v>
      </c>
      <c r="J1045" t="s">
        <v>1639</v>
      </c>
      <c r="K1045" t="str">
        <f>VLOOKUP(Table1[[#This Row],[Store_ID]],Store_Dim!$A$3:$D$22,2,FALSE)</f>
        <v>Holloway Ltd-North</v>
      </c>
      <c r="L1045" t="s">
        <v>1759</v>
      </c>
      <c r="M1045" t="s">
        <v>3959</v>
      </c>
      <c r="N1045" s="3">
        <v>377.26</v>
      </c>
      <c r="O1045" s="4">
        <v>0.22</v>
      </c>
      <c r="P1045" t="s">
        <v>1777</v>
      </c>
      <c r="Q1045" s="4">
        <v>1177.0512000000001</v>
      </c>
    </row>
    <row r="1046" spans="1:17" x14ac:dyDescent="0.3">
      <c r="A1046" t="s">
        <v>2818</v>
      </c>
      <c r="B1046" t="str">
        <f t="shared" si="16"/>
        <v>Q4</v>
      </c>
      <c r="C1046" t="str">
        <f>TEXT(Table1[[#This Row],[Order_Date]],"mmmm")</f>
        <v>November</v>
      </c>
      <c r="D1046">
        <f>YEAR(Table1[[#This Row],[Order_Date]])</f>
        <v>2023</v>
      </c>
      <c r="E1046" s="7">
        <v>45257</v>
      </c>
      <c r="F1046" s="2" t="str">
        <f>VLOOKUP(Table1[[#This Row],[Customer_ID]],Customer_Dim!$A$2:$H$501,2,FALSE)</f>
        <v>Sharon Brown</v>
      </c>
      <c r="G1046" s="2" t="str">
        <f>_xlfn.XLOOKUP(Table1[[#This Row],[Customer_ID]],Customer_Dim!$A$2:$A$501,Customer_Dim!$E$2:$E$501)</f>
        <v>East Andrea</v>
      </c>
      <c r="H1046" t="s">
        <v>199</v>
      </c>
      <c r="I1046" t="str">
        <f>VLOOKUP(Table1[[#This Row],[Product_ID]],Product_Dim!$A$2:$G$101,2,FALSE)</f>
        <v>Makeup Brush Set-Beauty</v>
      </c>
      <c r="J1046" t="s">
        <v>1617</v>
      </c>
      <c r="K1046" t="str">
        <f>VLOOKUP(Table1[[#This Row],[Store_ID]],Store_Dim!$A$3:$D$22,2,FALSE)</f>
        <v>Mann-Austin-East</v>
      </c>
      <c r="L1046" t="s">
        <v>1763</v>
      </c>
      <c r="M1046" t="s">
        <v>3959</v>
      </c>
      <c r="N1046" s="3">
        <v>189.07</v>
      </c>
      <c r="O1046" s="4">
        <v>0.1</v>
      </c>
      <c r="P1046" t="s">
        <v>1777</v>
      </c>
      <c r="Q1046" s="4">
        <v>680.65200000000004</v>
      </c>
    </row>
    <row r="1047" spans="1:17" x14ac:dyDescent="0.3">
      <c r="A1047" t="s">
        <v>2819</v>
      </c>
      <c r="B1047" t="str">
        <f t="shared" si="16"/>
        <v>Q2</v>
      </c>
      <c r="C1047" t="str">
        <f>TEXT(Table1[[#This Row],[Order_Date]],"mmmm")</f>
        <v>June</v>
      </c>
      <c r="D1047">
        <f>YEAR(Table1[[#This Row],[Order_Date]])</f>
        <v>2025</v>
      </c>
      <c r="E1047" s="7">
        <v>45818</v>
      </c>
      <c r="F1047" s="2" t="str">
        <f>VLOOKUP(Table1[[#This Row],[Customer_ID]],Customer_Dim!$A$2:$H$501,2,FALSE)</f>
        <v>Philip Pennington</v>
      </c>
      <c r="G1047" s="2" t="str">
        <f>_xlfn.XLOOKUP(Table1[[#This Row],[Customer_ID]],Customer_Dim!$A$2:$A$501,Customer_Dim!$E$2:$E$501)</f>
        <v>East Valerieview</v>
      </c>
      <c r="H1047" t="s">
        <v>1516</v>
      </c>
      <c r="I1047" t="str">
        <f>VLOOKUP(Table1[[#This Row],[Product_ID]],Product_Dim!$A$2:$G$101,2,FALSE)</f>
        <v>Stainless Steel Cutlery Set-Home</v>
      </c>
      <c r="J1047" t="s">
        <v>1583</v>
      </c>
      <c r="K1047" t="str">
        <f>VLOOKUP(Table1[[#This Row],[Store_ID]],Store_Dim!$A$3:$D$22,2,FALSE)</f>
        <v>Alexander Group-South</v>
      </c>
      <c r="L1047" t="s">
        <v>1735</v>
      </c>
      <c r="M1047" t="s">
        <v>3958</v>
      </c>
      <c r="N1047" s="3">
        <v>272.27</v>
      </c>
      <c r="O1047" s="4">
        <v>0.01</v>
      </c>
      <c r="P1047" t="s">
        <v>1772</v>
      </c>
      <c r="Q1047" s="4">
        <v>808.64189999999996</v>
      </c>
    </row>
    <row r="1048" spans="1:17" x14ac:dyDescent="0.3">
      <c r="A1048" t="s">
        <v>2820</v>
      </c>
      <c r="B1048" t="str">
        <f t="shared" si="16"/>
        <v>Q2</v>
      </c>
      <c r="C1048" t="str">
        <f>TEXT(Table1[[#This Row],[Order_Date]],"mmmm")</f>
        <v>May</v>
      </c>
      <c r="D1048">
        <f>YEAR(Table1[[#This Row],[Order_Date]])</f>
        <v>2025</v>
      </c>
      <c r="E1048" s="7">
        <v>45806</v>
      </c>
      <c r="F1048" s="2" t="str">
        <f>VLOOKUP(Table1[[#This Row],[Customer_ID]],Customer_Dim!$A$2:$H$501,2,FALSE)</f>
        <v>Matthew Payne</v>
      </c>
      <c r="G1048" s="2" t="str">
        <f>_xlfn.XLOOKUP(Table1[[#This Row],[Customer_ID]],Customer_Dim!$A$2:$A$501,Customer_Dim!$E$2:$E$501)</f>
        <v>Grahamfurt</v>
      </c>
      <c r="H1048" t="s">
        <v>835</v>
      </c>
      <c r="I1048" t="str">
        <f>VLOOKUP(Table1[[#This Row],[Product_ID]],Product_Dim!$A$2:$G$101,2,FALSE)</f>
        <v>Microwave Oven-Home</v>
      </c>
      <c r="J1048" t="s">
        <v>1707</v>
      </c>
      <c r="K1048" t="str">
        <f>VLOOKUP(Table1[[#This Row],[Store_ID]],Store_Dim!$A$3:$D$22,2,FALSE)</f>
        <v>Aguirre-Keller-South</v>
      </c>
      <c r="L1048" t="s">
        <v>1750</v>
      </c>
      <c r="M1048" t="s">
        <v>3957</v>
      </c>
      <c r="N1048" s="3">
        <v>209.39</v>
      </c>
      <c r="O1048" s="4">
        <v>0.28000000000000003</v>
      </c>
      <c r="P1048" t="s">
        <v>1774</v>
      </c>
      <c r="Q1048" s="4">
        <v>150.76079999999999</v>
      </c>
    </row>
    <row r="1049" spans="1:17" x14ac:dyDescent="0.3">
      <c r="A1049" t="s">
        <v>2821</v>
      </c>
      <c r="B1049" t="str">
        <f t="shared" si="16"/>
        <v>Q4</v>
      </c>
      <c r="C1049" t="str">
        <f>TEXT(Table1[[#This Row],[Order_Date]],"mmmm")</f>
        <v>December</v>
      </c>
      <c r="D1049">
        <f>YEAR(Table1[[#This Row],[Order_Date]])</f>
        <v>2023</v>
      </c>
      <c r="E1049" s="7">
        <v>45288</v>
      </c>
      <c r="F1049" s="2" t="str">
        <f>VLOOKUP(Table1[[#This Row],[Customer_ID]],Customer_Dim!$A$2:$H$501,2,FALSE)</f>
        <v>Sharon Brown</v>
      </c>
      <c r="G1049" s="2" t="str">
        <f>_xlfn.XLOOKUP(Table1[[#This Row],[Customer_ID]],Customer_Dim!$A$2:$A$501,Customer_Dim!$E$2:$E$501)</f>
        <v>East Andrea</v>
      </c>
      <c r="H1049" t="s">
        <v>199</v>
      </c>
      <c r="I1049" t="str">
        <f>VLOOKUP(Table1[[#This Row],[Product_ID]],Product_Dim!$A$2:$G$101,2,FALSE)</f>
        <v>Wall-Mounted Spice Rack-Home</v>
      </c>
      <c r="J1049" t="s">
        <v>1683</v>
      </c>
      <c r="K1049" t="str">
        <f>VLOOKUP(Table1[[#This Row],[Store_ID]],Store_Dim!$A$3:$D$22,2,FALSE)</f>
        <v>Moore, Padilla and Butler-South</v>
      </c>
      <c r="L1049" t="s">
        <v>1746</v>
      </c>
      <c r="M1049" t="s">
        <v>3957</v>
      </c>
      <c r="N1049" s="3">
        <v>813.87</v>
      </c>
      <c r="O1049" s="4">
        <v>0.23</v>
      </c>
      <c r="P1049" t="s">
        <v>1772</v>
      </c>
      <c r="Q1049" s="4">
        <v>626.67989999999998</v>
      </c>
    </row>
    <row r="1050" spans="1:17" x14ac:dyDescent="0.3">
      <c r="A1050" t="s">
        <v>2822</v>
      </c>
      <c r="B1050" t="str">
        <f t="shared" si="16"/>
        <v>Q2</v>
      </c>
      <c r="C1050" t="str">
        <f>TEXT(Table1[[#This Row],[Order_Date]],"mmmm")</f>
        <v>May</v>
      </c>
      <c r="D1050">
        <f>YEAR(Table1[[#This Row],[Order_Date]])</f>
        <v>2025</v>
      </c>
      <c r="E1050" s="7">
        <v>45783</v>
      </c>
      <c r="F1050" s="2" t="str">
        <f>VLOOKUP(Table1[[#This Row],[Customer_ID]],Customer_Dim!$A$2:$H$501,2,FALSE)</f>
        <v>Christopher David</v>
      </c>
      <c r="G1050" s="2" t="str">
        <f>_xlfn.XLOOKUP(Table1[[#This Row],[Customer_ID]],Customer_Dim!$A$2:$A$501,Customer_Dim!$E$2:$E$501)</f>
        <v>Karenmouth</v>
      </c>
      <c r="H1050" t="s">
        <v>814</v>
      </c>
      <c r="I1050" t="str">
        <f>VLOOKUP(Table1[[#This Row],[Product_ID]],Product_Dim!$A$2:$G$101,2,FALSE)</f>
        <v>Sports Stopwatch Timer-Sports</v>
      </c>
      <c r="J1050" t="s">
        <v>1579</v>
      </c>
      <c r="K1050" t="str">
        <f>VLOOKUP(Table1[[#This Row],[Store_ID]],Store_Dim!$A$3:$D$22,2,FALSE)</f>
        <v>Rivera-Warner-East</v>
      </c>
      <c r="L1050" t="s">
        <v>1725</v>
      </c>
      <c r="M1050" t="s">
        <v>3957</v>
      </c>
      <c r="N1050" s="3">
        <v>143.69999999999999</v>
      </c>
      <c r="O1050" s="4">
        <v>0.19</v>
      </c>
      <c r="P1050" t="s">
        <v>1774</v>
      </c>
      <c r="Q1050" s="4">
        <v>116.39700000000001</v>
      </c>
    </row>
    <row r="1051" spans="1:17" x14ac:dyDescent="0.3">
      <c r="A1051" t="s">
        <v>2823</v>
      </c>
      <c r="B1051" t="str">
        <f t="shared" si="16"/>
        <v>Q2</v>
      </c>
      <c r="C1051" t="str">
        <f>TEXT(Table1[[#This Row],[Order_Date]],"mmmm")</f>
        <v>April</v>
      </c>
      <c r="D1051">
        <f>YEAR(Table1[[#This Row],[Order_Date]])</f>
        <v>2024</v>
      </c>
      <c r="E1051" s="7">
        <v>45385</v>
      </c>
      <c r="F1051" s="2" t="str">
        <f>VLOOKUP(Table1[[#This Row],[Customer_ID]],Customer_Dim!$A$2:$H$501,2,FALSE)</f>
        <v>Manuel Fisher</v>
      </c>
      <c r="G1051" s="2" t="str">
        <f>_xlfn.XLOOKUP(Table1[[#This Row],[Customer_ID]],Customer_Dim!$A$2:$A$501,Customer_Dim!$E$2:$E$501)</f>
        <v>Kanebury</v>
      </c>
      <c r="H1051" t="s">
        <v>1433</v>
      </c>
      <c r="I1051" t="str">
        <f>VLOOKUP(Table1[[#This Row],[Product_ID]],Product_Dim!$A$2:$G$101,2,FALSE)</f>
        <v>Men's Winter Jacket-Clothing</v>
      </c>
      <c r="J1051" t="s">
        <v>1615</v>
      </c>
      <c r="K1051" t="str">
        <f>VLOOKUP(Table1[[#This Row],[Store_ID]],Store_Dim!$A$3:$D$22,2,FALSE)</f>
        <v>Martinez, Adkins and Johnson-North</v>
      </c>
      <c r="L1051" t="s">
        <v>1728</v>
      </c>
      <c r="M1051" t="s">
        <v>3959</v>
      </c>
      <c r="N1051" s="3">
        <v>837.34</v>
      </c>
      <c r="O1051" s="4">
        <v>0.05</v>
      </c>
      <c r="P1051" t="s">
        <v>1774</v>
      </c>
      <c r="Q1051" s="4">
        <v>3181.8919999999998</v>
      </c>
    </row>
    <row r="1052" spans="1:17" x14ac:dyDescent="0.3">
      <c r="A1052" t="s">
        <v>2824</v>
      </c>
      <c r="B1052" t="str">
        <f t="shared" si="16"/>
        <v>Q3</v>
      </c>
      <c r="C1052" t="str">
        <f>TEXT(Table1[[#This Row],[Order_Date]],"mmmm")</f>
        <v>August</v>
      </c>
      <c r="D1052">
        <f>YEAR(Table1[[#This Row],[Order_Date]])</f>
        <v>2025</v>
      </c>
      <c r="E1052" s="7">
        <v>45878</v>
      </c>
      <c r="F1052" s="2" t="str">
        <f>VLOOKUP(Table1[[#This Row],[Customer_ID]],Customer_Dim!$A$2:$H$501,2,FALSE)</f>
        <v>Jacob Hopkins</v>
      </c>
      <c r="G1052" s="2" t="str">
        <f>_xlfn.XLOOKUP(Table1[[#This Row],[Customer_ID]],Customer_Dim!$A$2:$A$501,Customer_Dim!$E$2:$E$501)</f>
        <v>lake tylerfort</v>
      </c>
      <c r="H1052" t="s">
        <v>412</v>
      </c>
      <c r="I1052" t="str">
        <f>VLOOKUP(Table1[[#This Row],[Product_ID]],Product_Dim!$A$2:$G$101,2,FALSE)</f>
        <v>4K Home Projector-Electronics</v>
      </c>
      <c r="J1052" t="s">
        <v>1553</v>
      </c>
      <c r="K1052" t="str">
        <f>VLOOKUP(Table1[[#This Row],[Store_ID]],Store_Dim!$A$3:$D$22,2,FALSE)</f>
        <v>Mann-Austin-East</v>
      </c>
      <c r="L1052" t="s">
        <v>1763</v>
      </c>
      <c r="M1052" t="s">
        <v>3957</v>
      </c>
      <c r="N1052" s="3">
        <v>151.66</v>
      </c>
      <c r="O1052" s="4">
        <v>0.16</v>
      </c>
      <c r="P1052" t="s">
        <v>1777</v>
      </c>
      <c r="Q1052" s="4">
        <v>127.3944</v>
      </c>
    </row>
    <row r="1053" spans="1:17" x14ac:dyDescent="0.3">
      <c r="A1053" t="s">
        <v>2825</v>
      </c>
      <c r="B1053" t="str">
        <f t="shared" si="16"/>
        <v>Q1</v>
      </c>
      <c r="C1053" t="str">
        <f>TEXT(Table1[[#This Row],[Order_Date]],"mmmm")</f>
        <v>March</v>
      </c>
      <c r="D1053">
        <f>YEAR(Table1[[#This Row],[Order_Date]])</f>
        <v>2025</v>
      </c>
      <c r="E1053" s="7">
        <v>45720</v>
      </c>
      <c r="F1053" s="2" t="str">
        <f>VLOOKUP(Table1[[#This Row],[Customer_ID]],Customer_Dim!$A$2:$H$501,2,FALSE)</f>
        <v>Philip Pennington</v>
      </c>
      <c r="G1053" s="2" t="str">
        <f>_xlfn.XLOOKUP(Table1[[#This Row],[Customer_ID]],Customer_Dim!$A$2:$A$501,Customer_Dim!$E$2:$E$501)</f>
        <v>East Valerieview</v>
      </c>
      <c r="H1053" t="s">
        <v>1516</v>
      </c>
      <c r="I1053" t="str">
        <f>VLOOKUP(Table1[[#This Row],[Product_ID]],Product_Dim!$A$2:$G$101,2,FALSE)</f>
        <v>Adjustable Jump Rope-Sports</v>
      </c>
      <c r="J1053" t="s">
        <v>1611</v>
      </c>
      <c r="K1053" t="str">
        <f>VLOOKUP(Table1[[#This Row],[Store_ID]],Store_Dim!$A$3:$D$22,2,FALSE)</f>
        <v>Bean, Jones and Park-West</v>
      </c>
      <c r="L1053" t="s">
        <v>1744</v>
      </c>
      <c r="M1053" t="s">
        <v>3958</v>
      </c>
      <c r="N1053" s="3">
        <v>961.4</v>
      </c>
      <c r="O1053" s="4">
        <v>0.02</v>
      </c>
      <c r="P1053" t="s">
        <v>1774</v>
      </c>
      <c r="Q1053" s="4">
        <v>2826.5160000000001</v>
      </c>
    </row>
    <row r="1054" spans="1:17" x14ac:dyDescent="0.3">
      <c r="A1054" t="s">
        <v>2826</v>
      </c>
      <c r="B1054" t="str">
        <f t="shared" si="16"/>
        <v>Q3</v>
      </c>
      <c r="C1054" t="str">
        <f>TEXT(Table1[[#This Row],[Order_Date]],"mmmm")</f>
        <v>July</v>
      </c>
      <c r="D1054">
        <f>YEAR(Table1[[#This Row],[Order_Date]])</f>
        <v>2024</v>
      </c>
      <c r="E1054" s="7">
        <v>45503</v>
      </c>
      <c r="F1054" s="2" t="str">
        <f>VLOOKUP(Table1[[#This Row],[Customer_ID]],Customer_Dim!$A$2:$H$501,2,FALSE)</f>
        <v>James Holloway Jr.</v>
      </c>
      <c r="G1054" s="2" t="str">
        <f>_xlfn.XLOOKUP(Table1[[#This Row],[Customer_ID]],Customer_Dim!$A$2:$A$501,Customer_Dim!$E$2:$E$501)</f>
        <v>Millston</v>
      </c>
      <c r="H1054" t="s">
        <v>1144</v>
      </c>
      <c r="I1054" t="str">
        <f>VLOOKUP(Table1[[#This Row],[Product_ID]],Product_Dim!$A$2:$G$101,2,FALSE)</f>
        <v>Bluetooth Car Audio System-Electronics</v>
      </c>
      <c r="J1054" t="s">
        <v>1671</v>
      </c>
      <c r="K1054" t="str">
        <f>VLOOKUP(Table1[[#This Row],[Store_ID]],Store_Dim!$A$3:$D$22,2,FALSE)</f>
        <v>Guerrero-Schmitt-East</v>
      </c>
      <c r="L1054" t="s">
        <v>1761</v>
      </c>
      <c r="M1054" t="s">
        <v>3959</v>
      </c>
      <c r="N1054" s="3">
        <v>475.98</v>
      </c>
      <c r="O1054" s="4">
        <v>0.19</v>
      </c>
      <c r="P1054" t="s">
        <v>1774</v>
      </c>
      <c r="Q1054" s="4">
        <v>1542.1751999999999</v>
      </c>
    </row>
    <row r="1055" spans="1:17" x14ac:dyDescent="0.3">
      <c r="A1055" t="s">
        <v>2827</v>
      </c>
      <c r="B1055" t="str">
        <f t="shared" si="16"/>
        <v>Q3</v>
      </c>
      <c r="C1055" t="str">
        <f>TEXT(Table1[[#This Row],[Order_Date]],"mmmm")</f>
        <v>September</v>
      </c>
      <c r="D1055">
        <f>YEAR(Table1[[#This Row],[Order_Date]])</f>
        <v>2024</v>
      </c>
      <c r="E1055" s="7">
        <v>45551</v>
      </c>
      <c r="F1055" s="2" t="str">
        <f>VLOOKUP(Table1[[#This Row],[Customer_ID]],Customer_Dim!$A$2:$H$501,2,FALSE)</f>
        <v>Shelley Ponce</v>
      </c>
      <c r="G1055" s="2" t="str">
        <f>_xlfn.XLOOKUP(Table1[[#This Row],[Customer_ID]],Customer_Dim!$A$2:$A$501,Customer_Dim!$E$2:$E$501)</f>
        <v>South Cassandrachester</v>
      </c>
      <c r="H1055" t="s">
        <v>1174</v>
      </c>
      <c r="I1055" t="str">
        <f>VLOOKUP(Table1[[#This Row],[Product_ID]],Product_Dim!$A$2:$G$101,2,FALSE)</f>
        <v>Sports Water Hydration Pack-Sports</v>
      </c>
      <c r="J1055" t="s">
        <v>1599</v>
      </c>
      <c r="K1055" t="str">
        <f>VLOOKUP(Table1[[#This Row],[Store_ID]],Store_Dim!$A$3:$D$22,2,FALSE)</f>
        <v>Shelton PLC-North</v>
      </c>
      <c r="L1055" t="s">
        <v>1755</v>
      </c>
      <c r="M1055" t="s">
        <v>3959</v>
      </c>
      <c r="N1055" s="3">
        <v>132.88999999999999</v>
      </c>
      <c r="O1055" s="4">
        <v>0.12</v>
      </c>
      <c r="P1055" t="s">
        <v>1772</v>
      </c>
      <c r="Q1055" s="4">
        <v>467.77280000000002</v>
      </c>
    </row>
    <row r="1056" spans="1:17" x14ac:dyDescent="0.3">
      <c r="A1056" t="s">
        <v>2828</v>
      </c>
      <c r="B1056" t="str">
        <f t="shared" si="16"/>
        <v>Q3</v>
      </c>
      <c r="C1056" t="str">
        <f>TEXT(Table1[[#This Row],[Order_Date]],"mmmm")</f>
        <v>July</v>
      </c>
      <c r="D1056">
        <f>YEAR(Table1[[#This Row],[Order_Date]])</f>
        <v>2025</v>
      </c>
      <c r="E1056" s="7">
        <v>45850</v>
      </c>
      <c r="F1056" s="2" t="str">
        <f>VLOOKUP(Table1[[#This Row],[Customer_ID]],Customer_Dim!$A$2:$H$501,2,FALSE)</f>
        <v>Melinda Rivera</v>
      </c>
      <c r="G1056" s="2" t="str">
        <f>_xlfn.XLOOKUP(Table1[[#This Row],[Customer_ID]],Customer_Dim!$A$2:$A$501,Customer_Dim!$E$2:$E$501)</f>
        <v>East Davidmouth</v>
      </c>
      <c r="H1056" t="s">
        <v>1339</v>
      </c>
      <c r="I1056" t="str">
        <f>VLOOKUP(Table1[[#This Row],[Product_ID]],Product_Dim!$A$2:$G$101,2,FALSE)</f>
        <v>Bedroom Table Lamp-Home</v>
      </c>
      <c r="J1056" t="s">
        <v>1593</v>
      </c>
      <c r="K1056" t="str">
        <f>VLOOKUP(Table1[[#This Row],[Store_ID]],Store_Dim!$A$3:$D$22,2,FALSE)</f>
        <v>Thomas, Bridges and Harris-North</v>
      </c>
      <c r="L1056" t="s">
        <v>1751</v>
      </c>
      <c r="M1056" t="s">
        <v>3958</v>
      </c>
      <c r="N1056" s="3">
        <v>471.31</v>
      </c>
      <c r="O1056" s="4">
        <v>0</v>
      </c>
      <c r="P1056" t="s">
        <v>1774</v>
      </c>
      <c r="Q1056" s="4">
        <v>1413.93</v>
      </c>
    </row>
    <row r="1057" spans="1:17" x14ac:dyDescent="0.3">
      <c r="A1057" t="s">
        <v>2829</v>
      </c>
      <c r="B1057" t="str">
        <f t="shared" si="16"/>
        <v>Q2</v>
      </c>
      <c r="C1057" t="str">
        <f>TEXT(Table1[[#This Row],[Order_Date]],"mmmm")</f>
        <v>May</v>
      </c>
      <c r="D1057">
        <f>YEAR(Table1[[#This Row],[Order_Date]])</f>
        <v>2024</v>
      </c>
      <c r="E1057" s="7">
        <v>45441</v>
      </c>
      <c r="F1057" s="2" t="s">
        <v>3826</v>
      </c>
      <c r="G1057" s="2" t="s">
        <v>3826</v>
      </c>
      <c r="H1057" t="s">
        <v>1415</v>
      </c>
      <c r="I1057" t="str">
        <f>VLOOKUP(Table1[[#This Row],[Product_ID]],Product_Dim!$A$2:$G$101,2,FALSE)</f>
        <v>Wireless Mouse-Electronics</v>
      </c>
      <c r="J1057" t="s">
        <v>1675</v>
      </c>
      <c r="K1057" t="str">
        <f>VLOOKUP(Table1[[#This Row],[Store_ID]],Store_Dim!$A$3:$D$22,2,FALSE)</f>
        <v>Mcdonald Inc-South</v>
      </c>
      <c r="L1057" t="s">
        <v>1754</v>
      </c>
      <c r="M1057" t="s">
        <v>3960</v>
      </c>
      <c r="N1057" s="3">
        <v>720.32</v>
      </c>
      <c r="O1057" s="4">
        <v>0.26</v>
      </c>
      <c r="P1057" t="s">
        <v>1772</v>
      </c>
      <c r="Q1057" s="4">
        <v>1066.0735999999999</v>
      </c>
    </row>
    <row r="1058" spans="1:17" x14ac:dyDescent="0.3">
      <c r="A1058" t="s">
        <v>2830</v>
      </c>
      <c r="B1058" t="str">
        <f t="shared" si="16"/>
        <v>Q2</v>
      </c>
      <c r="C1058" t="str">
        <f>TEXT(Table1[[#This Row],[Order_Date]],"mmmm")</f>
        <v>May</v>
      </c>
      <c r="D1058">
        <f>YEAR(Table1[[#This Row],[Order_Date]])</f>
        <v>2024</v>
      </c>
      <c r="E1058" s="7">
        <v>45431</v>
      </c>
      <c r="F1058" s="2" t="str">
        <f>VLOOKUP(Table1[[#This Row],[Customer_ID]],Customer_Dim!$A$2:$H$501,2,FALSE)</f>
        <v>Rhonda Morales</v>
      </c>
      <c r="G1058" s="2" t="str">
        <f>_xlfn.XLOOKUP(Table1[[#This Row],[Customer_ID]],Customer_Dim!$A$2:$A$501,Customer_Dim!$E$2:$E$501)</f>
        <v>Lake Barryfurt</v>
      </c>
      <c r="H1058" t="s">
        <v>272</v>
      </c>
      <c r="I1058" t="str">
        <f>VLOOKUP(Table1[[#This Row],[Product_ID]],Product_Dim!$A$2:$G$101,2,FALSE)</f>
        <v>Women's Hair Dryer Brush-Beauty</v>
      </c>
      <c r="J1058" t="s">
        <v>1655</v>
      </c>
      <c r="K1058" t="str">
        <f>VLOOKUP(Table1[[#This Row],[Store_ID]],Store_Dim!$A$3:$D$22,2,FALSE)</f>
        <v>Guerrero-Schmitt-East</v>
      </c>
      <c r="L1058" t="s">
        <v>1761</v>
      </c>
      <c r="M1058" t="s">
        <v>3959</v>
      </c>
      <c r="N1058" s="3">
        <v>99.92</v>
      </c>
      <c r="O1058" s="4">
        <v>0.11</v>
      </c>
      <c r="P1058" t="s">
        <v>1777</v>
      </c>
      <c r="Q1058" s="4">
        <v>355.71519999999998</v>
      </c>
    </row>
    <row r="1059" spans="1:17" x14ac:dyDescent="0.3">
      <c r="A1059" t="s">
        <v>2831</v>
      </c>
      <c r="B1059" t="str">
        <f t="shared" si="16"/>
        <v>Q3</v>
      </c>
      <c r="C1059" t="str">
        <f>TEXT(Table1[[#This Row],[Order_Date]],"mmmm")</f>
        <v>August</v>
      </c>
      <c r="D1059">
        <f>YEAR(Table1[[#This Row],[Order_Date]])</f>
        <v>2025</v>
      </c>
      <c r="E1059" s="7">
        <v>45873</v>
      </c>
      <c r="F1059" s="2" t="str">
        <f>VLOOKUP(Table1[[#This Row],[Customer_ID]],Customer_Dim!$A$2:$H$501,2,FALSE)</f>
        <v>Amber Mcclain</v>
      </c>
      <c r="G1059" s="2" t="str">
        <f>_xlfn.XLOOKUP(Table1[[#This Row],[Customer_ID]],Customer_Dim!$A$2:$A$501,Customer_Dim!$E$2:$E$501)</f>
        <v>Brendaburgh</v>
      </c>
      <c r="H1059" t="s">
        <v>244</v>
      </c>
      <c r="I1059" t="str">
        <f>VLOOKUP(Table1[[#This Row],[Product_ID]],Product_Dim!$A$2:$G$101,2,FALSE)</f>
        <v>Ceramic Kitchen Bowl Set-Home</v>
      </c>
      <c r="J1059" t="s">
        <v>1543</v>
      </c>
      <c r="K1059" t="str">
        <f>VLOOKUP(Table1[[#This Row],[Store_ID]],Store_Dim!$A$3:$D$22,2,FALSE)</f>
        <v>Johnson-Wright-North</v>
      </c>
      <c r="L1059" t="s">
        <v>1733</v>
      </c>
      <c r="M1059" t="s">
        <v>3958</v>
      </c>
      <c r="N1059" s="3">
        <v>900.63</v>
      </c>
      <c r="O1059" s="4">
        <v>0.11</v>
      </c>
      <c r="P1059" t="s">
        <v>1777</v>
      </c>
      <c r="Q1059" s="4">
        <v>2404.6821</v>
      </c>
    </row>
    <row r="1060" spans="1:17" x14ac:dyDescent="0.3">
      <c r="A1060" t="s">
        <v>2832</v>
      </c>
      <c r="B1060" t="str">
        <f t="shared" si="16"/>
        <v>Q4</v>
      </c>
      <c r="C1060" t="str">
        <f>TEXT(Table1[[#This Row],[Order_Date]],"mmmm")</f>
        <v>December</v>
      </c>
      <c r="D1060">
        <f>YEAR(Table1[[#This Row],[Order_Date]])</f>
        <v>2024</v>
      </c>
      <c r="E1060" s="7">
        <v>45629</v>
      </c>
      <c r="F1060" s="2" t="str">
        <f>VLOOKUP(Table1[[#This Row],[Customer_ID]],Customer_Dim!$A$2:$H$501,2,FALSE)</f>
        <v>Kelli Smith</v>
      </c>
      <c r="G1060" s="2" t="str">
        <f>_xlfn.XLOOKUP(Table1[[#This Row],[Customer_ID]],Customer_Dim!$A$2:$A$501,Customer_Dim!$E$2:$E$501)</f>
        <v>North Maryfort</v>
      </c>
      <c r="H1060" t="s">
        <v>1352</v>
      </c>
      <c r="I1060" t="str">
        <f>VLOOKUP(Table1[[#This Row],[Product_ID]],Product_Dim!$A$2:$G$101,2,FALSE)</f>
        <v>Men's Winter Jacket-Clothing</v>
      </c>
      <c r="J1060" t="s">
        <v>1615</v>
      </c>
      <c r="K1060" t="str">
        <f>VLOOKUP(Table1[[#This Row],[Store_ID]],Store_Dim!$A$3:$D$22,2,FALSE)</f>
        <v>Bean, Jones and Park-West</v>
      </c>
      <c r="L1060" t="s">
        <v>1744</v>
      </c>
      <c r="M1060" t="s">
        <v>3957</v>
      </c>
      <c r="N1060" s="3">
        <v>681.72</v>
      </c>
      <c r="O1060" s="4">
        <v>0.11</v>
      </c>
      <c r="P1060" t="s">
        <v>1774</v>
      </c>
      <c r="Q1060" s="4">
        <v>606.73080000000004</v>
      </c>
    </row>
    <row r="1061" spans="1:17" x14ac:dyDescent="0.3">
      <c r="A1061" t="s">
        <v>2833</v>
      </c>
      <c r="B1061" t="str">
        <f t="shared" si="16"/>
        <v>Q4</v>
      </c>
      <c r="C1061" t="str">
        <f>TEXT(Table1[[#This Row],[Order_Date]],"mmmm")</f>
        <v>October</v>
      </c>
      <c r="D1061">
        <f>YEAR(Table1[[#This Row],[Order_Date]])</f>
        <v>2023</v>
      </c>
      <c r="E1061" s="7">
        <v>45222</v>
      </c>
      <c r="F1061" s="2" t="str">
        <f>VLOOKUP(Table1[[#This Row],[Customer_ID]],Customer_Dim!$A$2:$H$501,2,FALSE)</f>
        <v>Ms. Maria Leach</v>
      </c>
      <c r="G1061" s="2" t="str">
        <f>_xlfn.XLOOKUP(Table1[[#This Row],[Customer_ID]],Customer_Dim!$A$2:$A$501,Customer_Dim!$E$2:$E$501)</f>
        <v>Melissashire</v>
      </c>
      <c r="H1061" t="s">
        <v>48</v>
      </c>
      <c r="I1061" t="str">
        <f>VLOOKUP(Table1[[#This Row],[Product_ID]],Product_Dim!$A$2:$G$101,2,FALSE)</f>
        <v>Essential Oil Diffuser-Home</v>
      </c>
      <c r="J1061" t="s">
        <v>1679</v>
      </c>
      <c r="K1061" t="str">
        <f>VLOOKUP(Table1[[#This Row],[Store_ID]],Store_Dim!$A$3:$D$22,2,FALSE)</f>
        <v>Gardner, Humphrey and Contreras-East</v>
      </c>
      <c r="L1061" t="s">
        <v>1753</v>
      </c>
      <c r="M1061" t="s">
        <v>3960</v>
      </c>
      <c r="N1061" s="3">
        <v>838.22</v>
      </c>
      <c r="O1061" s="4">
        <v>0.3</v>
      </c>
      <c r="P1061" t="s">
        <v>1772</v>
      </c>
      <c r="Q1061" s="4">
        <v>1173.508</v>
      </c>
    </row>
    <row r="1062" spans="1:17" x14ac:dyDescent="0.3">
      <c r="A1062" t="s">
        <v>2834</v>
      </c>
      <c r="B1062" t="str">
        <f t="shared" si="16"/>
        <v>Q2</v>
      </c>
      <c r="C1062" t="str">
        <f>TEXT(Table1[[#This Row],[Order_Date]],"mmmm")</f>
        <v>May</v>
      </c>
      <c r="D1062">
        <f>YEAR(Table1[[#This Row],[Order_Date]])</f>
        <v>2025</v>
      </c>
      <c r="E1062" s="7">
        <v>45797</v>
      </c>
      <c r="F1062" s="2" t="str">
        <f>VLOOKUP(Table1[[#This Row],[Customer_ID]],Customer_Dim!$A$2:$H$501,2,FALSE)</f>
        <v>Ashley Ferguson</v>
      </c>
      <c r="G1062" s="2" t="str">
        <f>_xlfn.XLOOKUP(Table1[[#This Row],[Customer_ID]],Customer_Dim!$A$2:$A$501,Customer_Dim!$E$2:$E$501)</f>
        <v>Sarahmouth</v>
      </c>
      <c r="H1062" t="s">
        <v>631</v>
      </c>
      <c r="I1062" t="str">
        <f>VLOOKUP(Table1[[#This Row],[Product_ID]],Product_Dim!$A$2:$G$101,2,FALSE)</f>
        <v>LED Bedside Lamp-Home</v>
      </c>
      <c r="J1062" t="s">
        <v>1697</v>
      </c>
      <c r="K1062" t="str">
        <f>VLOOKUP(Table1[[#This Row],[Store_ID]],Store_Dim!$A$3:$D$22,2,FALSE)</f>
        <v>Thomas, Bridges and Harris-North</v>
      </c>
      <c r="L1062" t="s">
        <v>1751</v>
      </c>
      <c r="M1062" t="s">
        <v>3960</v>
      </c>
      <c r="N1062" s="3">
        <v>816.22</v>
      </c>
      <c r="O1062" s="4">
        <v>0.27</v>
      </c>
      <c r="P1062" t="s">
        <v>1772</v>
      </c>
      <c r="Q1062" s="4">
        <v>1191.6812</v>
      </c>
    </row>
    <row r="1063" spans="1:17" x14ac:dyDescent="0.3">
      <c r="A1063" t="s">
        <v>2835</v>
      </c>
      <c r="B1063" t="str">
        <f t="shared" si="16"/>
        <v>Q3</v>
      </c>
      <c r="C1063" t="str">
        <f>TEXT(Table1[[#This Row],[Order_Date]],"mmmm")</f>
        <v>September</v>
      </c>
      <c r="D1063">
        <f>YEAR(Table1[[#This Row],[Order_Date]])</f>
        <v>2024</v>
      </c>
      <c r="E1063" s="7">
        <v>45554</v>
      </c>
      <c r="F1063" s="2" t="str">
        <f>VLOOKUP(Table1[[#This Row],[Customer_ID]],Customer_Dim!$A$2:$H$501,2,FALSE)</f>
        <v>Shelley Ponce</v>
      </c>
      <c r="G1063" s="2" t="str">
        <f>_xlfn.XLOOKUP(Table1[[#This Row],[Customer_ID]],Customer_Dim!$A$2:$A$501,Customer_Dim!$E$2:$E$501)</f>
        <v>South Cassandrachester</v>
      </c>
      <c r="H1063" t="s">
        <v>1174</v>
      </c>
      <c r="I1063" t="str">
        <f>VLOOKUP(Table1[[#This Row],[Product_ID]],Product_Dim!$A$2:$G$101,2,FALSE)</f>
        <v>Tennis Ball 3-Pack-Sports</v>
      </c>
      <c r="J1063" t="s">
        <v>1645</v>
      </c>
      <c r="K1063" t="str">
        <f>VLOOKUP(Table1[[#This Row],[Store_ID]],Store_Dim!$A$3:$D$22,2,FALSE)</f>
        <v>Martinez-Mullins-South</v>
      </c>
      <c r="L1063" t="s">
        <v>1742</v>
      </c>
      <c r="M1063" t="s">
        <v>3960</v>
      </c>
      <c r="N1063" s="3">
        <v>654.12</v>
      </c>
      <c r="O1063" s="4">
        <v>0.27</v>
      </c>
      <c r="P1063" t="s">
        <v>1774</v>
      </c>
      <c r="Q1063" s="4">
        <v>955.01519999999994</v>
      </c>
    </row>
    <row r="1064" spans="1:17" x14ac:dyDescent="0.3">
      <c r="A1064" t="s">
        <v>2836</v>
      </c>
      <c r="B1064" t="str">
        <f t="shared" si="16"/>
        <v>Q2</v>
      </c>
      <c r="C1064" t="str">
        <f>TEXT(Table1[[#This Row],[Order_Date]],"mmmm")</f>
        <v>April</v>
      </c>
      <c r="D1064">
        <f>YEAR(Table1[[#This Row],[Order_Date]])</f>
        <v>2024</v>
      </c>
      <c r="E1064" s="7">
        <v>45385</v>
      </c>
      <c r="F1064" s="2" t="str">
        <f>VLOOKUP(Table1[[#This Row],[Customer_ID]],Customer_Dim!$A$2:$H$501,2,FALSE)</f>
        <v>Lance Baker</v>
      </c>
      <c r="G1064" s="2" t="str">
        <f>_xlfn.XLOOKUP(Table1[[#This Row],[Customer_ID]],Customer_Dim!$A$2:$A$501,Customer_Dim!$E$2:$E$501)</f>
        <v>Port Victoria</v>
      </c>
      <c r="H1064" t="s">
        <v>367</v>
      </c>
      <c r="I1064" t="str">
        <f>VLOOKUP(Table1[[#This Row],[Product_ID]],Product_Dim!$A$2:$G$101,2,FALSE)</f>
        <v>Shin Guards – Adult-Sports</v>
      </c>
      <c r="J1064" t="s">
        <v>1669</v>
      </c>
      <c r="K1064" t="str">
        <f>VLOOKUP(Table1[[#This Row],[Store_ID]],Store_Dim!$A$3:$D$22,2,FALSE)</f>
        <v>Gardner, Humphrey and Contreras-East</v>
      </c>
      <c r="L1064" t="s">
        <v>1753</v>
      </c>
      <c r="M1064" t="s">
        <v>3959</v>
      </c>
      <c r="N1064" s="3">
        <v>528.22</v>
      </c>
      <c r="O1064" s="4">
        <v>0.2</v>
      </c>
      <c r="P1064" t="s">
        <v>1774</v>
      </c>
      <c r="Q1064" s="4">
        <v>1690.3040000000001</v>
      </c>
    </row>
    <row r="1065" spans="1:17" x14ac:dyDescent="0.3">
      <c r="A1065" t="s">
        <v>2837</v>
      </c>
      <c r="B1065" t="str">
        <f t="shared" si="16"/>
        <v>Q1</v>
      </c>
      <c r="C1065" t="str">
        <f>TEXT(Table1[[#This Row],[Order_Date]],"mmmm")</f>
        <v>February</v>
      </c>
      <c r="D1065">
        <f>YEAR(Table1[[#This Row],[Order_Date]])</f>
        <v>2025</v>
      </c>
      <c r="E1065" s="7">
        <v>45704</v>
      </c>
      <c r="F1065" s="2" t="str">
        <f>VLOOKUP(Table1[[#This Row],[Customer_ID]],Customer_Dim!$A$2:$H$501,2,FALSE)</f>
        <v>Lisa Young</v>
      </c>
      <c r="G1065" s="2" t="str">
        <f>_xlfn.XLOOKUP(Table1[[#This Row],[Customer_ID]],Customer_Dim!$A$2:$A$501,Customer_Dim!$E$2:$E$501)</f>
        <v>Maybury</v>
      </c>
      <c r="H1065" t="s">
        <v>710</v>
      </c>
      <c r="I1065" t="str">
        <f>VLOOKUP(Table1[[#This Row],[Product_ID]],Product_Dim!$A$2:$G$101,2,FALSE)</f>
        <v>Gaming Mechanical Keyboard-Electronics</v>
      </c>
      <c r="J1065" t="s">
        <v>1591</v>
      </c>
      <c r="K1065" t="str">
        <f>VLOOKUP(Table1[[#This Row],[Store_ID]],Store_Dim!$A$3:$D$22,2,FALSE)</f>
        <v>Martinez-Mullins-South</v>
      </c>
      <c r="L1065" t="s">
        <v>1742</v>
      </c>
      <c r="M1065" t="s">
        <v>3959</v>
      </c>
      <c r="N1065" s="3">
        <v>36.72</v>
      </c>
      <c r="O1065" s="4">
        <v>7.0000000000000007E-2</v>
      </c>
      <c r="P1065" t="s">
        <v>1777</v>
      </c>
      <c r="Q1065" s="4">
        <v>136.5984</v>
      </c>
    </row>
    <row r="1066" spans="1:17" x14ac:dyDescent="0.3">
      <c r="A1066" t="s">
        <v>2838</v>
      </c>
      <c r="B1066" t="str">
        <f t="shared" si="16"/>
        <v>Q3</v>
      </c>
      <c r="C1066" t="str">
        <f>TEXT(Table1[[#This Row],[Order_Date]],"mmmm")</f>
        <v>September</v>
      </c>
      <c r="D1066">
        <f>YEAR(Table1[[#This Row],[Order_Date]])</f>
        <v>2024</v>
      </c>
      <c r="E1066" s="7">
        <v>45545</v>
      </c>
      <c r="F1066" s="2" t="str">
        <f>VLOOKUP(Table1[[#This Row],[Customer_ID]],Customer_Dim!$A$2:$H$501,2,FALSE)</f>
        <v>James Holloway Jr.</v>
      </c>
      <c r="G1066" s="2" t="str">
        <f>_xlfn.XLOOKUP(Table1[[#This Row],[Customer_ID]],Customer_Dim!$A$2:$A$501,Customer_Dim!$E$2:$E$501)</f>
        <v>Millston</v>
      </c>
      <c r="H1066" t="s">
        <v>1144</v>
      </c>
      <c r="I1066" t="str">
        <f>VLOOKUP(Table1[[#This Row],[Product_ID]],Product_Dim!$A$2:$G$101,2,FALSE)</f>
        <v>Essential Oil Diffuser-Home</v>
      </c>
      <c r="J1066" t="s">
        <v>1679</v>
      </c>
      <c r="K1066" t="str">
        <f>VLOOKUP(Table1[[#This Row],[Store_ID]],Store_Dim!$A$3:$D$22,2,FALSE)</f>
        <v>Mann-Austin-East</v>
      </c>
      <c r="L1066" t="s">
        <v>1763</v>
      </c>
      <c r="M1066" t="s">
        <v>3960</v>
      </c>
      <c r="N1066" s="3">
        <v>705.97</v>
      </c>
      <c r="O1066" s="4">
        <v>0.1</v>
      </c>
      <c r="P1066" t="s">
        <v>1774</v>
      </c>
      <c r="Q1066" s="4">
        <v>1270.7460000000001</v>
      </c>
    </row>
    <row r="1067" spans="1:17" x14ac:dyDescent="0.3">
      <c r="A1067" t="s">
        <v>2839</v>
      </c>
      <c r="B1067" t="str">
        <f t="shared" si="16"/>
        <v>Q1</v>
      </c>
      <c r="C1067" t="str">
        <f>TEXT(Table1[[#This Row],[Order_Date]],"mmmm")</f>
        <v>March</v>
      </c>
      <c r="D1067">
        <f>YEAR(Table1[[#This Row],[Order_Date]])</f>
        <v>2025</v>
      </c>
      <c r="E1067" s="7">
        <v>45736</v>
      </c>
      <c r="F1067" s="2" t="str">
        <f>VLOOKUP(Table1[[#This Row],[Customer_ID]],Customer_Dim!$A$2:$H$501,2,FALSE)</f>
        <v>Jonathan Steele</v>
      </c>
      <c r="G1067" s="2" t="str">
        <f>_xlfn.XLOOKUP(Table1[[#This Row],[Customer_ID]],Customer_Dim!$A$2:$A$501,Customer_Dim!$E$2:$E$501)</f>
        <v>Molinabury</v>
      </c>
      <c r="H1067" t="s">
        <v>100</v>
      </c>
      <c r="I1067" t="str">
        <f>VLOOKUP(Table1[[#This Row],[Product_ID]],Product_Dim!$A$2:$G$101,2,FALSE)</f>
        <v>Noise-Canceling Headphones-Electronics</v>
      </c>
      <c r="J1067" t="s">
        <v>1603</v>
      </c>
      <c r="K1067" t="str">
        <f>VLOOKUP(Table1[[#This Row],[Store_ID]],Store_Dim!$A$3:$D$22,2,FALSE)</f>
        <v>Martinez, Adkins and Johnson-North</v>
      </c>
      <c r="L1067" t="s">
        <v>1728</v>
      </c>
      <c r="M1067" t="s">
        <v>3960</v>
      </c>
      <c r="N1067" s="3">
        <v>994.29</v>
      </c>
      <c r="O1067" s="4">
        <v>0.01</v>
      </c>
      <c r="P1067" t="s">
        <v>1774</v>
      </c>
      <c r="Q1067" s="4">
        <v>1968.6941999999999</v>
      </c>
    </row>
    <row r="1068" spans="1:17" x14ac:dyDescent="0.3">
      <c r="A1068" t="s">
        <v>2840</v>
      </c>
      <c r="B1068" t="str">
        <f t="shared" si="16"/>
        <v>Q4</v>
      </c>
      <c r="C1068" t="str">
        <f>TEXT(Table1[[#This Row],[Order_Date]],"mmmm")</f>
        <v>November</v>
      </c>
      <c r="D1068">
        <f>YEAR(Table1[[#This Row],[Order_Date]])</f>
        <v>2024</v>
      </c>
      <c r="E1068" s="7">
        <v>45608</v>
      </c>
      <c r="F1068" s="2" t="str">
        <f>VLOOKUP(Table1[[#This Row],[Customer_ID]],Customer_Dim!$A$2:$H$501,2,FALSE)</f>
        <v>Holly Robinson</v>
      </c>
      <c r="G1068" s="2" t="str">
        <f>_xlfn.XLOOKUP(Table1[[#This Row],[Customer_ID]],Customer_Dim!$A$2:$A$501,Customer_Dim!$E$2:$E$501)</f>
        <v>East Amy</v>
      </c>
      <c r="H1068" t="s">
        <v>1292</v>
      </c>
      <c r="I1068" t="str">
        <f>VLOOKUP(Table1[[#This Row],[Product_ID]],Product_Dim!$A$2:$G$101,2,FALSE)</f>
        <v>Microwave Oven-Home</v>
      </c>
      <c r="J1068" t="s">
        <v>1707</v>
      </c>
      <c r="K1068" t="str">
        <f>VLOOKUP(Table1[[#This Row],[Store_ID]],Store_Dim!$A$3:$D$22,2,FALSE)</f>
        <v>Guerrero-Schmitt-East</v>
      </c>
      <c r="L1068" t="s">
        <v>1761</v>
      </c>
      <c r="M1068" t="s">
        <v>3957</v>
      </c>
      <c r="N1068" s="3">
        <v>909.04</v>
      </c>
      <c r="O1068" s="4">
        <v>0.11</v>
      </c>
      <c r="P1068" t="s">
        <v>1772</v>
      </c>
      <c r="Q1068" s="4">
        <v>809.04560000000004</v>
      </c>
    </row>
    <row r="1069" spans="1:17" x14ac:dyDescent="0.3">
      <c r="A1069" t="s">
        <v>2841</v>
      </c>
      <c r="B1069" t="str">
        <f t="shared" si="16"/>
        <v>Q1</v>
      </c>
      <c r="C1069" t="str">
        <f>TEXT(Table1[[#This Row],[Order_Date]],"mmmm")</f>
        <v>February</v>
      </c>
      <c r="D1069">
        <f>YEAR(Table1[[#This Row],[Order_Date]])</f>
        <v>2024</v>
      </c>
      <c r="E1069" s="7">
        <v>45334</v>
      </c>
      <c r="F1069" s="2" t="str">
        <f>VLOOKUP(Table1[[#This Row],[Customer_ID]],Customer_Dim!$A$2:$H$501,2,FALSE)</f>
        <v>Heather Valenzuela</v>
      </c>
      <c r="G1069" s="2" t="str">
        <f>_xlfn.XLOOKUP(Table1[[#This Row],[Customer_ID]],Customer_Dim!$A$2:$A$501,Customer_Dim!$E$2:$E$501)</f>
        <v>New Angiefurt</v>
      </c>
      <c r="H1069" t="s">
        <v>1083</v>
      </c>
      <c r="I1069" t="str">
        <f>VLOOKUP(Table1[[#This Row],[Product_ID]],Product_Dim!$A$2:$G$101,2,FALSE)</f>
        <v>Gaming Mechanical Keyboard-Electronics</v>
      </c>
      <c r="J1069" t="s">
        <v>1591</v>
      </c>
      <c r="K1069" t="str">
        <f>VLOOKUP(Table1[[#This Row],[Store_ID]],Store_Dim!$A$3:$D$22,2,FALSE)</f>
        <v>Aguirre-Keller-South</v>
      </c>
      <c r="L1069" t="s">
        <v>1750</v>
      </c>
      <c r="M1069" t="s">
        <v>3957</v>
      </c>
      <c r="N1069" s="3">
        <v>164.73</v>
      </c>
      <c r="O1069" s="4">
        <v>0.12</v>
      </c>
      <c r="P1069" t="s">
        <v>1774</v>
      </c>
      <c r="Q1069" s="4">
        <v>144.9624</v>
      </c>
    </row>
    <row r="1070" spans="1:17" x14ac:dyDescent="0.3">
      <c r="A1070" t="s">
        <v>2842</v>
      </c>
      <c r="B1070" t="str">
        <f t="shared" si="16"/>
        <v>Q1</v>
      </c>
      <c r="C1070" t="str">
        <f>TEXT(Table1[[#This Row],[Order_Date]],"mmmm")</f>
        <v>February</v>
      </c>
      <c r="D1070">
        <f>YEAR(Table1[[#This Row],[Order_Date]])</f>
        <v>2025</v>
      </c>
      <c r="E1070" s="7">
        <v>45690</v>
      </c>
      <c r="F1070" s="2" t="str">
        <f>VLOOKUP(Table1[[#This Row],[Customer_ID]],Customer_Dim!$A$2:$H$501,2,FALSE)</f>
        <v>James Bean</v>
      </c>
      <c r="G1070" s="2" t="str">
        <f>_xlfn.XLOOKUP(Table1[[#This Row],[Customer_ID]],Customer_Dim!$A$2:$A$501,Customer_Dim!$E$2:$E$501)</f>
        <v>Stevensonton</v>
      </c>
      <c r="H1070" t="s">
        <v>227</v>
      </c>
      <c r="I1070" t="str">
        <f>VLOOKUP(Table1[[#This Row],[Product_ID]],Product_Dim!$A$2:$G$101,2,FALSE)</f>
        <v>Men's Casual Sneakers-Clothing</v>
      </c>
      <c r="J1070" t="s">
        <v>1597</v>
      </c>
      <c r="K1070" t="str">
        <f>VLOOKUP(Table1[[#This Row],[Store_ID]],Store_Dim!$A$3:$D$22,2,FALSE)</f>
        <v>Martinez-Mullins-South</v>
      </c>
      <c r="L1070" t="s">
        <v>1742</v>
      </c>
      <c r="M1070" t="s">
        <v>3960</v>
      </c>
      <c r="N1070" s="3">
        <v>606.35</v>
      </c>
      <c r="O1070" s="4">
        <v>0.16</v>
      </c>
      <c r="P1070" t="s">
        <v>1777</v>
      </c>
      <c r="Q1070" s="4">
        <v>1018.668</v>
      </c>
    </row>
    <row r="1071" spans="1:17" x14ac:dyDescent="0.3">
      <c r="A1071" t="s">
        <v>2843</v>
      </c>
      <c r="B1071" t="str">
        <f t="shared" si="16"/>
        <v>Q3</v>
      </c>
      <c r="C1071" t="str">
        <f>TEXT(Table1[[#This Row],[Order_Date]],"mmmm")</f>
        <v>July</v>
      </c>
      <c r="D1071">
        <f>YEAR(Table1[[#This Row],[Order_Date]])</f>
        <v>2024</v>
      </c>
      <c r="E1071" s="7">
        <v>45481</v>
      </c>
      <c r="F1071" s="2" t="str">
        <f>VLOOKUP(Table1[[#This Row],[Customer_ID]],Customer_Dim!$A$2:$H$501,2,FALSE)</f>
        <v>Joseph Jones</v>
      </c>
      <c r="G1071" s="2" t="str">
        <f>_xlfn.XLOOKUP(Table1[[#This Row],[Customer_ID]],Customer_Dim!$A$2:$A$501,Customer_Dim!$E$2:$E$501)</f>
        <v>North Matthew</v>
      </c>
      <c r="H1071" t="s">
        <v>539</v>
      </c>
      <c r="I1071" t="str">
        <f>VLOOKUP(Table1[[#This Row],[Product_ID]],Product_Dim!$A$2:$G$101,2,FALSE)</f>
        <v>Portable Bluetooth Speaker-Electronics</v>
      </c>
      <c r="J1071" t="s">
        <v>1719</v>
      </c>
      <c r="K1071" t="str">
        <f>VLOOKUP(Table1[[#This Row],[Store_ID]],Store_Dim!$A$3:$D$22,2,FALSE)</f>
        <v>Alexander Group-South</v>
      </c>
      <c r="L1071" t="s">
        <v>1735</v>
      </c>
      <c r="M1071" t="s">
        <v>3958</v>
      </c>
      <c r="N1071" s="3">
        <v>904.19</v>
      </c>
      <c r="O1071" s="4">
        <v>0.09</v>
      </c>
      <c r="P1071" t="s">
        <v>1772</v>
      </c>
      <c r="Q1071" s="4">
        <v>2468.4387000000002</v>
      </c>
    </row>
    <row r="1072" spans="1:17" x14ac:dyDescent="0.3">
      <c r="A1072" t="s">
        <v>2844</v>
      </c>
      <c r="B1072" t="str">
        <f t="shared" si="16"/>
        <v>Q4</v>
      </c>
      <c r="C1072" t="str">
        <f>TEXT(Table1[[#This Row],[Order_Date]],"mmmm")</f>
        <v>October</v>
      </c>
      <c r="D1072">
        <f>YEAR(Table1[[#This Row],[Order_Date]])</f>
        <v>2024</v>
      </c>
      <c r="E1072" s="7">
        <v>45576</v>
      </c>
      <c r="F1072" s="2" t="str">
        <f>VLOOKUP(Table1[[#This Row],[Customer_ID]],Customer_Dim!$A$2:$H$501,2,FALSE)</f>
        <v>Michael Davies</v>
      </c>
      <c r="G1072" s="2" t="str">
        <f>_xlfn.XLOOKUP(Table1[[#This Row],[Customer_ID]],Customer_Dim!$A$2:$A$501,Customer_Dim!$E$2:$E$501)</f>
        <v>Lake Stevenfort</v>
      </c>
      <c r="H1072" t="s">
        <v>503</v>
      </c>
      <c r="I1072" t="str">
        <f>VLOOKUP(Table1[[#This Row],[Product_ID]],Product_Dim!$A$2:$G$101,2,FALSE)</f>
        <v>Boxing Hand Wraps-Sports</v>
      </c>
      <c r="J1072" t="s">
        <v>1623</v>
      </c>
      <c r="K1072" t="str">
        <f>VLOOKUP(Table1[[#This Row],[Store_ID]],Store_Dim!$A$3:$D$22,2,FALSE)</f>
        <v>Black-Horn-South</v>
      </c>
      <c r="L1072" t="s">
        <v>1730</v>
      </c>
      <c r="M1072" t="s">
        <v>3959</v>
      </c>
      <c r="N1072" s="3">
        <v>694.61</v>
      </c>
      <c r="O1072" s="4">
        <v>0.18</v>
      </c>
      <c r="P1072" t="s">
        <v>1777</v>
      </c>
      <c r="Q1072" s="4">
        <v>2278.3208</v>
      </c>
    </row>
    <row r="1073" spans="1:17" x14ac:dyDescent="0.3">
      <c r="A1073" t="s">
        <v>2845</v>
      </c>
      <c r="B1073" t="str">
        <f t="shared" si="16"/>
        <v>Q4</v>
      </c>
      <c r="C1073" t="str">
        <f>TEXT(Table1[[#This Row],[Order_Date]],"mmmm")</f>
        <v>October</v>
      </c>
      <c r="D1073">
        <f>YEAR(Table1[[#This Row],[Order_Date]])</f>
        <v>2023</v>
      </c>
      <c r="E1073" s="7">
        <v>45215</v>
      </c>
      <c r="F1073" s="2" t="str">
        <f>VLOOKUP(Table1[[#This Row],[Customer_ID]],Customer_Dim!$A$2:$H$501,2,FALSE)</f>
        <v>Elizabeth Stanley</v>
      </c>
      <c r="G1073" s="2" t="str">
        <f>_xlfn.XLOOKUP(Table1[[#This Row],[Customer_ID]],Customer_Dim!$A$2:$A$501,Customer_Dim!$E$2:$E$501)</f>
        <v>Bethanyton</v>
      </c>
      <c r="H1073" t="s">
        <v>721</v>
      </c>
      <c r="I1073" t="str">
        <f>VLOOKUP(Table1[[#This Row],[Product_ID]],Product_Dim!$A$2:$G$101,2,FALSE)</f>
        <v>Face Foundation Kit-Beauty</v>
      </c>
      <c r="J1073" t="s">
        <v>1701</v>
      </c>
      <c r="K1073" t="str">
        <f>VLOOKUP(Table1[[#This Row],[Store_ID]],Store_Dim!$A$3:$D$22,2,FALSE)</f>
        <v>Black-Horn-South</v>
      </c>
      <c r="L1073" t="s">
        <v>1730</v>
      </c>
      <c r="M1073" t="s">
        <v>3959</v>
      </c>
      <c r="N1073" s="3">
        <v>753.83</v>
      </c>
      <c r="O1073" s="4">
        <v>0.24</v>
      </c>
      <c r="P1073" t="s">
        <v>1772</v>
      </c>
      <c r="Q1073" s="4">
        <v>2291.6432</v>
      </c>
    </row>
    <row r="1074" spans="1:17" x14ac:dyDescent="0.3">
      <c r="A1074" t="s">
        <v>2846</v>
      </c>
      <c r="B1074" t="str">
        <f t="shared" si="16"/>
        <v>Q4</v>
      </c>
      <c r="C1074" t="str">
        <f>TEXT(Table1[[#This Row],[Order_Date]],"mmmm")</f>
        <v>December</v>
      </c>
      <c r="D1074">
        <f>YEAR(Table1[[#This Row],[Order_Date]])</f>
        <v>2024</v>
      </c>
      <c r="E1074" s="7">
        <v>45653</v>
      </c>
      <c r="F1074" s="2" t="str">
        <f>VLOOKUP(Table1[[#This Row],[Customer_ID]],Customer_Dim!$A$2:$H$501,2,FALSE)</f>
        <v>Andrea Jacobs</v>
      </c>
      <c r="G1074" s="2" t="str">
        <f>_xlfn.XLOOKUP(Table1[[#This Row],[Customer_ID]],Customer_Dim!$A$2:$A$501,Customer_Dim!$E$2:$E$501)</f>
        <v>Christopherland</v>
      </c>
      <c r="H1074" t="s">
        <v>640</v>
      </c>
      <c r="I1074" t="str">
        <f>VLOOKUP(Table1[[#This Row],[Product_ID]],Product_Dim!$A$2:$G$101,2,FALSE)</f>
        <v>Multi-Purpose Storage Box-Home</v>
      </c>
      <c r="J1074" t="s">
        <v>1565</v>
      </c>
      <c r="K1074" t="str">
        <f>VLOOKUP(Table1[[#This Row],[Store_ID]],Store_Dim!$A$3:$D$22,2,FALSE)</f>
        <v>Bean, Jones and Park-West</v>
      </c>
      <c r="L1074" t="s">
        <v>1744</v>
      </c>
      <c r="M1074" t="s">
        <v>3957</v>
      </c>
      <c r="N1074" s="3">
        <v>66.22</v>
      </c>
      <c r="O1074" s="4">
        <v>0.02</v>
      </c>
      <c r="P1074" t="s">
        <v>1772</v>
      </c>
      <c r="Q1074" s="4">
        <v>64.895600000000002</v>
      </c>
    </row>
    <row r="1075" spans="1:17" x14ac:dyDescent="0.3">
      <c r="A1075" t="s">
        <v>2847</v>
      </c>
      <c r="B1075" t="str">
        <f t="shared" si="16"/>
        <v>Q4</v>
      </c>
      <c r="C1075" t="str">
        <f>TEXT(Table1[[#This Row],[Order_Date]],"mmmm")</f>
        <v>November</v>
      </c>
      <c r="D1075">
        <f>YEAR(Table1[[#This Row],[Order_Date]])</f>
        <v>2023</v>
      </c>
      <c r="E1075" s="7">
        <v>45241</v>
      </c>
      <c r="F1075" s="2" t="str">
        <f>VLOOKUP(Table1[[#This Row],[Customer_ID]],Customer_Dim!$A$2:$H$501,2,FALSE)</f>
        <v>Carol Lewis</v>
      </c>
      <c r="G1075" s="2" t="str">
        <f>_xlfn.XLOOKUP(Table1[[#This Row],[Customer_ID]],Customer_Dim!$A$2:$A$501,Customer_Dim!$E$2:$E$501)</f>
        <v>Ryanport</v>
      </c>
      <c r="H1075" t="s">
        <v>1048</v>
      </c>
      <c r="I1075" t="str">
        <f>VLOOKUP(Table1[[#This Row],[Product_ID]],Product_Dim!$A$2:$G$101,2,FALSE)</f>
        <v>Matte Lipstick Set-Beauty</v>
      </c>
      <c r="J1075" t="s">
        <v>1651</v>
      </c>
      <c r="K1075" t="str">
        <f>VLOOKUP(Table1[[#This Row],[Store_ID]],Store_Dim!$A$3:$D$22,2,FALSE)</f>
        <v>Mcdonald Inc-South</v>
      </c>
      <c r="L1075" t="s">
        <v>1754</v>
      </c>
      <c r="M1075" t="s">
        <v>3960</v>
      </c>
      <c r="N1075" s="3">
        <v>891.8</v>
      </c>
      <c r="O1075" s="4">
        <v>0.28999999999999998</v>
      </c>
      <c r="P1075" t="s">
        <v>1777</v>
      </c>
      <c r="Q1075" s="4">
        <v>1266.356</v>
      </c>
    </row>
    <row r="1076" spans="1:17" x14ac:dyDescent="0.3">
      <c r="A1076" t="s">
        <v>2848</v>
      </c>
      <c r="B1076" t="str">
        <f t="shared" si="16"/>
        <v>Q2</v>
      </c>
      <c r="C1076" t="str">
        <f>TEXT(Table1[[#This Row],[Order_Date]],"mmmm")</f>
        <v>May</v>
      </c>
      <c r="D1076">
        <f>YEAR(Table1[[#This Row],[Order_Date]])</f>
        <v>2024</v>
      </c>
      <c r="E1076" s="7">
        <v>45428</v>
      </c>
      <c r="F1076" s="2" t="str">
        <f>VLOOKUP(Table1[[#This Row],[Customer_ID]],Customer_Dim!$A$2:$H$501,2,FALSE)</f>
        <v>Elizabeth Smith</v>
      </c>
      <c r="G1076" s="2" t="str">
        <f>_xlfn.XLOOKUP(Table1[[#This Row],[Customer_ID]],Customer_Dim!$A$2:$A$501,Customer_Dim!$E$2:$E$501)</f>
        <v>Murphytown</v>
      </c>
      <c r="H1076" t="s">
        <v>1123</v>
      </c>
      <c r="I1076" t="str">
        <f>VLOOKUP(Table1[[#This Row],[Product_ID]],Product_Dim!$A$2:$G$101,2,FALSE)</f>
        <v>Women's Ankle Boots-Clothing</v>
      </c>
      <c r="J1076" t="s">
        <v>1673</v>
      </c>
      <c r="K1076" t="str">
        <f>VLOOKUP(Table1[[#This Row],[Store_ID]],Store_Dim!$A$3:$D$22,2,FALSE)</f>
        <v>Moore, Padilla and Butler-South</v>
      </c>
      <c r="L1076" t="s">
        <v>1746</v>
      </c>
      <c r="M1076" t="s">
        <v>3959</v>
      </c>
      <c r="N1076" s="3">
        <v>255.48</v>
      </c>
      <c r="O1076" s="4">
        <v>0.03</v>
      </c>
      <c r="P1076" t="s">
        <v>1777</v>
      </c>
      <c r="Q1076" s="4">
        <v>991.26239999999996</v>
      </c>
    </row>
    <row r="1077" spans="1:17" x14ac:dyDescent="0.3">
      <c r="A1077" t="s">
        <v>2849</v>
      </c>
      <c r="B1077" t="str">
        <f t="shared" si="16"/>
        <v>Q4</v>
      </c>
      <c r="C1077" t="str">
        <f>TEXT(Table1[[#This Row],[Order_Date]],"mmmm")</f>
        <v>October</v>
      </c>
      <c r="D1077">
        <f>YEAR(Table1[[#This Row],[Order_Date]])</f>
        <v>2024</v>
      </c>
      <c r="E1077" s="7">
        <v>45593</v>
      </c>
      <c r="F1077" s="2" t="str">
        <f>VLOOKUP(Table1[[#This Row],[Customer_ID]],Customer_Dim!$A$2:$H$501,2,FALSE)</f>
        <v>Ryan Kane</v>
      </c>
      <c r="G1077" s="2" t="str">
        <f>_xlfn.XLOOKUP(Table1[[#This Row],[Customer_ID]],Customer_Dim!$A$2:$A$501,Customer_Dim!$E$2:$E$501)</f>
        <v>West Bruceburgh</v>
      </c>
      <c r="H1077" t="s">
        <v>942</v>
      </c>
      <c r="I1077" t="str">
        <f>VLOOKUP(Table1[[#This Row],[Product_ID]],Product_Dim!$A$2:$G$101,2,FALSE)</f>
        <v>Wooden Bookshelf-Home</v>
      </c>
      <c r="J1077" t="s">
        <v>1691</v>
      </c>
      <c r="K1077" t="str">
        <f>VLOOKUP(Table1[[#This Row],[Store_ID]],Store_Dim!$A$3:$D$22,2,FALSE)</f>
        <v>Holloway Ltd-North</v>
      </c>
      <c r="L1077" t="s">
        <v>1759</v>
      </c>
      <c r="M1077" t="s">
        <v>3959</v>
      </c>
      <c r="N1077" s="3">
        <v>604.87</v>
      </c>
      <c r="O1077" s="4">
        <v>0.28000000000000003</v>
      </c>
      <c r="P1077" t="s">
        <v>1774</v>
      </c>
      <c r="Q1077" s="4">
        <v>1742.0255999999999</v>
      </c>
    </row>
    <row r="1078" spans="1:17" x14ac:dyDescent="0.3">
      <c r="A1078" t="s">
        <v>2850</v>
      </c>
      <c r="B1078" t="str">
        <f t="shared" si="16"/>
        <v>Q1</v>
      </c>
      <c r="C1078" t="str">
        <f>TEXT(Table1[[#This Row],[Order_Date]],"mmmm")</f>
        <v>March</v>
      </c>
      <c r="D1078">
        <f>YEAR(Table1[[#This Row],[Order_Date]])</f>
        <v>2024</v>
      </c>
      <c r="E1078" s="7">
        <v>45370</v>
      </c>
      <c r="F1078" s="2" t="str">
        <f>VLOOKUP(Table1[[#This Row],[Customer_ID]],Customer_Dim!$A$2:$H$501,2,FALSE)</f>
        <v>Jordan Jackson Dds</v>
      </c>
      <c r="G1078" s="2" t="str">
        <f>_xlfn.XLOOKUP(Table1[[#This Row],[Customer_ID]],Customer_Dim!$A$2:$A$501,Customer_Dim!$E$2:$E$501)</f>
        <v>North Johnview</v>
      </c>
      <c r="H1078" t="s">
        <v>174</v>
      </c>
      <c r="I1078" t="str">
        <f>VLOOKUP(Table1[[#This Row],[Product_ID]],Product_Dim!$A$2:$G$101,2,FALSE)</f>
        <v>Modern Wall Clock-Home</v>
      </c>
      <c r="J1078" t="s">
        <v>1589</v>
      </c>
      <c r="K1078" t="str">
        <f>VLOOKUP(Table1[[#This Row],[Store_ID]],Store_Dim!$A$3:$D$22,2,FALSE)</f>
        <v>Holloway Ltd-North</v>
      </c>
      <c r="L1078" t="s">
        <v>1759</v>
      </c>
      <c r="M1078" t="s">
        <v>3958</v>
      </c>
      <c r="N1078" s="3">
        <v>623.82000000000005</v>
      </c>
      <c r="O1078" s="4">
        <v>0.13</v>
      </c>
      <c r="P1078" t="s">
        <v>1777</v>
      </c>
      <c r="Q1078" s="4">
        <v>1628.1702</v>
      </c>
    </row>
    <row r="1079" spans="1:17" x14ac:dyDescent="0.3">
      <c r="A1079" t="s">
        <v>2851</v>
      </c>
      <c r="B1079" t="str">
        <f t="shared" si="16"/>
        <v>Q3</v>
      </c>
      <c r="C1079" t="str">
        <f>TEXT(Table1[[#This Row],[Order_Date]],"mmmm")</f>
        <v>August</v>
      </c>
      <c r="D1079">
        <f>YEAR(Table1[[#This Row],[Order_Date]])</f>
        <v>2025</v>
      </c>
      <c r="E1079" s="7">
        <v>45882</v>
      </c>
      <c r="F1079" s="2" t="str">
        <f>VLOOKUP(Table1[[#This Row],[Customer_ID]],Customer_Dim!$A$2:$H$501,2,FALSE)</f>
        <v>Sean Roth</v>
      </c>
      <c r="G1079" s="2" t="str">
        <f>_xlfn.XLOOKUP(Table1[[#This Row],[Customer_ID]],Customer_Dim!$A$2:$A$501,Customer_Dim!$E$2:$E$501)</f>
        <v>Lake Michael</v>
      </c>
      <c r="H1079" t="s">
        <v>465</v>
      </c>
      <c r="I1079" t="str">
        <f>VLOOKUP(Table1[[#This Row],[Product_ID]],Product_Dim!$A$2:$G$101,2,FALSE)</f>
        <v>Hair Repair Oil Treatment-Beauty</v>
      </c>
      <c r="J1079" t="s">
        <v>1665</v>
      </c>
      <c r="K1079" t="str">
        <f>VLOOKUP(Table1[[#This Row],[Store_ID]],Store_Dim!$A$3:$D$22,2,FALSE)</f>
        <v>Frederick-Wright-West</v>
      </c>
      <c r="L1079" t="s">
        <v>1757</v>
      </c>
      <c r="M1079" t="s">
        <v>3958</v>
      </c>
      <c r="N1079" s="3">
        <v>575.24</v>
      </c>
      <c r="O1079" s="4">
        <v>0.12</v>
      </c>
      <c r="P1079" t="s">
        <v>1777</v>
      </c>
      <c r="Q1079" s="4">
        <v>1518.6335999999999</v>
      </c>
    </row>
    <row r="1080" spans="1:17" x14ac:dyDescent="0.3">
      <c r="A1080" t="s">
        <v>2852</v>
      </c>
      <c r="B1080" t="str">
        <f t="shared" si="16"/>
        <v>Q3</v>
      </c>
      <c r="C1080" t="str">
        <f>TEXT(Table1[[#This Row],[Order_Date]],"mmmm")</f>
        <v>August</v>
      </c>
      <c r="D1080">
        <f>YEAR(Table1[[#This Row],[Order_Date]])</f>
        <v>2025</v>
      </c>
      <c r="E1080" s="7">
        <v>45878</v>
      </c>
      <c r="F1080" s="2" t="str">
        <f>VLOOKUP(Table1[[#This Row],[Customer_ID]],Customer_Dim!$A$2:$H$501,2,FALSE)</f>
        <v>Melissa Valentine</v>
      </c>
      <c r="G1080" s="2" t="str">
        <f>_xlfn.XLOOKUP(Table1[[#This Row],[Customer_ID]],Customer_Dim!$A$2:$A$501,Customer_Dim!$E$2:$E$501)</f>
        <v>East Patriciafort</v>
      </c>
      <c r="H1080" t="s">
        <v>1272</v>
      </c>
      <c r="I1080" t="str">
        <f>VLOOKUP(Table1[[#This Row],[Product_ID]],Product_Dim!$A$2:$G$101,2,FALSE)</f>
        <v>Women's Yoga Pants-Clothing</v>
      </c>
      <c r="J1080" t="s">
        <v>1531</v>
      </c>
      <c r="K1080" t="str">
        <f>VLOOKUP(Table1[[#This Row],[Store_ID]],Store_Dim!$A$3:$D$22,2,FALSE)</f>
        <v>Aguirre-Keller-South</v>
      </c>
      <c r="L1080" t="s">
        <v>1750</v>
      </c>
      <c r="M1080" t="s">
        <v>3957</v>
      </c>
      <c r="N1080" s="3">
        <v>769.4</v>
      </c>
      <c r="O1080" s="4">
        <v>0.16</v>
      </c>
      <c r="P1080" t="s">
        <v>1772</v>
      </c>
      <c r="Q1080" s="4">
        <v>646.29599999999994</v>
      </c>
    </row>
    <row r="1081" spans="1:17" x14ac:dyDescent="0.3">
      <c r="A1081" t="s">
        <v>2853</v>
      </c>
      <c r="B1081" t="str">
        <f t="shared" si="16"/>
        <v>Q2</v>
      </c>
      <c r="C1081" t="str">
        <f>TEXT(Table1[[#This Row],[Order_Date]],"mmmm")</f>
        <v>May</v>
      </c>
      <c r="D1081">
        <f>YEAR(Table1[[#This Row],[Order_Date]])</f>
        <v>2024</v>
      </c>
      <c r="E1081" s="7">
        <v>45420</v>
      </c>
      <c r="F1081" s="2" t="str">
        <f>VLOOKUP(Table1[[#This Row],[Customer_ID]],Customer_Dim!$A$2:$H$501,2,FALSE)</f>
        <v>Victor Mcintosh</v>
      </c>
      <c r="G1081" s="2" t="str">
        <f>_xlfn.XLOOKUP(Table1[[#This Row],[Customer_ID]],Customer_Dim!$A$2:$A$501,Customer_Dim!$E$2:$E$501)</f>
        <v>Tiffanyshire</v>
      </c>
      <c r="H1081" t="s">
        <v>1024</v>
      </c>
      <c r="I1081" t="str">
        <f>VLOOKUP(Table1[[#This Row],[Product_ID]],Product_Dim!$A$2:$G$101,2,FALSE)</f>
        <v>Women's Yoga Pants-Clothing</v>
      </c>
      <c r="J1081" t="s">
        <v>1531</v>
      </c>
      <c r="K1081" t="str">
        <f>VLOOKUP(Table1[[#This Row],[Store_ID]],Store_Dim!$A$3:$D$22,2,FALSE)</f>
        <v>Holloway Ltd-North</v>
      </c>
      <c r="L1081" t="s">
        <v>1759</v>
      </c>
      <c r="M1081" t="s">
        <v>3957</v>
      </c>
      <c r="N1081" s="3">
        <v>227.28</v>
      </c>
      <c r="O1081" s="4">
        <v>0.13</v>
      </c>
      <c r="P1081" t="s">
        <v>1777</v>
      </c>
      <c r="Q1081" s="4">
        <v>197.7336</v>
      </c>
    </row>
    <row r="1082" spans="1:17" x14ac:dyDescent="0.3">
      <c r="A1082" t="s">
        <v>2854</v>
      </c>
      <c r="B1082" t="str">
        <f t="shared" si="16"/>
        <v>Q1</v>
      </c>
      <c r="C1082" t="str">
        <f>TEXT(Table1[[#This Row],[Order_Date]],"mmmm")</f>
        <v>March</v>
      </c>
      <c r="D1082">
        <f>YEAR(Table1[[#This Row],[Order_Date]])</f>
        <v>2024</v>
      </c>
      <c r="E1082" s="7">
        <v>45361</v>
      </c>
      <c r="F1082" s="2" t="str">
        <f>VLOOKUP(Table1[[#This Row],[Customer_ID]],Customer_Dim!$A$2:$H$501,2,FALSE)</f>
        <v>Sarah Rodgers</v>
      </c>
      <c r="G1082" s="2" t="str">
        <f>_xlfn.XLOOKUP(Table1[[#This Row],[Customer_ID]],Customer_Dim!$A$2:$A$501,Customer_Dim!$E$2:$E$501)</f>
        <v>New Julia</v>
      </c>
      <c r="H1082" t="s">
        <v>192</v>
      </c>
      <c r="I1082" t="str">
        <f>VLOOKUP(Table1[[#This Row],[Product_ID]],Product_Dim!$A$2:$G$101,2,FALSE)</f>
        <v>Women's Casual Hoodie-Clothing</v>
      </c>
      <c r="J1082" t="s">
        <v>1527</v>
      </c>
      <c r="K1082" t="str">
        <f>VLOOKUP(Table1[[#This Row],[Store_ID]],Store_Dim!$A$3:$D$22,2,FALSE)</f>
        <v>Holloway Ltd-North</v>
      </c>
      <c r="L1082" t="s">
        <v>1759</v>
      </c>
      <c r="M1082" t="s">
        <v>3959</v>
      </c>
      <c r="N1082" s="3">
        <v>127.58</v>
      </c>
      <c r="O1082" s="4">
        <v>0.15</v>
      </c>
      <c r="P1082" t="s">
        <v>1772</v>
      </c>
      <c r="Q1082" s="4">
        <v>433.77199999999999</v>
      </c>
    </row>
    <row r="1083" spans="1:17" x14ac:dyDescent="0.3">
      <c r="A1083" t="s">
        <v>2855</v>
      </c>
      <c r="B1083" t="str">
        <f t="shared" si="16"/>
        <v>Q1</v>
      </c>
      <c r="C1083" t="str">
        <f>TEXT(Table1[[#This Row],[Order_Date]],"mmmm")</f>
        <v>February</v>
      </c>
      <c r="D1083">
        <f>YEAR(Table1[[#This Row],[Order_Date]])</f>
        <v>2025</v>
      </c>
      <c r="E1083" s="7">
        <v>45702</v>
      </c>
      <c r="F1083" s="2" t="str">
        <f>VLOOKUP(Table1[[#This Row],[Customer_ID]],Customer_Dim!$A$2:$H$501,2,FALSE)</f>
        <v>Luke Parks</v>
      </c>
      <c r="G1083" s="2" t="str">
        <f>_xlfn.XLOOKUP(Table1[[#This Row],[Customer_ID]],Customer_Dim!$A$2:$A$501,Customer_Dim!$E$2:$E$501)</f>
        <v>West Mario</v>
      </c>
      <c r="H1083" t="s">
        <v>1284</v>
      </c>
      <c r="I1083" t="str">
        <f>VLOOKUP(Table1[[#This Row],[Product_ID]],Product_Dim!$A$2:$G$101,2,FALSE)</f>
        <v>Adjustable Jump Rope-Sports</v>
      </c>
      <c r="J1083" t="s">
        <v>1611</v>
      </c>
      <c r="K1083" t="str">
        <f>VLOOKUP(Table1[[#This Row],[Store_ID]],Store_Dim!$A$3:$D$22,2,FALSE)</f>
        <v>Johnson-Wright-North</v>
      </c>
      <c r="L1083" t="s">
        <v>1733</v>
      </c>
      <c r="M1083" t="s">
        <v>3957</v>
      </c>
      <c r="N1083" s="3">
        <v>793.21</v>
      </c>
      <c r="O1083" s="4">
        <v>0.09</v>
      </c>
      <c r="P1083" t="s">
        <v>1772</v>
      </c>
      <c r="Q1083" s="4">
        <v>721.8211</v>
      </c>
    </row>
    <row r="1084" spans="1:17" x14ac:dyDescent="0.3">
      <c r="A1084" t="s">
        <v>2856</v>
      </c>
      <c r="B1084" t="str">
        <f t="shared" si="16"/>
        <v>Q3</v>
      </c>
      <c r="C1084" t="str">
        <f>TEXT(Table1[[#This Row],[Order_Date]],"mmmm")</f>
        <v>August</v>
      </c>
      <c r="D1084">
        <f>YEAR(Table1[[#This Row],[Order_Date]])</f>
        <v>2025</v>
      </c>
      <c r="E1084" s="7">
        <v>45871</v>
      </c>
      <c r="F1084" s="2" t="str">
        <f>VLOOKUP(Table1[[#This Row],[Customer_ID]],Customer_Dim!$A$2:$H$501,2,FALSE)</f>
        <v>Ryan Kane</v>
      </c>
      <c r="G1084" s="2" t="str">
        <f>_xlfn.XLOOKUP(Table1[[#This Row],[Customer_ID]],Customer_Dim!$A$2:$A$501,Customer_Dim!$E$2:$E$501)</f>
        <v>West Bruceburgh</v>
      </c>
      <c r="H1084" t="s">
        <v>942</v>
      </c>
      <c r="I1084" t="str">
        <f>VLOOKUP(Table1[[#This Row],[Product_ID]],Product_Dim!$A$2:$G$101,2,FALSE)</f>
        <v>Hydrating Face Cleanser-Beauty</v>
      </c>
      <c r="J1084" t="s">
        <v>1689</v>
      </c>
      <c r="K1084" t="str">
        <f>VLOOKUP(Table1[[#This Row],[Store_ID]],Store_Dim!$A$3:$D$22,2,FALSE)</f>
        <v>Thomas, Bridges and Harris-North</v>
      </c>
      <c r="L1084" t="s">
        <v>1751</v>
      </c>
      <c r="M1084" t="s">
        <v>3958</v>
      </c>
      <c r="N1084" s="3">
        <v>435.61</v>
      </c>
      <c r="O1084" s="4">
        <v>0.03</v>
      </c>
      <c r="P1084" t="s">
        <v>1774</v>
      </c>
      <c r="Q1084" s="4">
        <v>1267.6251</v>
      </c>
    </row>
    <row r="1085" spans="1:17" x14ac:dyDescent="0.3">
      <c r="A1085" t="s">
        <v>2857</v>
      </c>
      <c r="B1085" t="str">
        <f t="shared" si="16"/>
        <v>Q3</v>
      </c>
      <c r="C1085" t="str">
        <f>TEXT(Table1[[#This Row],[Order_Date]],"mmmm")</f>
        <v>August</v>
      </c>
      <c r="D1085">
        <f>YEAR(Table1[[#This Row],[Order_Date]])</f>
        <v>2024</v>
      </c>
      <c r="E1085" s="7">
        <v>45531</v>
      </c>
      <c r="F1085" s="2" t="str">
        <f>VLOOKUP(Table1[[#This Row],[Customer_ID]],Customer_Dim!$A$2:$H$501,2,FALSE)</f>
        <v>Tammy Brennan</v>
      </c>
      <c r="G1085" s="2" t="str">
        <f>_xlfn.XLOOKUP(Table1[[#This Row],[Customer_ID]],Customer_Dim!$A$2:$A$501,Customer_Dim!$E$2:$E$501)</f>
        <v>Lake Brandontown</v>
      </c>
      <c r="H1085" t="s">
        <v>1189</v>
      </c>
      <c r="I1085" t="str">
        <f>VLOOKUP(Table1[[#This Row],[Product_ID]],Product_Dim!$A$2:$G$101,2,FALSE)</f>
        <v>Fabric Sofa Throw Blanket-Home</v>
      </c>
      <c r="J1085" t="s">
        <v>1581</v>
      </c>
      <c r="K1085" t="str">
        <f>VLOOKUP(Table1[[#This Row],[Store_ID]],Store_Dim!$A$3:$D$22,2,FALSE)</f>
        <v>Frederick-Wright-West</v>
      </c>
      <c r="L1085" t="s">
        <v>1757</v>
      </c>
      <c r="M1085" t="s">
        <v>3957</v>
      </c>
      <c r="N1085" s="3">
        <v>850.06</v>
      </c>
      <c r="O1085" s="4">
        <v>0.28999999999999998</v>
      </c>
      <c r="P1085" t="s">
        <v>1774</v>
      </c>
      <c r="Q1085" s="4">
        <v>603.54259999999988</v>
      </c>
    </row>
    <row r="1086" spans="1:17" x14ac:dyDescent="0.3">
      <c r="A1086" t="s">
        <v>2858</v>
      </c>
      <c r="B1086" t="str">
        <f t="shared" si="16"/>
        <v>Q1</v>
      </c>
      <c r="C1086" t="str">
        <f>TEXT(Table1[[#This Row],[Order_Date]],"mmmm")</f>
        <v>February</v>
      </c>
      <c r="D1086">
        <f>YEAR(Table1[[#This Row],[Order_Date]])</f>
        <v>2024</v>
      </c>
      <c r="E1086" s="7">
        <v>45330</v>
      </c>
      <c r="F1086" s="2" t="str">
        <f>VLOOKUP(Table1[[#This Row],[Customer_ID]],Customer_Dim!$A$2:$H$501,2,FALSE)</f>
        <v>Justin Mason Dds</v>
      </c>
      <c r="G1086" s="2" t="str">
        <f>_xlfn.XLOOKUP(Table1[[#This Row],[Customer_ID]],Customer_Dim!$A$2:$A$501,Customer_Dim!$E$2:$E$501)</f>
        <v>Peggystad</v>
      </c>
      <c r="H1086" t="s">
        <v>1078</v>
      </c>
      <c r="I1086" t="str">
        <f>VLOOKUP(Table1[[#This Row],[Product_ID]],Product_Dim!$A$2:$G$101,2,FALSE)</f>
        <v>Beard Grooming Kit-Beauty</v>
      </c>
      <c r="J1086" t="s">
        <v>1555</v>
      </c>
      <c r="K1086" t="str">
        <f>VLOOKUP(Table1[[#This Row],[Store_ID]],Store_Dim!$A$3:$D$22,2,FALSE)</f>
        <v>Frederick-Wright-West</v>
      </c>
      <c r="L1086" t="s">
        <v>1757</v>
      </c>
      <c r="M1086" t="s">
        <v>3960</v>
      </c>
      <c r="N1086" s="3">
        <v>753.92</v>
      </c>
      <c r="O1086" s="4">
        <v>0.17</v>
      </c>
      <c r="P1086" t="s">
        <v>1774</v>
      </c>
      <c r="Q1086" s="4">
        <v>1251.5072</v>
      </c>
    </row>
    <row r="1087" spans="1:17" x14ac:dyDescent="0.3">
      <c r="A1087" t="s">
        <v>2859</v>
      </c>
      <c r="B1087" t="str">
        <f t="shared" si="16"/>
        <v>Q1</v>
      </c>
      <c r="C1087" t="str">
        <f>TEXT(Table1[[#This Row],[Order_Date]],"mmmm")</f>
        <v>January</v>
      </c>
      <c r="D1087">
        <f>YEAR(Table1[[#This Row],[Order_Date]])</f>
        <v>2024</v>
      </c>
      <c r="E1087" s="7">
        <v>45311</v>
      </c>
      <c r="F1087" s="2" t="str">
        <f>VLOOKUP(Table1[[#This Row],[Customer_ID]],Customer_Dim!$A$2:$H$501,2,FALSE)</f>
        <v>Zachary Andrade</v>
      </c>
      <c r="G1087" s="2" t="str">
        <f>_xlfn.XLOOKUP(Table1[[#This Row],[Customer_ID]],Customer_Dim!$A$2:$A$501,Customer_Dim!$E$2:$E$501)</f>
        <v>South Davidport</v>
      </c>
      <c r="H1087" t="s">
        <v>1484</v>
      </c>
      <c r="I1087" t="str">
        <f>VLOOKUP(Table1[[#This Row],[Product_ID]],Product_Dim!$A$2:$G$101,2,FALSE)</f>
        <v>Women's Yoga Pants-Clothing</v>
      </c>
      <c r="J1087" t="s">
        <v>1531</v>
      </c>
      <c r="K1087" t="str">
        <f>VLOOKUP(Table1[[#This Row],[Store_ID]],Store_Dim!$A$3:$D$22,2,FALSE)</f>
        <v>Gardner, Humphrey and Contreras-East</v>
      </c>
      <c r="L1087" t="s">
        <v>1753</v>
      </c>
      <c r="M1087" t="s">
        <v>3958</v>
      </c>
      <c r="N1087" s="3">
        <v>408.99</v>
      </c>
      <c r="O1087" s="4">
        <v>0.27</v>
      </c>
      <c r="P1087" t="s">
        <v>1774</v>
      </c>
      <c r="Q1087" s="4">
        <v>895.68809999999996</v>
      </c>
    </row>
    <row r="1088" spans="1:17" x14ac:dyDescent="0.3">
      <c r="A1088" t="s">
        <v>2860</v>
      </c>
      <c r="B1088" t="str">
        <f t="shared" si="16"/>
        <v>Q4</v>
      </c>
      <c r="C1088" t="str">
        <f>TEXT(Table1[[#This Row],[Order_Date]],"mmmm")</f>
        <v>October</v>
      </c>
      <c r="D1088">
        <f>YEAR(Table1[[#This Row],[Order_Date]])</f>
        <v>2024</v>
      </c>
      <c r="E1088" s="7">
        <v>45567</v>
      </c>
      <c r="F1088" s="2" t="str">
        <f>VLOOKUP(Table1[[#This Row],[Customer_ID]],Customer_Dim!$A$2:$H$501,2,FALSE)</f>
        <v>Donna Guerra</v>
      </c>
      <c r="G1088" s="2" t="str">
        <f>_xlfn.XLOOKUP(Table1[[#This Row],[Customer_ID]],Customer_Dim!$A$2:$A$501,Customer_Dim!$E$2:$E$501)</f>
        <v>North Robert</v>
      </c>
      <c r="H1088" t="s">
        <v>897</v>
      </c>
      <c r="I1088" t="str">
        <f>VLOOKUP(Table1[[#This Row],[Product_ID]],Product_Dim!$A$2:$G$101,2,FALSE)</f>
        <v>Foam Roller-Sports</v>
      </c>
      <c r="J1088" t="s">
        <v>1637</v>
      </c>
      <c r="K1088" t="str">
        <f>VLOOKUP(Table1[[#This Row],[Store_ID]],Store_Dim!$A$3:$D$22,2,FALSE)</f>
        <v>Gray Ltd-North</v>
      </c>
      <c r="L1088" t="s">
        <v>1738</v>
      </c>
      <c r="M1088" t="s">
        <v>3958</v>
      </c>
      <c r="N1088" s="3">
        <v>404.5</v>
      </c>
      <c r="O1088" s="4">
        <v>0.22</v>
      </c>
      <c r="P1088" t="s">
        <v>1774</v>
      </c>
      <c r="Q1088" s="4">
        <v>946.53000000000009</v>
      </c>
    </row>
    <row r="1089" spans="1:17" x14ac:dyDescent="0.3">
      <c r="A1089" t="s">
        <v>2861</v>
      </c>
      <c r="B1089" t="str">
        <f t="shared" si="16"/>
        <v>Q4</v>
      </c>
      <c r="C1089" t="str">
        <f>TEXT(Table1[[#This Row],[Order_Date]],"mmmm")</f>
        <v>November</v>
      </c>
      <c r="D1089">
        <f>YEAR(Table1[[#This Row],[Order_Date]])</f>
        <v>2023</v>
      </c>
      <c r="E1089" s="7">
        <v>45239</v>
      </c>
      <c r="F1089" s="2" t="str">
        <f>VLOOKUP(Table1[[#This Row],[Customer_ID]],Customer_Dim!$A$2:$H$501,2,FALSE)</f>
        <v>Shelley Ponce</v>
      </c>
      <c r="G1089" s="2" t="str">
        <f>_xlfn.XLOOKUP(Table1[[#This Row],[Customer_ID]],Customer_Dim!$A$2:$A$501,Customer_Dim!$E$2:$E$501)</f>
        <v>South Cassandrachester</v>
      </c>
      <c r="H1089" t="s">
        <v>1174</v>
      </c>
      <c r="I1089" t="str">
        <f>VLOOKUP(Table1[[#This Row],[Product_ID]],Product_Dim!$A$2:$G$101,2,FALSE)</f>
        <v>Portable Power Bank-Electronics</v>
      </c>
      <c r="J1089" t="s">
        <v>1601</v>
      </c>
      <c r="K1089" t="str">
        <f>VLOOKUP(Table1[[#This Row],[Store_ID]],Store_Dim!$A$3:$D$22,2,FALSE)</f>
        <v>Johnson-Wright-North</v>
      </c>
      <c r="L1089" t="s">
        <v>1733</v>
      </c>
      <c r="M1089" t="s">
        <v>3958</v>
      </c>
      <c r="N1089" s="3">
        <v>717.81</v>
      </c>
      <c r="O1089" s="4">
        <v>0.17</v>
      </c>
      <c r="P1089" t="s">
        <v>1777</v>
      </c>
      <c r="Q1089" s="4">
        <v>1787.3469</v>
      </c>
    </row>
    <row r="1090" spans="1:17" x14ac:dyDescent="0.3">
      <c r="A1090" t="s">
        <v>2862</v>
      </c>
      <c r="B1090" t="str">
        <f t="shared" ref="B1090:B1153" si="17">"Q" &amp;ROUNDUP(MONTH(E1090)/3,0)</f>
        <v>Q4</v>
      </c>
      <c r="C1090" t="str">
        <f>TEXT(Table1[[#This Row],[Order_Date]],"mmmm")</f>
        <v>December</v>
      </c>
      <c r="D1090">
        <f>YEAR(Table1[[#This Row],[Order_Date]])</f>
        <v>2023</v>
      </c>
      <c r="E1090" s="7">
        <v>45284</v>
      </c>
      <c r="F1090" s="2" t="str">
        <f>VLOOKUP(Table1[[#This Row],[Customer_ID]],Customer_Dim!$A$2:$H$501,2,FALSE)</f>
        <v>Tyler Garner</v>
      </c>
      <c r="G1090" s="2" t="str">
        <f>_xlfn.XLOOKUP(Table1[[#This Row],[Customer_ID]],Customer_Dim!$A$2:$A$501,Customer_Dim!$E$2:$E$501)</f>
        <v>Port Coreyfort</v>
      </c>
      <c r="H1090" t="s">
        <v>797</v>
      </c>
      <c r="I1090" t="str">
        <f>VLOOKUP(Table1[[#This Row],[Product_ID]],Product_Dim!$A$2:$G$101,2,FALSE)</f>
        <v>Wooden Bookshelf-Home</v>
      </c>
      <c r="J1090" t="s">
        <v>1691</v>
      </c>
      <c r="K1090" t="str">
        <f>VLOOKUP(Table1[[#This Row],[Store_ID]],Store_Dim!$A$3:$D$22,2,FALSE)</f>
        <v>Martinez, Adkins and Johnson-North</v>
      </c>
      <c r="L1090" t="s">
        <v>1728</v>
      </c>
      <c r="M1090" t="s">
        <v>3958</v>
      </c>
      <c r="N1090" s="3">
        <v>204.77</v>
      </c>
      <c r="O1090" s="4">
        <v>0.14000000000000001</v>
      </c>
      <c r="P1090" t="s">
        <v>1772</v>
      </c>
      <c r="Q1090" s="4">
        <v>528.3066</v>
      </c>
    </row>
    <row r="1091" spans="1:17" x14ac:dyDescent="0.3">
      <c r="A1091" t="s">
        <v>2863</v>
      </c>
      <c r="B1091" t="str">
        <f t="shared" si="17"/>
        <v>Q1</v>
      </c>
      <c r="C1091" t="str">
        <f>TEXT(Table1[[#This Row],[Order_Date]],"mmmm")</f>
        <v>January</v>
      </c>
      <c r="D1091">
        <f>YEAR(Table1[[#This Row],[Order_Date]])</f>
        <v>2025</v>
      </c>
      <c r="E1091" s="7">
        <v>45686</v>
      </c>
      <c r="F1091" s="2" t="str">
        <f>VLOOKUP(Table1[[#This Row],[Customer_ID]],Customer_Dim!$A$2:$H$501,2,FALSE)</f>
        <v>Tonya Reynolds</v>
      </c>
      <c r="G1091" s="2" t="str">
        <f>_xlfn.XLOOKUP(Table1[[#This Row],[Customer_ID]],Customer_Dim!$A$2:$A$501,Customer_Dim!$E$2:$E$501)</f>
        <v>Darleneton</v>
      </c>
      <c r="H1091" t="s">
        <v>152</v>
      </c>
      <c r="I1091" t="str">
        <f>VLOOKUP(Table1[[#This Row],[Product_ID]],Product_Dim!$A$2:$G$101,2,FALSE)</f>
        <v>Car Dashboard Phone Holder-Electronics</v>
      </c>
      <c r="J1091" t="s">
        <v>1619</v>
      </c>
      <c r="K1091" t="str">
        <f>VLOOKUP(Table1[[#This Row],[Store_ID]],Store_Dim!$A$3:$D$22,2,FALSE)</f>
        <v>Guerrero-Schmitt-East</v>
      </c>
      <c r="L1091" t="s">
        <v>1761</v>
      </c>
      <c r="M1091" t="s">
        <v>3959</v>
      </c>
      <c r="N1091" s="3">
        <v>106.23</v>
      </c>
      <c r="O1091" s="4">
        <v>0.28000000000000003</v>
      </c>
      <c r="P1091" t="s">
        <v>1777</v>
      </c>
      <c r="Q1091" s="4">
        <v>305.94240000000002</v>
      </c>
    </row>
    <row r="1092" spans="1:17" x14ac:dyDescent="0.3">
      <c r="A1092" t="s">
        <v>2864</v>
      </c>
      <c r="B1092" t="str">
        <f t="shared" si="17"/>
        <v>Q2</v>
      </c>
      <c r="C1092" t="str">
        <f>TEXT(Table1[[#This Row],[Order_Date]],"mmmm")</f>
        <v>June</v>
      </c>
      <c r="D1092">
        <f>YEAR(Table1[[#This Row],[Order_Date]])</f>
        <v>2025</v>
      </c>
      <c r="E1092" s="7">
        <v>45824</v>
      </c>
      <c r="F1092" s="2" t="str">
        <f>VLOOKUP(Table1[[#This Row],[Customer_ID]],Customer_Dim!$A$2:$H$501,2,FALSE)</f>
        <v>Andrew Smith</v>
      </c>
      <c r="G1092" s="2" t="str">
        <f>_xlfn.XLOOKUP(Table1[[#This Row],[Customer_ID]],Customer_Dim!$A$2:$A$501,Customer_Dim!$E$2:$E$501)</f>
        <v>East Matthew</v>
      </c>
      <c r="H1092" t="s">
        <v>1012</v>
      </c>
      <c r="I1092" t="str">
        <f>VLOOKUP(Table1[[#This Row],[Product_ID]],Product_Dim!$A$2:$G$101,2,FALSE)</f>
        <v>Women's Hair Dryer Brush-Beauty</v>
      </c>
      <c r="J1092" t="s">
        <v>1655</v>
      </c>
      <c r="K1092" t="str">
        <f>VLOOKUP(Table1[[#This Row],[Store_ID]],Store_Dim!$A$3:$D$22,2,FALSE)</f>
        <v>Gray Ltd-North</v>
      </c>
      <c r="L1092" t="s">
        <v>1738</v>
      </c>
      <c r="M1092" t="s">
        <v>3960</v>
      </c>
      <c r="N1092" s="3">
        <v>769.48</v>
      </c>
      <c r="O1092" s="4">
        <v>0.11</v>
      </c>
      <c r="P1092" t="s">
        <v>1774</v>
      </c>
      <c r="Q1092" s="4">
        <v>1369.6744000000001</v>
      </c>
    </row>
    <row r="1093" spans="1:17" x14ac:dyDescent="0.3">
      <c r="A1093" t="s">
        <v>2865</v>
      </c>
      <c r="B1093" t="str">
        <f t="shared" si="17"/>
        <v>Q3</v>
      </c>
      <c r="C1093" t="str">
        <f>TEXT(Table1[[#This Row],[Order_Date]],"mmmm")</f>
        <v>July</v>
      </c>
      <c r="D1093">
        <f>YEAR(Table1[[#This Row],[Order_Date]])</f>
        <v>2025</v>
      </c>
      <c r="E1093" s="7">
        <v>45867</v>
      </c>
      <c r="F1093" s="2" t="str">
        <f>VLOOKUP(Table1[[#This Row],[Customer_ID]],Customer_Dim!$A$2:$H$501,2,FALSE)</f>
        <v>Damon Perez</v>
      </c>
      <c r="G1093" s="2" t="str">
        <f>_xlfn.XLOOKUP(Table1[[#This Row],[Customer_ID]],Customer_Dim!$A$2:$A$501,Customer_Dim!$E$2:$E$501)</f>
        <v>Jasonton</v>
      </c>
      <c r="H1093" t="s">
        <v>808</v>
      </c>
      <c r="I1093" t="str">
        <f>VLOOKUP(Table1[[#This Row],[Product_ID]],Product_Dim!$A$2:$G$101,2,FALSE)</f>
        <v>Foam Roller-Sports</v>
      </c>
      <c r="J1093" t="s">
        <v>1637</v>
      </c>
      <c r="K1093" t="str">
        <f>VLOOKUP(Table1[[#This Row],[Store_ID]],Store_Dim!$A$3:$D$22,2,FALSE)</f>
        <v>Gardner, Humphrey and Contreras-East</v>
      </c>
      <c r="L1093" t="s">
        <v>1753</v>
      </c>
      <c r="M1093" t="s">
        <v>3960</v>
      </c>
      <c r="N1093" s="3">
        <v>714.21</v>
      </c>
      <c r="O1093" s="4">
        <v>0.14000000000000001</v>
      </c>
      <c r="P1093" t="s">
        <v>1772</v>
      </c>
      <c r="Q1093" s="4">
        <v>1228.4412</v>
      </c>
    </row>
    <row r="1094" spans="1:17" x14ac:dyDescent="0.3">
      <c r="A1094" t="s">
        <v>2866</v>
      </c>
      <c r="B1094" t="str">
        <f t="shared" si="17"/>
        <v>Q4</v>
      </c>
      <c r="C1094" t="str">
        <f>TEXT(Table1[[#This Row],[Order_Date]],"mmmm")</f>
        <v>October</v>
      </c>
      <c r="D1094">
        <f>YEAR(Table1[[#This Row],[Order_Date]])</f>
        <v>2024</v>
      </c>
      <c r="E1094" s="7">
        <v>45578</v>
      </c>
      <c r="F1094" s="2" t="str">
        <f>VLOOKUP(Table1[[#This Row],[Customer_ID]],Customer_Dim!$A$2:$H$501,2,FALSE)</f>
        <v>Daisy Johnson Dds</v>
      </c>
      <c r="G1094" s="2" t="str">
        <f>_xlfn.XLOOKUP(Table1[[#This Row],[Customer_ID]],Customer_Dim!$A$2:$A$501,Customer_Dim!$E$2:$E$501)</f>
        <v>North Stephanie</v>
      </c>
      <c r="H1094" t="s">
        <v>856</v>
      </c>
      <c r="I1094" t="str">
        <f>VLOOKUP(Table1[[#This Row],[Product_ID]],Product_Dim!$A$2:$G$101,2,FALSE)</f>
        <v>HD Smart TV Stick-Electronics</v>
      </c>
      <c r="J1094" t="s">
        <v>1545</v>
      </c>
      <c r="K1094" t="str">
        <f>VLOOKUP(Table1[[#This Row],[Store_ID]],Store_Dim!$A$3:$D$22,2,FALSE)</f>
        <v>Shelton PLC-North</v>
      </c>
      <c r="L1094" t="s">
        <v>1755</v>
      </c>
      <c r="M1094" t="s">
        <v>3959</v>
      </c>
      <c r="N1094" s="3">
        <v>632.24</v>
      </c>
      <c r="O1094" s="4">
        <v>0.25</v>
      </c>
      <c r="P1094" t="s">
        <v>1774</v>
      </c>
      <c r="Q1094" s="4">
        <v>1896.72</v>
      </c>
    </row>
    <row r="1095" spans="1:17" x14ac:dyDescent="0.3">
      <c r="A1095" t="s">
        <v>2867</v>
      </c>
      <c r="B1095" t="str">
        <f t="shared" si="17"/>
        <v>Q4</v>
      </c>
      <c r="C1095" t="str">
        <f>TEXT(Table1[[#This Row],[Order_Date]],"mmmm")</f>
        <v>October</v>
      </c>
      <c r="D1095">
        <f>YEAR(Table1[[#This Row],[Order_Date]])</f>
        <v>2024</v>
      </c>
      <c r="E1095" s="7">
        <v>45575</v>
      </c>
      <c r="F1095" s="2" t="str">
        <f>VLOOKUP(Table1[[#This Row],[Customer_ID]],Customer_Dim!$A$2:$H$501,2,FALSE)</f>
        <v>Cynthia Morris</v>
      </c>
      <c r="G1095" s="2" t="str">
        <f>_xlfn.XLOOKUP(Table1[[#This Row],[Customer_ID]],Customer_Dim!$A$2:$A$501,Customer_Dim!$E$2:$E$501)</f>
        <v>Hessmouth</v>
      </c>
      <c r="H1095" t="s">
        <v>533</v>
      </c>
      <c r="I1095" t="str">
        <f>VLOOKUP(Table1[[#This Row],[Product_ID]],Product_Dim!$A$2:$G$101,2,FALSE)</f>
        <v>Essential Oil Diffuser-Home</v>
      </c>
      <c r="J1095" t="s">
        <v>1679</v>
      </c>
      <c r="K1095" t="str">
        <f>VLOOKUP(Table1[[#This Row],[Store_ID]],Store_Dim!$A$3:$D$22,2,FALSE)</f>
        <v>Johnson-Wright-North</v>
      </c>
      <c r="L1095" t="s">
        <v>1733</v>
      </c>
      <c r="M1095" t="s">
        <v>3960</v>
      </c>
      <c r="N1095" s="3">
        <v>845.27</v>
      </c>
      <c r="O1095" s="4">
        <v>0.18</v>
      </c>
      <c r="P1095" t="s">
        <v>1774</v>
      </c>
      <c r="Q1095" s="4">
        <v>1386.2428</v>
      </c>
    </row>
    <row r="1096" spans="1:17" x14ac:dyDescent="0.3">
      <c r="A1096" t="s">
        <v>2868</v>
      </c>
      <c r="B1096" t="str">
        <f t="shared" si="17"/>
        <v>Q2</v>
      </c>
      <c r="C1096" t="str">
        <f>TEXT(Table1[[#This Row],[Order_Date]],"mmmm")</f>
        <v>June</v>
      </c>
      <c r="D1096">
        <f>YEAR(Table1[[#This Row],[Order_Date]])</f>
        <v>2025</v>
      </c>
      <c r="E1096" s="7">
        <v>45816</v>
      </c>
      <c r="F1096" s="2" t="str">
        <f>VLOOKUP(Table1[[#This Row],[Customer_ID]],Customer_Dim!$A$2:$H$501,2,FALSE)</f>
        <v>Sarah Marsh</v>
      </c>
      <c r="G1096" s="2" t="str">
        <f>_xlfn.XLOOKUP(Table1[[#This Row],[Customer_ID]],Customer_Dim!$A$2:$A$501,Customer_Dim!$E$2:$E$501)</f>
        <v>Port William</v>
      </c>
      <c r="H1096" t="s">
        <v>1510</v>
      </c>
      <c r="I1096" t="str">
        <f>VLOOKUP(Table1[[#This Row],[Product_ID]],Product_Dim!$A$2:$G$101,2,FALSE)</f>
        <v>LED Bedside Lamp-Home</v>
      </c>
      <c r="J1096" t="s">
        <v>1697</v>
      </c>
      <c r="K1096" t="str">
        <f>VLOOKUP(Table1[[#This Row],[Store_ID]],Store_Dim!$A$3:$D$22,2,FALSE)</f>
        <v>Gardner, Humphrey and Contreras-East</v>
      </c>
      <c r="L1096" t="s">
        <v>1753</v>
      </c>
      <c r="M1096" t="s">
        <v>3957</v>
      </c>
      <c r="N1096" s="3">
        <v>575.94000000000005</v>
      </c>
      <c r="O1096" s="4">
        <v>0.17</v>
      </c>
      <c r="P1096" t="s">
        <v>1772</v>
      </c>
      <c r="Q1096" s="4">
        <v>478.03019999999998</v>
      </c>
    </row>
    <row r="1097" spans="1:17" x14ac:dyDescent="0.3">
      <c r="A1097" t="s">
        <v>2869</v>
      </c>
      <c r="B1097" t="str">
        <f t="shared" si="17"/>
        <v>Q4</v>
      </c>
      <c r="C1097" t="str">
        <f>TEXT(Table1[[#This Row],[Order_Date]],"mmmm")</f>
        <v>November</v>
      </c>
      <c r="D1097">
        <f>YEAR(Table1[[#This Row],[Order_Date]])</f>
        <v>2024</v>
      </c>
      <c r="E1097" s="7">
        <v>45620</v>
      </c>
      <c r="F1097" s="2" t="str">
        <f>VLOOKUP(Table1[[#This Row],[Customer_ID]],Customer_Dim!$A$2:$H$501,2,FALSE)</f>
        <v>Tyler Garner</v>
      </c>
      <c r="G1097" s="2" t="str">
        <f>_xlfn.XLOOKUP(Table1[[#This Row],[Customer_ID]],Customer_Dim!$A$2:$A$501,Customer_Dim!$E$2:$E$501)</f>
        <v>Port Coreyfort</v>
      </c>
      <c r="H1097" t="s">
        <v>797</v>
      </c>
      <c r="I1097" t="str">
        <f>VLOOKUP(Table1[[#This Row],[Product_ID]],Product_Dim!$A$2:$G$101,2,FALSE)</f>
        <v>Wooden Bookshelf-Home</v>
      </c>
      <c r="J1097" t="s">
        <v>1691</v>
      </c>
      <c r="K1097" t="str">
        <f>VLOOKUP(Table1[[#This Row],[Store_ID]],Store_Dim!$A$3:$D$22,2,FALSE)</f>
        <v>Shelton PLC-North</v>
      </c>
      <c r="L1097" t="s">
        <v>1755</v>
      </c>
      <c r="M1097" t="s">
        <v>3957</v>
      </c>
      <c r="N1097" s="3">
        <v>907.97</v>
      </c>
      <c r="O1097" s="4">
        <v>0.26</v>
      </c>
      <c r="P1097" t="s">
        <v>1777</v>
      </c>
      <c r="Q1097" s="4">
        <v>671.89779999999996</v>
      </c>
    </row>
    <row r="1098" spans="1:17" x14ac:dyDescent="0.3">
      <c r="A1098" t="s">
        <v>2870</v>
      </c>
      <c r="B1098" t="str">
        <f t="shared" si="17"/>
        <v>Q1</v>
      </c>
      <c r="C1098" t="str">
        <f>TEXT(Table1[[#This Row],[Order_Date]],"mmmm")</f>
        <v>February</v>
      </c>
      <c r="D1098">
        <f>YEAR(Table1[[#This Row],[Order_Date]])</f>
        <v>2025</v>
      </c>
      <c r="E1098" s="7">
        <v>45695</v>
      </c>
      <c r="F1098" s="2" t="str">
        <f>VLOOKUP(Table1[[#This Row],[Customer_ID]],Customer_Dim!$A$2:$H$501,2,FALSE)</f>
        <v>Cynthia Payne</v>
      </c>
      <c r="G1098" s="2" t="str">
        <f>_xlfn.XLOOKUP(Table1[[#This Row],[Customer_ID]],Customer_Dim!$A$2:$A$501,Customer_Dim!$E$2:$E$501)</f>
        <v>South Gina</v>
      </c>
      <c r="H1098" t="s">
        <v>842</v>
      </c>
      <c r="I1098" t="str">
        <f>VLOOKUP(Table1[[#This Row],[Product_ID]],Product_Dim!$A$2:$G$101,2,FALSE)</f>
        <v>Outdoor Sports Water Bottle-Sports</v>
      </c>
      <c r="J1098" t="s">
        <v>1563</v>
      </c>
      <c r="K1098" t="str">
        <f>VLOOKUP(Table1[[#This Row],[Store_ID]],Store_Dim!$A$3:$D$22,2,FALSE)</f>
        <v>Thomas, Bridges and Harris-North</v>
      </c>
      <c r="L1098" t="s">
        <v>1751</v>
      </c>
      <c r="M1098" t="s">
        <v>3957</v>
      </c>
      <c r="N1098" s="3">
        <v>99.35</v>
      </c>
      <c r="O1098" s="4">
        <v>0.08</v>
      </c>
      <c r="P1098" t="s">
        <v>1777</v>
      </c>
      <c r="Q1098" s="4">
        <v>91.402000000000001</v>
      </c>
    </row>
    <row r="1099" spans="1:17" x14ac:dyDescent="0.3">
      <c r="A1099" t="s">
        <v>2871</v>
      </c>
      <c r="B1099" t="str">
        <f t="shared" si="17"/>
        <v>Q4</v>
      </c>
      <c r="C1099" t="str">
        <f>TEXT(Table1[[#This Row],[Order_Date]],"mmmm")</f>
        <v>October</v>
      </c>
      <c r="D1099">
        <f>YEAR(Table1[[#This Row],[Order_Date]])</f>
        <v>2024</v>
      </c>
      <c r="E1099" s="7">
        <v>45596</v>
      </c>
      <c r="F1099" s="2" t="str">
        <f>VLOOKUP(Table1[[#This Row],[Customer_ID]],Customer_Dim!$A$2:$H$501,2,FALSE)</f>
        <v>Andrea Perez</v>
      </c>
      <c r="G1099" s="2" t="str">
        <f>_xlfn.XLOOKUP(Table1[[#This Row],[Customer_ID]],Customer_Dim!$A$2:$A$501,Customer_Dim!$E$2:$E$501)</f>
        <v>South Shaun</v>
      </c>
      <c r="H1099" t="s">
        <v>258</v>
      </c>
      <c r="I1099" t="str">
        <f>VLOOKUP(Table1[[#This Row],[Product_ID]],Product_Dim!$A$2:$G$101,2,FALSE)</f>
        <v>Brother Laser Printer-Electronics</v>
      </c>
      <c r="J1099" t="s">
        <v>1523</v>
      </c>
      <c r="K1099" t="str">
        <f>VLOOKUP(Table1[[#This Row],[Store_ID]],Store_Dim!$A$3:$D$22,2,FALSE)</f>
        <v>Johnson-Wright-North</v>
      </c>
      <c r="L1099" t="s">
        <v>1733</v>
      </c>
      <c r="M1099" t="s">
        <v>3960</v>
      </c>
      <c r="N1099" s="3">
        <v>374.42</v>
      </c>
      <c r="O1099" s="4">
        <v>0.21</v>
      </c>
      <c r="P1099" t="s">
        <v>1777</v>
      </c>
      <c r="Q1099" s="4">
        <v>591.58360000000005</v>
      </c>
    </row>
    <row r="1100" spans="1:17" x14ac:dyDescent="0.3">
      <c r="A1100" t="s">
        <v>2872</v>
      </c>
      <c r="B1100" t="str">
        <f t="shared" si="17"/>
        <v>Q3</v>
      </c>
      <c r="C1100" t="str">
        <f>TEXT(Table1[[#This Row],[Order_Date]],"mmmm")</f>
        <v>July</v>
      </c>
      <c r="D1100">
        <f>YEAR(Table1[[#This Row],[Order_Date]])</f>
        <v>2025</v>
      </c>
      <c r="E1100" s="7">
        <v>45869</v>
      </c>
      <c r="F1100" s="2" t="str">
        <f>VLOOKUP(Table1[[#This Row],[Customer_ID]],Customer_Dim!$A$2:$H$501,2,FALSE)</f>
        <v>Bryan Tran</v>
      </c>
      <c r="G1100" s="2" t="str">
        <f>_xlfn.XLOOKUP(Table1[[#This Row],[Customer_ID]],Customer_Dim!$A$2:$A$501,Customer_Dim!$E$2:$E$501)</f>
        <v>Kelseybury</v>
      </c>
      <c r="H1100" t="s">
        <v>1464</v>
      </c>
      <c r="I1100" t="str">
        <f>VLOOKUP(Table1[[#This Row],[Product_ID]],Product_Dim!$A$2:$G$101,2,FALSE)</f>
        <v>4K Home Projector-Electronics</v>
      </c>
      <c r="J1100" t="s">
        <v>1553</v>
      </c>
      <c r="K1100" t="str">
        <f>VLOOKUP(Table1[[#This Row],[Store_ID]],Store_Dim!$A$3:$D$22,2,FALSE)</f>
        <v>Shelton PLC-North</v>
      </c>
      <c r="L1100" t="s">
        <v>1755</v>
      </c>
      <c r="M1100" t="s">
        <v>3958</v>
      </c>
      <c r="N1100" s="3">
        <v>248.43</v>
      </c>
      <c r="O1100" s="4">
        <v>0.24</v>
      </c>
      <c r="P1100" t="s">
        <v>1777</v>
      </c>
      <c r="Q1100" s="4">
        <v>566.42039999999997</v>
      </c>
    </row>
    <row r="1101" spans="1:17" x14ac:dyDescent="0.3">
      <c r="A1101" t="s">
        <v>2873</v>
      </c>
      <c r="B1101" t="str">
        <f t="shared" si="17"/>
        <v>Q4</v>
      </c>
      <c r="C1101" t="str">
        <f>TEXT(Table1[[#This Row],[Order_Date]],"mmmm")</f>
        <v>December</v>
      </c>
      <c r="D1101">
        <f>YEAR(Table1[[#This Row],[Order_Date]])</f>
        <v>2024</v>
      </c>
      <c r="E1101" s="7">
        <v>45631</v>
      </c>
      <c r="F1101" s="2" t="str">
        <f>VLOOKUP(Table1[[#This Row],[Customer_ID]],Customer_Dim!$A$2:$H$501,2,FALSE)</f>
        <v>Gregory Curtis</v>
      </c>
      <c r="G1101" s="2" t="str">
        <f>_xlfn.XLOOKUP(Table1[[#This Row],[Customer_ID]],Customer_Dim!$A$2:$A$501,Customer_Dim!$E$2:$E$501)</f>
        <v>Bergermouth</v>
      </c>
      <c r="H1101" t="s">
        <v>1427</v>
      </c>
      <c r="I1101" t="str">
        <f>VLOOKUP(Table1[[#This Row],[Product_ID]],Product_Dim!$A$2:$G$101,2,FALSE)</f>
        <v>Women's Beanie Hat-Clothing</v>
      </c>
      <c r="J1101" t="s">
        <v>1693</v>
      </c>
      <c r="K1101" t="str">
        <f>VLOOKUP(Table1[[#This Row],[Store_ID]],Store_Dim!$A$3:$D$22,2,FALSE)</f>
        <v>Martinez, Adkins and Johnson-North</v>
      </c>
      <c r="L1101" t="s">
        <v>1728</v>
      </c>
      <c r="M1101" t="s">
        <v>3957</v>
      </c>
      <c r="N1101" s="3">
        <v>784.46</v>
      </c>
      <c r="O1101" s="4">
        <v>0.14000000000000001</v>
      </c>
      <c r="P1101" t="s">
        <v>1777</v>
      </c>
      <c r="Q1101" s="4">
        <v>674.63560000000007</v>
      </c>
    </row>
    <row r="1102" spans="1:17" x14ac:dyDescent="0.3">
      <c r="A1102" t="s">
        <v>2874</v>
      </c>
      <c r="B1102" t="str">
        <f t="shared" si="17"/>
        <v>Q1</v>
      </c>
      <c r="C1102" t="str">
        <f>TEXT(Table1[[#This Row],[Order_Date]],"mmmm")</f>
        <v>March</v>
      </c>
      <c r="D1102">
        <f>YEAR(Table1[[#This Row],[Order_Date]])</f>
        <v>2024</v>
      </c>
      <c r="E1102" s="7">
        <v>45379</v>
      </c>
      <c r="F1102" s="2" t="str">
        <f>VLOOKUP(Table1[[#This Row],[Customer_ID]],Customer_Dim!$A$2:$H$501,2,FALSE)</f>
        <v>Beth Allen</v>
      </c>
      <c r="G1102" s="2" t="str">
        <f>_xlfn.XLOOKUP(Table1[[#This Row],[Customer_ID]],Customer_Dim!$A$2:$A$501,Customer_Dim!$E$2:$E$501)</f>
        <v>South Kathrynmouth</v>
      </c>
      <c r="H1102" t="s">
        <v>820</v>
      </c>
      <c r="I1102" t="str">
        <f>VLOOKUP(Table1[[#This Row],[Product_ID]],Product_Dim!$A$2:$G$101,2,FALSE)</f>
        <v>Rugby Ball-Sports</v>
      </c>
      <c r="J1102" t="s">
        <v>1627</v>
      </c>
      <c r="K1102" t="str">
        <f>VLOOKUP(Table1[[#This Row],[Store_ID]],Store_Dim!$A$3:$D$22,2,FALSE)</f>
        <v>Hill, Wagner and Ballard-East</v>
      </c>
      <c r="L1102" t="s">
        <v>1748</v>
      </c>
      <c r="M1102" t="s">
        <v>3958</v>
      </c>
      <c r="N1102" s="3">
        <v>70.88</v>
      </c>
      <c r="O1102" s="4">
        <v>0.27</v>
      </c>
      <c r="P1102" t="s">
        <v>1777</v>
      </c>
      <c r="Q1102" s="4">
        <v>155.22720000000001</v>
      </c>
    </row>
    <row r="1103" spans="1:17" x14ac:dyDescent="0.3">
      <c r="A1103" t="s">
        <v>2875</v>
      </c>
      <c r="B1103" t="str">
        <f t="shared" si="17"/>
        <v>Q4</v>
      </c>
      <c r="C1103" t="str">
        <f>TEXT(Table1[[#This Row],[Order_Date]],"mmmm")</f>
        <v>December</v>
      </c>
      <c r="D1103">
        <f>YEAR(Table1[[#This Row],[Order_Date]])</f>
        <v>2024</v>
      </c>
      <c r="E1103" s="7">
        <v>45641</v>
      </c>
      <c r="F1103" s="2" t="str">
        <f>VLOOKUP(Table1[[#This Row],[Customer_ID]],Customer_Dim!$A$2:$H$501,2,FALSE)</f>
        <v>Ashley Griffin</v>
      </c>
      <c r="G1103" s="2" t="str">
        <f>_xlfn.XLOOKUP(Table1[[#This Row],[Customer_ID]],Customer_Dim!$A$2:$A$501,Customer_Dim!$E$2:$E$501)</f>
        <v>New Dawnton</v>
      </c>
      <c r="H1103" t="s">
        <v>382</v>
      </c>
      <c r="I1103" t="str">
        <f>VLOOKUP(Table1[[#This Row],[Product_ID]],Product_Dim!$A$2:$G$101,2,FALSE)</f>
        <v>Wireless Bluetooth Earbuds-Electronics</v>
      </c>
      <c r="J1103" t="s">
        <v>1539</v>
      </c>
      <c r="K1103" t="str">
        <f>VLOOKUP(Table1[[#This Row],[Store_ID]],Store_Dim!$A$3:$D$22,2,FALSE)</f>
        <v>Martinez, Adkins and Johnson-North</v>
      </c>
      <c r="L1103" t="s">
        <v>1728</v>
      </c>
      <c r="M1103" t="s">
        <v>3958</v>
      </c>
      <c r="N1103" s="3">
        <v>324.29000000000002</v>
      </c>
      <c r="O1103" s="4">
        <v>0.16</v>
      </c>
      <c r="P1103" t="s">
        <v>1777</v>
      </c>
      <c r="Q1103" s="4">
        <v>817.21080000000006</v>
      </c>
    </row>
    <row r="1104" spans="1:17" x14ac:dyDescent="0.3">
      <c r="A1104" t="s">
        <v>2876</v>
      </c>
      <c r="B1104" t="str">
        <f t="shared" si="17"/>
        <v>Q3</v>
      </c>
      <c r="C1104" t="str">
        <f>TEXT(Table1[[#This Row],[Order_Date]],"mmmm")</f>
        <v>July</v>
      </c>
      <c r="D1104">
        <f>YEAR(Table1[[#This Row],[Order_Date]])</f>
        <v>2025</v>
      </c>
      <c r="E1104" s="7">
        <v>45842</v>
      </c>
      <c r="F1104" s="2" t="str">
        <f>VLOOKUP(Table1[[#This Row],[Customer_ID]],Customer_Dim!$A$2:$H$501,2,FALSE)</f>
        <v>Cristian Wright</v>
      </c>
      <c r="G1104" s="2" t="str">
        <f>_xlfn.XLOOKUP(Table1[[#This Row],[Customer_ID]],Customer_Dim!$A$2:$A$501,Customer_Dim!$E$2:$E$501)</f>
        <v>Port Denise</v>
      </c>
      <c r="H1104" t="s">
        <v>473</v>
      </c>
      <c r="I1104" t="str">
        <f>VLOOKUP(Table1[[#This Row],[Product_ID]],Product_Dim!$A$2:$G$101,2,FALSE)</f>
        <v>4K Home Projector-Electronics</v>
      </c>
      <c r="J1104" t="s">
        <v>1553</v>
      </c>
      <c r="K1104" t="str">
        <f>VLOOKUP(Table1[[#This Row],[Store_ID]],Store_Dim!$A$3:$D$22,2,FALSE)</f>
        <v>Johnson-Wright-North</v>
      </c>
      <c r="L1104" t="s">
        <v>1733</v>
      </c>
      <c r="M1104" t="s">
        <v>3959</v>
      </c>
      <c r="N1104" s="3">
        <v>243.92</v>
      </c>
      <c r="O1104" s="4">
        <v>0.02</v>
      </c>
      <c r="P1104" t="s">
        <v>1774</v>
      </c>
      <c r="Q1104" s="4">
        <v>956.16639999999995</v>
      </c>
    </row>
    <row r="1105" spans="1:17" x14ac:dyDescent="0.3">
      <c r="A1105" t="s">
        <v>2877</v>
      </c>
      <c r="B1105" t="str">
        <f t="shared" si="17"/>
        <v>Q4</v>
      </c>
      <c r="C1105" t="str">
        <f>TEXT(Table1[[#This Row],[Order_Date]],"mmmm")</f>
        <v>November</v>
      </c>
      <c r="D1105">
        <f>YEAR(Table1[[#This Row],[Order_Date]])</f>
        <v>2023</v>
      </c>
      <c r="E1105" s="7">
        <v>45257</v>
      </c>
      <c r="F1105" s="2" t="str">
        <f>VLOOKUP(Table1[[#This Row],[Customer_ID]],Customer_Dim!$A$2:$H$501,2,FALSE)</f>
        <v>Joshua Bell</v>
      </c>
      <c r="G1105" s="2" t="str">
        <f>_xlfn.XLOOKUP(Table1[[#This Row],[Customer_ID]],Customer_Dim!$A$2:$A$501,Customer_Dim!$E$2:$E$501)</f>
        <v>Port Richardshire</v>
      </c>
      <c r="H1105" t="s">
        <v>1159</v>
      </c>
      <c r="I1105" t="str">
        <f>VLOOKUP(Table1[[#This Row],[Product_ID]],Product_Dim!$A$2:$G$101,2,FALSE)</f>
        <v>Sports Stopwatch Timer-Sports</v>
      </c>
      <c r="J1105" t="s">
        <v>1579</v>
      </c>
      <c r="K1105" t="str">
        <f>VLOOKUP(Table1[[#This Row],[Store_ID]],Store_Dim!$A$3:$D$22,2,FALSE)</f>
        <v>Gardner, Humphrey and Contreras-East</v>
      </c>
      <c r="L1105" t="s">
        <v>1753</v>
      </c>
      <c r="M1105" t="s">
        <v>3957</v>
      </c>
      <c r="N1105" s="3">
        <v>664.35</v>
      </c>
      <c r="O1105" s="4">
        <v>0</v>
      </c>
      <c r="P1105" t="s">
        <v>1772</v>
      </c>
      <c r="Q1105" s="4">
        <v>664.35</v>
      </c>
    </row>
    <row r="1106" spans="1:17" x14ac:dyDescent="0.3">
      <c r="A1106" t="s">
        <v>2878</v>
      </c>
      <c r="B1106" t="str">
        <f t="shared" si="17"/>
        <v>Q2</v>
      </c>
      <c r="C1106" t="str">
        <f>TEXT(Table1[[#This Row],[Order_Date]],"mmmm")</f>
        <v>June</v>
      </c>
      <c r="D1106">
        <f>YEAR(Table1[[#This Row],[Order_Date]])</f>
        <v>2024</v>
      </c>
      <c r="E1106" s="7">
        <v>45468</v>
      </c>
      <c r="F1106" s="2" t="str">
        <f>VLOOKUP(Table1[[#This Row],[Customer_ID]],Customer_Dim!$A$2:$H$501,2,FALSE)</f>
        <v>Andrew Mason</v>
      </c>
      <c r="G1106" s="2" t="str">
        <f>_xlfn.XLOOKUP(Table1[[#This Row],[Customer_ID]],Customer_Dim!$A$2:$A$501,Customer_Dim!$E$2:$E$501)</f>
        <v>North Michael</v>
      </c>
      <c r="H1106" t="s">
        <v>1186</v>
      </c>
      <c r="I1106" t="str">
        <f>VLOOKUP(Table1[[#This Row],[Product_ID]],Product_Dim!$A$2:$G$101,2,FALSE)</f>
        <v>Multi-Purpose Storage Box-Home</v>
      </c>
      <c r="J1106" t="s">
        <v>1565</v>
      </c>
      <c r="K1106" t="str">
        <f>VLOOKUP(Table1[[#This Row],[Store_ID]],Store_Dim!$A$3:$D$22,2,FALSE)</f>
        <v>Hill, Wagner and Ballard-East</v>
      </c>
      <c r="L1106" t="s">
        <v>1748</v>
      </c>
      <c r="M1106" t="s">
        <v>3960</v>
      </c>
      <c r="N1106" s="3">
        <v>218.07</v>
      </c>
      <c r="O1106" s="4">
        <v>0.19</v>
      </c>
      <c r="P1106" t="s">
        <v>1774</v>
      </c>
      <c r="Q1106" s="4">
        <v>353.27339999999998</v>
      </c>
    </row>
    <row r="1107" spans="1:17" x14ac:dyDescent="0.3">
      <c r="A1107" t="s">
        <v>2879</v>
      </c>
      <c r="B1107" t="str">
        <f t="shared" si="17"/>
        <v>Q4</v>
      </c>
      <c r="C1107" t="str">
        <f>TEXT(Table1[[#This Row],[Order_Date]],"mmmm")</f>
        <v>October</v>
      </c>
      <c r="D1107">
        <f>YEAR(Table1[[#This Row],[Order_Date]])</f>
        <v>2023</v>
      </c>
      <c r="E1107" s="7">
        <v>45228</v>
      </c>
      <c r="F1107" s="2" t="str">
        <f>VLOOKUP(Table1[[#This Row],[Customer_ID]],Customer_Dim!$A$2:$H$501,2,FALSE)</f>
        <v>Kristine Higgins</v>
      </c>
      <c r="G1107" s="2" t="str">
        <f>_xlfn.XLOOKUP(Table1[[#This Row],[Customer_ID]],Customer_Dim!$A$2:$A$501,Customer_Dim!$E$2:$E$501)</f>
        <v>Jennifertown</v>
      </c>
      <c r="H1107" t="s">
        <v>1183</v>
      </c>
      <c r="I1107" t="str">
        <f>VLOOKUP(Table1[[#This Row],[Product_ID]],Product_Dim!$A$2:$G$101,2,FALSE)</f>
        <v>4K Home Projector-Electronics</v>
      </c>
      <c r="J1107" t="s">
        <v>1553</v>
      </c>
      <c r="K1107" t="str">
        <f>VLOOKUP(Table1[[#This Row],[Store_ID]],Store_Dim!$A$3:$D$22,2,FALSE)</f>
        <v>Johnson-Wright-North</v>
      </c>
      <c r="L1107" t="s">
        <v>1733</v>
      </c>
      <c r="M1107" t="s">
        <v>3959</v>
      </c>
      <c r="N1107" s="3">
        <v>921.83</v>
      </c>
      <c r="O1107" s="4">
        <v>0.27</v>
      </c>
      <c r="P1107" t="s">
        <v>1772</v>
      </c>
      <c r="Q1107" s="4">
        <v>2691.7435999999998</v>
      </c>
    </row>
    <row r="1108" spans="1:17" x14ac:dyDescent="0.3">
      <c r="A1108" t="s">
        <v>2880</v>
      </c>
      <c r="B1108" t="str">
        <f t="shared" si="17"/>
        <v>Q1</v>
      </c>
      <c r="C1108" t="str">
        <f>TEXT(Table1[[#This Row],[Order_Date]],"mmmm")</f>
        <v>January</v>
      </c>
      <c r="D1108">
        <f>YEAR(Table1[[#This Row],[Order_Date]])</f>
        <v>2025</v>
      </c>
      <c r="E1108" s="7">
        <v>45661</v>
      </c>
      <c r="F1108" s="2" t="str">
        <f>VLOOKUP(Table1[[#This Row],[Customer_ID]],Customer_Dim!$A$2:$H$501,2,FALSE)</f>
        <v>Daniel Contreras</v>
      </c>
      <c r="G1108" s="2" t="str">
        <f>_xlfn.XLOOKUP(Table1[[#This Row],[Customer_ID]],Customer_Dim!$A$2:$A$501,Customer_Dim!$E$2:$E$501)</f>
        <v>Robertview</v>
      </c>
      <c r="H1108" t="s">
        <v>554</v>
      </c>
      <c r="I1108" t="str">
        <f>VLOOKUP(Table1[[#This Row],[Product_ID]],Product_Dim!$A$2:$G$101,2,FALSE)</f>
        <v>Boxing Hand Wraps-Sports</v>
      </c>
      <c r="J1108" t="s">
        <v>1623</v>
      </c>
      <c r="K1108" t="str">
        <f>VLOOKUP(Table1[[#This Row],[Store_ID]],Store_Dim!$A$3:$D$22,2,FALSE)</f>
        <v>Martinez, Adkins and Johnson-North</v>
      </c>
      <c r="L1108" t="s">
        <v>1728</v>
      </c>
      <c r="M1108" t="s">
        <v>3958</v>
      </c>
      <c r="N1108" s="3">
        <v>326.2</v>
      </c>
      <c r="O1108" s="4">
        <v>0.22</v>
      </c>
      <c r="P1108" t="s">
        <v>1777</v>
      </c>
      <c r="Q1108" s="4">
        <v>763.30799999999999</v>
      </c>
    </row>
    <row r="1109" spans="1:17" x14ac:dyDescent="0.3">
      <c r="A1109" t="s">
        <v>2881</v>
      </c>
      <c r="B1109" t="str">
        <f t="shared" si="17"/>
        <v>Q1</v>
      </c>
      <c r="C1109" t="str">
        <f>TEXT(Table1[[#This Row],[Order_Date]],"mmmm")</f>
        <v>February</v>
      </c>
      <c r="D1109">
        <f>YEAR(Table1[[#This Row],[Order_Date]])</f>
        <v>2025</v>
      </c>
      <c r="E1109" s="7">
        <v>45701</v>
      </c>
      <c r="F1109" s="2" t="str">
        <f>VLOOKUP(Table1[[#This Row],[Customer_ID]],Customer_Dim!$A$2:$H$501,2,FALSE)</f>
        <v>Kelly Garrett</v>
      </c>
      <c r="G1109" s="2" t="str">
        <f>_xlfn.XLOOKUP(Table1[[#This Row],[Customer_ID]],Customer_Dim!$A$2:$A$501,Customer_Dim!$E$2:$E$501)</f>
        <v>Port Taylorberg</v>
      </c>
      <c r="H1109" t="s">
        <v>1398</v>
      </c>
      <c r="I1109" t="str">
        <f>VLOOKUP(Table1[[#This Row],[Product_ID]],Product_Dim!$A$2:$G$101,2,FALSE)</f>
        <v>Soccer Training Cone Set-Sports</v>
      </c>
      <c r="J1109" t="s">
        <v>1557</v>
      </c>
      <c r="K1109" t="str">
        <f>VLOOKUP(Table1[[#This Row],[Store_ID]],Store_Dim!$A$3:$D$22,2,FALSE)</f>
        <v>Mann-Austin-East</v>
      </c>
      <c r="L1109" t="s">
        <v>1763</v>
      </c>
      <c r="M1109" t="s">
        <v>3957</v>
      </c>
      <c r="N1109" s="3">
        <v>244.25</v>
      </c>
      <c r="O1109" s="4">
        <v>0.09</v>
      </c>
      <c r="P1109" t="s">
        <v>1774</v>
      </c>
      <c r="Q1109" s="4">
        <v>222.26750000000001</v>
      </c>
    </row>
    <row r="1110" spans="1:17" x14ac:dyDescent="0.3">
      <c r="A1110" t="s">
        <v>2882</v>
      </c>
      <c r="B1110" t="str">
        <f t="shared" si="17"/>
        <v>Q2</v>
      </c>
      <c r="C1110" t="str">
        <f>TEXT(Table1[[#This Row],[Order_Date]],"mmmm")</f>
        <v>June</v>
      </c>
      <c r="D1110">
        <f>YEAR(Table1[[#This Row],[Order_Date]])</f>
        <v>2024</v>
      </c>
      <c r="E1110" s="7">
        <v>45448</v>
      </c>
      <c r="F1110" s="2" t="str">
        <f>VLOOKUP(Table1[[#This Row],[Customer_ID]],Customer_Dim!$A$2:$H$501,2,FALSE)</f>
        <v>Gregory Allen</v>
      </c>
      <c r="G1110" s="2" t="str">
        <f>_xlfn.XLOOKUP(Table1[[#This Row],[Customer_ID]],Customer_Dim!$A$2:$A$501,Customer_Dim!$E$2:$E$501)</f>
        <v>West Bruce</v>
      </c>
      <c r="H1110" t="s">
        <v>1141</v>
      </c>
      <c r="I1110" t="str">
        <f>VLOOKUP(Table1[[#This Row],[Product_ID]],Product_Dim!$A$2:$G$101,2,FALSE)</f>
        <v>Tennis Ball 3-Pack-Sports</v>
      </c>
      <c r="J1110" t="s">
        <v>1645</v>
      </c>
      <c r="K1110" t="str">
        <f>VLOOKUP(Table1[[#This Row],[Store_ID]],Store_Dim!$A$3:$D$22,2,FALSE)</f>
        <v>Hill, Wagner and Ballard-East</v>
      </c>
      <c r="L1110" t="s">
        <v>1748</v>
      </c>
      <c r="M1110" t="s">
        <v>3958</v>
      </c>
      <c r="N1110" s="3">
        <v>808.87</v>
      </c>
      <c r="O1110" s="4">
        <v>0.12</v>
      </c>
      <c r="P1110" t="s">
        <v>1777</v>
      </c>
      <c r="Q1110" s="4">
        <v>2135.4168</v>
      </c>
    </row>
    <row r="1111" spans="1:17" x14ac:dyDescent="0.3">
      <c r="A1111" t="s">
        <v>2883</v>
      </c>
      <c r="B1111" t="str">
        <f t="shared" si="17"/>
        <v>Q2</v>
      </c>
      <c r="C1111" t="str">
        <f>TEXT(Table1[[#This Row],[Order_Date]],"mmmm")</f>
        <v>April</v>
      </c>
      <c r="D1111">
        <f>YEAR(Table1[[#This Row],[Order_Date]])</f>
        <v>2024</v>
      </c>
      <c r="E1111" s="7">
        <v>45387</v>
      </c>
      <c r="F1111" s="2" t="str">
        <f>VLOOKUP(Table1[[#This Row],[Customer_ID]],Customer_Dim!$A$2:$H$501,2,FALSE)</f>
        <v>Jasmine Snyder</v>
      </c>
      <c r="G1111" s="2" t="str">
        <f>_xlfn.XLOOKUP(Table1[[#This Row],[Customer_ID]],Customer_Dim!$A$2:$A$501,Customer_Dim!$E$2:$E$501)</f>
        <v>Hudsonfort</v>
      </c>
      <c r="H1111" t="s">
        <v>1051</v>
      </c>
      <c r="I1111" t="str">
        <f>VLOOKUP(Table1[[#This Row],[Product_ID]],Product_Dim!$A$2:$G$101,2,FALSE)</f>
        <v>Basketball-Sports</v>
      </c>
      <c r="J1111" t="s">
        <v>1585</v>
      </c>
      <c r="K1111" t="str">
        <f>VLOOKUP(Table1[[#This Row],[Store_ID]],Store_Dim!$A$3:$D$22,2,FALSE)</f>
        <v>Black-Horn-South</v>
      </c>
      <c r="L1111" t="s">
        <v>1730</v>
      </c>
      <c r="M1111" t="s">
        <v>3958</v>
      </c>
      <c r="N1111" s="3">
        <v>826.15</v>
      </c>
      <c r="O1111" s="4">
        <v>0.15208476517754896</v>
      </c>
      <c r="P1111" t="s">
        <v>1774</v>
      </c>
      <c r="Q1111" s="4">
        <v>2478.4499999999998</v>
      </c>
    </row>
    <row r="1112" spans="1:17" x14ac:dyDescent="0.3">
      <c r="A1112" t="s">
        <v>2884</v>
      </c>
      <c r="B1112" t="str">
        <f t="shared" si="17"/>
        <v>Q4</v>
      </c>
      <c r="C1112" t="str">
        <f>TEXT(Table1[[#This Row],[Order_Date]],"mmmm")</f>
        <v>December</v>
      </c>
      <c r="D1112">
        <f>YEAR(Table1[[#This Row],[Order_Date]])</f>
        <v>2024</v>
      </c>
      <c r="E1112" s="7">
        <v>45652</v>
      </c>
      <c r="F1112" s="2" t="str">
        <f>VLOOKUP(Table1[[#This Row],[Customer_ID]],Customer_Dim!$A$2:$H$501,2,FALSE)</f>
        <v>Dr. Suzanne Bullock</v>
      </c>
      <c r="G1112" s="2" t="str">
        <f>_xlfn.XLOOKUP(Table1[[#This Row],[Customer_ID]],Customer_Dim!$A$2:$A$501,Customer_Dim!$E$2:$E$501)</f>
        <v>Lake Blaketon</v>
      </c>
      <c r="H1112" t="s">
        <v>610</v>
      </c>
      <c r="I1112" t="str">
        <f>VLOOKUP(Table1[[#This Row],[Product_ID]],Product_Dim!$A$2:$G$101,2,FALSE)</f>
        <v>Foldable Camping Chair-Sports</v>
      </c>
      <c r="J1112" t="s">
        <v>1571</v>
      </c>
      <c r="K1112" t="str">
        <f>VLOOKUP(Table1[[#This Row],[Store_ID]],Store_Dim!$A$3:$D$22,2,FALSE)</f>
        <v>Mann-Austin-East</v>
      </c>
      <c r="L1112" t="s">
        <v>1763</v>
      </c>
      <c r="M1112" t="s">
        <v>3958</v>
      </c>
      <c r="N1112" s="3">
        <v>631.20000000000005</v>
      </c>
      <c r="O1112" s="4">
        <v>0.24</v>
      </c>
      <c r="P1112" t="s">
        <v>1772</v>
      </c>
      <c r="Q1112" s="4">
        <v>1439.136</v>
      </c>
    </row>
    <row r="1113" spans="1:17" x14ac:dyDescent="0.3">
      <c r="A1113" t="s">
        <v>2885</v>
      </c>
      <c r="B1113" t="str">
        <f t="shared" si="17"/>
        <v>Q1</v>
      </c>
      <c r="C1113" t="str">
        <f>TEXT(Table1[[#This Row],[Order_Date]],"mmmm")</f>
        <v>January</v>
      </c>
      <c r="D1113">
        <f>YEAR(Table1[[#This Row],[Order_Date]])</f>
        <v>2024</v>
      </c>
      <c r="E1113" s="7">
        <v>45316</v>
      </c>
      <c r="F1113" s="2" t="str">
        <f>VLOOKUP(Table1[[#This Row],[Customer_ID]],Customer_Dim!$A$2:$H$501,2,FALSE)</f>
        <v>Sarah Lane</v>
      </c>
      <c r="G1113" s="2" t="str">
        <f>_xlfn.XLOOKUP(Table1[[#This Row],[Customer_ID]],Customer_Dim!$A$2:$A$501,Customer_Dim!$E$2:$E$501)</f>
        <v>Edwardborough</v>
      </c>
      <c r="H1113" t="s">
        <v>864</v>
      </c>
      <c r="I1113" t="str">
        <f>VLOOKUP(Table1[[#This Row],[Product_ID]],Product_Dim!$A$2:$G$101,2,FALSE)</f>
        <v>Womens Cotton Scarf-Clothing</v>
      </c>
      <c r="J1113" t="s">
        <v>1639</v>
      </c>
      <c r="K1113" t="str">
        <f>VLOOKUP(Table1[[#This Row],[Store_ID]],Store_Dim!$A$3:$D$22,2,FALSE)</f>
        <v>Hill, Wagner and Ballard-East</v>
      </c>
      <c r="L1113" t="s">
        <v>1748</v>
      </c>
      <c r="M1113" t="s">
        <v>3957</v>
      </c>
      <c r="N1113" s="3">
        <v>937.01</v>
      </c>
      <c r="O1113" s="4">
        <v>7.0000000000000007E-2</v>
      </c>
      <c r="P1113" t="s">
        <v>1772</v>
      </c>
      <c r="Q1113" s="4">
        <v>871.41929999999991</v>
      </c>
    </row>
    <row r="1114" spans="1:17" x14ac:dyDescent="0.3">
      <c r="A1114" t="s">
        <v>2886</v>
      </c>
      <c r="B1114" t="str">
        <f t="shared" si="17"/>
        <v>Q1</v>
      </c>
      <c r="C1114" t="str">
        <f>TEXT(Table1[[#This Row],[Order_Date]],"mmmm")</f>
        <v>January</v>
      </c>
      <c r="D1114">
        <f>YEAR(Table1[[#This Row],[Order_Date]])</f>
        <v>2024</v>
      </c>
      <c r="E1114" s="7">
        <v>45316</v>
      </c>
      <c r="F1114" s="2" t="str">
        <f>VLOOKUP(Table1[[#This Row],[Customer_ID]],Customer_Dim!$A$2:$H$501,2,FALSE)</f>
        <v>Michael Davies</v>
      </c>
      <c r="G1114" s="2" t="str">
        <f>_xlfn.XLOOKUP(Table1[[#This Row],[Customer_ID]],Customer_Dim!$A$2:$A$501,Customer_Dim!$E$2:$E$501)</f>
        <v>Lake Stevenfort</v>
      </c>
      <c r="H1114" t="s">
        <v>503</v>
      </c>
      <c r="I1114" t="str">
        <f>VLOOKUP(Table1[[#This Row],[Product_ID]],Product_Dim!$A$2:$G$101,2,FALSE)</f>
        <v>Shin Guards – Adult-Sports</v>
      </c>
      <c r="J1114" t="s">
        <v>1669</v>
      </c>
      <c r="K1114" t="str">
        <f>VLOOKUP(Table1[[#This Row],[Store_ID]],Store_Dim!$A$3:$D$22,2,FALSE)</f>
        <v>Gray Ltd-North</v>
      </c>
      <c r="L1114" t="s">
        <v>1738</v>
      </c>
      <c r="M1114" t="s">
        <v>3960</v>
      </c>
      <c r="N1114" s="3">
        <v>644</v>
      </c>
      <c r="O1114" s="4">
        <v>0.04</v>
      </c>
      <c r="P1114" t="s">
        <v>1774</v>
      </c>
      <c r="Q1114" s="4">
        <v>1236.48</v>
      </c>
    </row>
    <row r="1115" spans="1:17" x14ac:dyDescent="0.3">
      <c r="A1115" t="s">
        <v>2887</v>
      </c>
      <c r="B1115" t="str">
        <f t="shared" si="17"/>
        <v>Q3</v>
      </c>
      <c r="C1115" t="str">
        <f>TEXT(Table1[[#This Row],[Order_Date]],"mmmm")</f>
        <v>August</v>
      </c>
      <c r="D1115">
        <f>YEAR(Table1[[#This Row],[Order_Date]])</f>
        <v>2025</v>
      </c>
      <c r="E1115" s="7">
        <v>45888</v>
      </c>
      <c r="F1115" s="2" t="str">
        <f>VLOOKUP(Table1[[#This Row],[Customer_ID]],Customer_Dim!$A$2:$H$501,2,FALSE)</f>
        <v>David Patterson</v>
      </c>
      <c r="G1115" s="2" t="str">
        <f>_xlfn.XLOOKUP(Table1[[#This Row],[Customer_ID]],Customer_Dim!$A$2:$A$501,Customer_Dim!$E$2:$E$501)</f>
        <v>New Amyport</v>
      </c>
      <c r="H1115" t="s">
        <v>333</v>
      </c>
      <c r="I1115" t="str">
        <f>VLOOKUP(Table1[[#This Row],[Product_ID]],Product_Dim!$A$2:$G$101,2,FALSE)</f>
        <v>Women's High Heels-Clothing</v>
      </c>
      <c r="J1115" t="s">
        <v>1705</v>
      </c>
      <c r="K1115" t="str">
        <f>VLOOKUP(Table1[[#This Row],[Store_ID]],Store_Dim!$A$3:$D$22,2,FALSE)</f>
        <v>Gray Ltd-North</v>
      </c>
      <c r="L1115" t="s">
        <v>1738</v>
      </c>
      <c r="M1115" t="s">
        <v>3958</v>
      </c>
      <c r="N1115" s="3">
        <v>629.58000000000004</v>
      </c>
      <c r="O1115" s="4">
        <v>0.05</v>
      </c>
      <c r="P1115" t="s">
        <v>1772</v>
      </c>
      <c r="Q1115" s="4">
        <v>1794.3030000000001</v>
      </c>
    </row>
    <row r="1116" spans="1:17" x14ac:dyDescent="0.3">
      <c r="A1116" t="s">
        <v>2888</v>
      </c>
      <c r="B1116" t="str">
        <f t="shared" si="17"/>
        <v>Q2</v>
      </c>
      <c r="C1116" t="str">
        <f>TEXT(Table1[[#This Row],[Order_Date]],"mmmm")</f>
        <v>May</v>
      </c>
      <c r="D1116">
        <f>YEAR(Table1[[#This Row],[Order_Date]])</f>
        <v>2025</v>
      </c>
      <c r="E1116" s="7">
        <v>45791</v>
      </c>
      <c r="F1116" s="2" t="str">
        <f>VLOOKUP(Table1[[#This Row],[Customer_ID]],Customer_Dim!$A$2:$H$501,2,FALSE)</f>
        <v>Cynthia Parrish</v>
      </c>
      <c r="G1116" s="2" t="str">
        <f>_xlfn.XLOOKUP(Table1[[#This Row],[Customer_ID]],Customer_Dim!$A$2:$A$501,Customer_Dim!$E$2:$E$501)</f>
        <v>Espinozaberg</v>
      </c>
      <c r="H1116" t="s">
        <v>1421</v>
      </c>
      <c r="I1116" t="str">
        <f>VLOOKUP(Table1[[#This Row],[Product_ID]],Product_Dim!$A$2:$G$101,2,FALSE)</f>
        <v>LED Bedside Lamp-Home</v>
      </c>
      <c r="J1116" t="s">
        <v>1697</v>
      </c>
      <c r="K1116" t="str">
        <f>VLOOKUP(Table1[[#This Row],[Store_ID]],Store_Dim!$A$3:$D$22,2,FALSE)</f>
        <v>Black-Horn-South</v>
      </c>
      <c r="L1116" t="s">
        <v>1730</v>
      </c>
      <c r="M1116" t="s">
        <v>3960</v>
      </c>
      <c r="N1116" s="3">
        <v>121.52</v>
      </c>
      <c r="O1116" s="4">
        <v>0.18</v>
      </c>
      <c r="P1116" t="s">
        <v>1777</v>
      </c>
      <c r="Q1116" s="4">
        <v>199.2928</v>
      </c>
    </row>
    <row r="1117" spans="1:17" x14ac:dyDescent="0.3">
      <c r="A1117" t="s">
        <v>2889</v>
      </c>
      <c r="B1117" t="str">
        <f t="shared" si="17"/>
        <v>Q2</v>
      </c>
      <c r="C1117" t="str">
        <f>TEXT(Table1[[#This Row],[Order_Date]],"mmmm")</f>
        <v>May</v>
      </c>
      <c r="D1117">
        <f>YEAR(Table1[[#This Row],[Order_Date]])</f>
        <v>2024</v>
      </c>
      <c r="E1117" s="7">
        <v>45420</v>
      </c>
      <c r="F1117" s="2" t="str">
        <f>VLOOKUP(Table1[[#This Row],[Customer_ID]],Customer_Dim!$A$2:$H$501,2,FALSE)</f>
        <v>Terry Moses</v>
      </c>
      <c r="G1117" s="2" t="str">
        <f>_xlfn.XLOOKUP(Table1[[#This Row],[Customer_ID]],Customer_Dim!$A$2:$A$501,Customer_Dim!$E$2:$E$501)</f>
        <v>Leahmouth</v>
      </c>
      <c r="H1117" t="s">
        <v>1235</v>
      </c>
      <c r="I1117" t="str">
        <f>VLOOKUP(Table1[[#This Row],[Product_ID]],Product_Dim!$A$2:$G$101,2,FALSE)</f>
        <v>Adjustable Dumbbells 20kg-Sports</v>
      </c>
      <c r="J1117" t="s">
        <v>1653</v>
      </c>
      <c r="K1117" t="str">
        <f>VLOOKUP(Table1[[#This Row],[Store_ID]],Store_Dim!$A$3:$D$22,2,FALSE)</f>
        <v>Mann-Austin-East</v>
      </c>
      <c r="L1117" t="s">
        <v>1763</v>
      </c>
      <c r="M1117" t="s">
        <v>3960</v>
      </c>
      <c r="N1117" s="3">
        <v>549.83000000000004</v>
      </c>
      <c r="O1117" s="4">
        <v>7.0000000000000007E-2</v>
      </c>
      <c r="P1117" t="s">
        <v>1774</v>
      </c>
      <c r="Q1117" s="4">
        <v>1022.6838</v>
      </c>
    </row>
    <row r="1118" spans="1:17" x14ac:dyDescent="0.3">
      <c r="A1118" t="s">
        <v>2890</v>
      </c>
      <c r="B1118" t="str">
        <f t="shared" si="17"/>
        <v>Q4</v>
      </c>
      <c r="C1118" t="str">
        <f>TEXT(Table1[[#This Row],[Order_Date]],"mmmm")</f>
        <v>October</v>
      </c>
      <c r="D1118">
        <f>YEAR(Table1[[#This Row],[Order_Date]])</f>
        <v>2023</v>
      </c>
      <c r="E1118" s="7">
        <v>45219</v>
      </c>
      <c r="F1118" s="2" t="str">
        <f>VLOOKUP(Table1[[#This Row],[Customer_ID]],Customer_Dim!$A$2:$H$501,2,FALSE)</f>
        <v>Patty Francis</v>
      </c>
      <c r="G1118" s="2" t="str">
        <f>_xlfn.XLOOKUP(Table1[[#This Row],[Customer_ID]],Customer_Dim!$A$2:$A$501,Customer_Dim!$E$2:$E$501)</f>
        <v>South Brooke</v>
      </c>
      <c r="H1118" t="s">
        <v>470</v>
      </c>
      <c r="I1118" t="str">
        <f>VLOOKUP(Table1[[#This Row],[Product_ID]],Product_Dim!$A$2:$G$101,2,FALSE)</f>
        <v>USB-C Fast Charger-Electronics</v>
      </c>
      <c r="J1118" t="s">
        <v>1549</v>
      </c>
      <c r="K1118" t="str">
        <f>VLOOKUP(Table1[[#This Row],[Store_ID]],Store_Dim!$A$3:$D$22,2,FALSE)</f>
        <v>Bean, Jones and Park-West</v>
      </c>
      <c r="L1118" t="s">
        <v>1744</v>
      </c>
      <c r="M1118" t="s">
        <v>3958</v>
      </c>
      <c r="N1118" s="3">
        <v>278.38</v>
      </c>
      <c r="O1118" s="4">
        <v>0.03</v>
      </c>
      <c r="P1118" t="s">
        <v>1772</v>
      </c>
      <c r="Q1118" s="4">
        <v>810.08579999999995</v>
      </c>
    </row>
    <row r="1119" spans="1:17" x14ac:dyDescent="0.3">
      <c r="A1119" t="s">
        <v>2891</v>
      </c>
      <c r="B1119" t="str">
        <f t="shared" si="17"/>
        <v>Q3</v>
      </c>
      <c r="C1119" t="str">
        <f>TEXT(Table1[[#This Row],[Order_Date]],"mmmm")</f>
        <v>August</v>
      </c>
      <c r="D1119">
        <f>YEAR(Table1[[#This Row],[Order_Date]])</f>
        <v>2024</v>
      </c>
      <c r="E1119" s="7">
        <v>45510</v>
      </c>
      <c r="F1119" s="2" t="str">
        <f>VLOOKUP(Table1[[#This Row],[Customer_ID]],Customer_Dim!$A$2:$H$501,2,FALSE)</f>
        <v>Melinda Rivera</v>
      </c>
      <c r="G1119" s="2" t="str">
        <f>_xlfn.XLOOKUP(Table1[[#This Row],[Customer_ID]],Customer_Dim!$A$2:$A$501,Customer_Dim!$E$2:$E$501)</f>
        <v>East Davidmouth</v>
      </c>
      <c r="H1119" t="s">
        <v>1339</v>
      </c>
      <c r="I1119" t="str">
        <f>VLOOKUP(Table1[[#This Row],[Product_ID]],Product_Dim!$A$2:$G$101,2,FALSE)</f>
        <v>Women's Formal Blazer-Clothing</v>
      </c>
      <c r="J1119" t="s">
        <v>1715</v>
      </c>
      <c r="K1119" t="str">
        <f>VLOOKUP(Table1[[#This Row],[Store_ID]],Store_Dim!$A$3:$D$22,2,FALSE)</f>
        <v>Johnson-Wright-North</v>
      </c>
      <c r="L1119" t="s">
        <v>1733</v>
      </c>
      <c r="M1119" t="s">
        <v>3959</v>
      </c>
      <c r="N1119" s="3">
        <v>723.66</v>
      </c>
      <c r="O1119" s="4">
        <v>0.03</v>
      </c>
      <c r="P1119" t="s">
        <v>1774</v>
      </c>
      <c r="Q1119" s="4">
        <v>2807.8008</v>
      </c>
    </row>
    <row r="1120" spans="1:17" x14ac:dyDescent="0.3">
      <c r="A1120" t="s">
        <v>2892</v>
      </c>
      <c r="B1120" t="str">
        <f t="shared" si="17"/>
        <v>Q1</v>
      </c>
      <c r="C1120" t="str">
        <f>TEXT(Table1[[#This Row],[Order_Date]],"mmmm")</f>
        <v>January</v>
      </c>
      <c r="D1120">
        <f>YEAR(Table1[[#This Row],[Order_Date]])</f>
        <v>2025</v>
      </c>
      <c r="E1120" s="7">
        <v>45687</v>
      </c>
      <c r="F1120" s="2" t="str">
        <f>VLOOKUP(Table1[[#This Row],[Customer_ID]],Customer_Dim!$A$2:$H$501,2,FALSE)</f>
        <v>Michelle Carpenter</v>
      </c>
      <c r="G1120" s="2" t="str">
        <f>_xlfn.XLOOKUP(Table1[[#This Row],[Customer_ID]],Customer_Dim!$A$2:$A$501,Customer_Dim!$E$2:$E$501)</f>
        <v>Lake Danielleton</v>
      </c>
      <c r="H1120" t="s">
        <v>663</v>
      </c>
      <c r="I1120" t="str">
        <f>VLOOKUP(Table1[[#This Row],[Product_ID]],Product_Dim!$A$2:$G$101,2,FALSE)</f>
        <v>Professional Jump Rope-Sports</v>
      </c>
      <c r="J1120" t="s">
        <v>1667</v>
      </c>
      <c r="K1120" t="str">
        <f>VLOOKUP(Table1[[#This Row],[Store_ID]],Store_Dim!$A$3:$D$22,2,FALSE)</f>
        <v>Moore, Padilla and Butler-South</v>
      </c>
      <c r="L1120" t="s">
        <v>1746</v>
      </c>
      <c r="M1120" t="s">
        <v>3957</v>
      </c>
      <c r="N1120" s="3">
        <v>724.74</v>
      </c>
      <c r="O1120" s="4">
        <v>0.15</v>
      </c>
      <c r="P1120" t="s">
        <v>1774</v>
      </c>
      <c r="Q1120" s="4">
        <v>616.029</v>
      </c>
    </row>
    <row r="1121" spans="1:17" x14ac:dyDescent="0.3">
      <c r="A1121" t="s">
        <v>2893</v>
      </c>
      <c r="B1121" t="str">
        <f t="shared" si="17"/>
        <v>Q4</v>
      </c>
      <c r="C1121" t="str">
        <f>TEXT(Table1[[#This Row],[Order_Date]],"mmmm")</f>
        <v>December</v>
      </c>
      <c r="D1121">
        <f>YEAR(Table1[[#This Row],[Order_Date]])</f>
        <v>2023</v>
      </c>
      <c r="E1121" s="7">
        <v>45271</v>
      </c>
      <c r="F1121" s="2" t="str">
        <f>VLOOKUP(Table1[[#This Row],[Customer_ID]],Customer_Dim!$A$2:$H$501,2,FALSE)</f>
        <v>Tyler Weber</v>
      </c>
      <c r="G1121" s="2" t="str">
        <f>_xlfn.XLOOKUP(Table1[[#This Row],[Customer_ID]],Customer_Dim!$A$2:$A$501,Customer_Dim!$E$2:$E$501)</f>
        <v>East Yvette</v>
      </c>
      <c r="H1121" t="s">
        <v>1389</v>
      </c>
      <c r="I1121" t="str">
        <f>VLOOKUP(Table1[[#This Row],[Product_ID]],Product_Dim!$A$2:$G$101,2,FALSE)</f>
        <v>Multi-Purpose Storage Box-Home</v>
      </c>
      <c r="J1121" t="s">
        <v>1565</v>
      </c>
      <c r="K1121" t="str">
        <f>VLOOKUP(Table1[[#This Row],[Store_ID]],Store_Dim!$A$3:$D$22,2,FALSE)</f>
        <v>Alexander Group-South</v>
      </c>
      <c r="L1121" t="s">
        <v>1735</v>
      </c>
      <c r="M1121" t="s">
        <v>3960</v>
      </c>
      <c r="N1121" s="3">
        <v>961.84</v>
      </c>
      <c r="O1121" s="4">
        <v>0.25</v>
      </c>
      <c r="P1121" t="s">
        <v>1774</v>
      </c>
      <c r="Q1121" s="4">
        <v>1442.76</v>
      </c>
    </row>
    <row r="1122" spans="1:17" x14ac:dyDescent="0.3">
      <c r="A1122" t="s">
        <v>2894</v>
      </c>
      <c r="B1122" t="str">
        <f t="shared" si="17"/>
        <v>Q2</v>
      </c>
      <c r="C1122" t="str">
        <f>TEXT(Table1[[#This Row],[Order_Date]],"mmmm")</f>
        <v>June</v>
      </c>
      <c r="D1122">
        <f>YEAR(Table1[[#This Row],[Order_Date]])</f>
        <v>2024</v>
      </c>
      <c r="E1122" s="7">
        <v>45446</v>
      </c>
      <c r="F1122" s="2" t="str">
        <f>VLOOKUP(Table1[[#This Row],[Customer_ID]],Customer_Dim!$A$2:$H$501,2,FALSE)</f>
        <v>Bridget Allen</v>
      </c>
      <c r="G1122" s="2" t="str">
        <f>_xlfn.XLOOKUP(Table1[[#This Row],[Customer_ID]],Customer_Dim!$A$2:$A$501,Customer_Dim!$E$2:$E$501)</f>
        <v>Lake Shaneburgh</v>
      </c>
      <c r="H1122" t="s">
        <v>89</v>
      </c>
      <c r="I1122" t="str">
        <f>VLOOKUP(Table1[[#This Row],[Product_ID]],Product_Dim!$A$2:$G$101,2,FALSE)</f>
        <v>Men's Casual Sneakers-Clothing</v>
      </c>
      <c r="J1122" t="s">
        <v>1597</v>
      </c>
      <c r="K1122" t="str">
        <f>VLOOKUP(Table1[[#This Row],[Store_ID]],Store_Dim!$A$3:$D$22,2,FALSE)</f>
        <v>Frederick-Wright-West</v>
      </c>
      <c r="L1122" t="s">
        <v>1757</v>
      </c>
      <c r="M1122" t="s">
        <v>3959</v>
      </c>
      <c r="N1122" s="3">
        <v>21.12</v>
      </c>
      <c r="O1122" s="4">
        <v>0.18</v>
      </c>
      <c r="P1122" t="s">
        <v>1777</v>
      </c>
      <c r="Q1122" s="4">
        <v>69.273600000000002</v>
      </c>
    </row>
    <row r="1123" spans="1:17" x14ac:dyDescent="0.3">
      <c r="A1123" t="s">
        <v>2895</v>
      </c>
      <c r="B1123" t="str">
        <f t="shared" si="17"/>
        <v>Q4</v>
      </c>
      <c r="C1123" t="str">
        <f>TEXT(Table1[[#This Row],[Order_Date]],"mmmm")</f>
        <v>October</v>
      </c>
      <c r="D1123">
        <f>YEAR(Table1[[#This Row],[Order_Date]])</f>
        <v>2024</v>
      </c>
      <c r="E1123" s="7">
        <v>45579</v>
      </c>
      <c r="F1123" s="2" t="str">
        <f>VLOOKUP(Table1[[#This Row],[Customer_ID]],Customer_Dim!$A$2:$H$501,2,FALSE)</f>
        <v>Casey Simpson</v>
      </c>
      <c r="G1123" s="2" t="str">
        <f>_xlfn.XLOOKUP(Table1[[#This Row],[Customer_ID]],Customer_Dim!$A$2:$A$501,Customer_Dim!$E$2:$E$501)</f>
        <v>West Mathewside</v>
      </c>
      <c r="H1123" t="s">
        <v>995</v>
      </c>
      <c r="I1123" t="str">
        <f>VLOOKUP(Table1[[#This Row],[Product_ID]],Product_Dim!$A$2:$G$101,2,FALSE)</f>
        <v>Brother Laser Printer-Electronics</v>
      </c>
      <c r="J1123" t="s">
        <v>1523</v>
      </c>
      <c r="K1123" t="str">
        <f>VLOOKUP(Table1[[#This Row],[Store_ID]],Store_Dim!$A$3:$D$22,2,FALSE)</f>
        <v>Alexander Group-South</v>
      </c>
      <c r="L1123" t="s">
        <v>1735</v>
      </c>
      <c r="M1123" t="s">
        <v>3958</v>
      </c>
      <c r="N1123" s="3">
        <v>819.93</v>
      </c>
      <c r="O1123" s="4">
        <v>0.08</v>
      </c>
      <c r="P1123" t="s">
        <v>1774</v>
      </c>
      <c r="Q1123" s="4">
        <v>2263.0068000000001</v>
      </c>
    </row>
    <row r="1124" spans="1:17" x14ac:dyDescent="0.3">
      <c r="A1124" t="s">
        <v>2896</v>
      </c>
      <c r="B1124" t="str">
        <f t="shared" si="17"/>
        <v>Q1</v>
      </c>
      <c r="C1124" t="str">
        <f>TEXT(Table1[[#This Row],[Order_Date]],"mmmm")</f>
        <v>March</v>
      </c>
      <c r="D1124">
        <f>YEAR(Table1[[#This Row],[Order_Date]])</f>
        <v>2025</v>
      </c>
      <c r="E1124" s="7">
        <v>45725</v>
      </c>
      <c r="F1124" s="2" t="str">
        <f>VLOOKUP(Table1[[#This Row],[Customer_ID]],Customer_Dim!$A$2:$H$501,2,FALSE)</f>
        <v>Lisa Chandler</v>
      </c>
      <c r="G1124" s="2" t="str">
        <f>_xlfn.XLOOKUP(Table1[[#This Row],[Customer_ID]],Customer_Dim!$A$2:$A$501,Customer_Dim!$E$2:$E$501)</f>
        <v>Port Richard</v>
      </c>
      <c r="H1124" t="s">
        <v>923</v>
      </c>
      <c r="I1124" t="str">
        <f>VLOOKUP(Table1[[#This Row],[Product_ID]],Product_Dim!$A$2:$G$101,2,FALSE)</f>
        <v>Smart Home WiFi Camera-Electronics</v>
      </c>
      <c r="J1124" t="s">
        <v>1607</v>
      </c>
      <c r="K1124" t="str">
        <f>VLOOKUP(Table1[[#This Row],[Store_ID]],Store_Dim!$A$3:$D$22,2,FALSE)</f>
        <v>Rivera-Warner-East</v>
      </c>
      <c r="L1124" t="s">
        <v>1725</v>
      </c>
      <c r="M1124" t="s">
        <v>3960</v>
      </c>
      <c r="N1124" s="3">
        <v>700.95</v>
      </c>
      <c r="O1124" s="4">
        <v>0.18</v>
      </c>
      <c r="P1124" t="s">
        <v>1772</v>
      </c>
      <c r="Q1124" s="4">
        <v>1149.558</v>
      </c>
    </row>
    <row r="1125" spans="1:17" x14ac:dyDescent="0.3">
      <c r="A1125" t="s">
        <v>2897</v>
      </c>
      <c r="B1125" t="str">
        <f t="shared" si="17"/>
        <v>Q3</v>
      </c>
      <c r="C1125" t="str">
        <f>TEXT(Table1[[#This Row],[Order_Date]],"mmmm")</f>
        <v>September</v>
      </c>
      <c r="D1125">
        <f>YEAR(Table1[[#This Row],[Order_Date]])</f>
        <v>2025</v>
      </c>
      <c r="E1125" s="7">
        <v>45910</v>
      </c>
      <c r="F1125" s="2" t="str">
        <f>VLOOKUP(Table1[[#This Row],[Customer_ID]],Customer_Dim!$A$2:$H$501,2,FALSE)</f>
        <v>Cristian Wright</v>
      </c>
      <c r="G1125" s="2" t="str">
        <f>_xlfn.XLOOKUP(Table1[[#This Row],[Customer_ID]],Customer_Dim!$A$2:$A$501,Customer_Dim!$E$2:$E$501)</f>
        <v>Port Denise</v>
      </c>
      <c r="H1125" t="s">
        <v>473</v>
      </c>
      <c r="I1125" t="str">
        <f>VLOOKUP(Table1[[#This Row],[Product_ID]],Product_Dim!$A$2:$G$101,2,FALSE)</f>
        <v>Soccer Training Cone Set-Sports</v>
      </c>
      <c r="J1125" t="s">
        <v>1557</v>
      </c>
      <c r="K1125" t="str">
        <f>VLOOKUP(Table1[[#This Row],[Store_ID]],Store_Dim!$A$3:$D$22,2,FALSE)</f>
        <v>Mcdonald Inc-South</v>
      </c>
      <c r="L1125" t="s">
        <v>1754</v>
      </c>
      <c r="M1125" t="s">
        <v>3960</v>
      </c>
      <c r="N1125" s="3">
        <v>456.38</v>
      </c>
      <c r="O1125" s="4">
        <v>0.12</v>
      </c>
      <c r="P1125" t="s">
        <v>1772</v>
      </c>
      <c r="Q1125" s="4">
        <v>803.22879999999998</v>
      </c>
    </row>
    <row r="1126" spans="1:17" x14ac:dyDescent="0.3">
      <c r="A1126" t="s">
        <v>2898</v>
      </c>
      <c r="B1126" t="str">
        <f t="shared" si="17"/>
        <v>Q2</v>
      </c>
      <c r="C1126" t="str">
        <f>TEXT(Table1[[#This Row],[Order_Date]],"mmmm")</f>
        <v>June</v>
      </c>
      <c r="D1126">
        <f>YEAR(Table1[[#This Row],[Order_Date]])</f>
        <v>2024</v>
      </c>
      <c r="E1126" s="7">
        <v>45447</v>
      </c>
      <c r="F1126" s="2" t="str">
        <f>VLOOKUP(Table1[[#This Row],[Customer_ID]],Customer_Dim!$A$2:$H$501,2,FALSE)</f>
        <v>Natalie Johnson</v>
      </c>
      <c r="G1126" s="2" t="str">
        <f>_xlfn.XLOOKUP(Table1[[#This Row],[Customer_ID]],Customer_Dim!$A$2:$A$501,Customer_Dim!$E$2:$E$501)</f>
        <v>New Jessechester</v>
      </c>
      <c r="H1126" t="s">
        <v>1118</v>
      </c>
      <c r="I1126" t="str">
        <f>VLOOKUP(Table1[[#This Row],[Product_ID]],Product_Dim!$A$2:$G$101,2,FALSE)</f>
        <v>Wireless Mouse-Electronics</v>
      </c>
      <c r="J1126" t="s">
        <v>1675</v>
      </c>
      <c r="K1126" t="str">
        <f>VLOOKUP(Table1[[#This Row],[Store_ID]],Store_Dim!$A$3:$D$22,2,FALSE)</f>
        <v>Mcdonald Inc-South</v>
      </c>
      <c r="L1126" t="s">
        <v>1754</v>
      </c>
      <c r="M1126" t="s">
        <v>3958</v>
      </c>
      <c r="N1126" s="3">
        <v>291.05</v>
      </c>
      <c r="O1126" s="4">
        <v>0.3</v>
      </c>
      <c r="P1126" t="s">
        <v>1772</v>
      </c>
      <c r="Q1126" s="4">
        <v>611.20500000000004</v>
      </c>
    </row>
    <row r="1127" spans="1:17" x14ac:dyDescent="0.3">
      <c r="A1127" t="s">
        <v>2899</v>
      </c>
      <c r="B1127" t="str">
        <f t="shared" si="17"/>
        <v>Q1</v>
      </c>
      <c r="C1127" t="str">
        <f>TEXT(Table1[[#This Row],[Order_Date]],"mmmm")</f>
        <v>January</v>
      </c>
      <c r="D1127">
        <f>YEAR(Table1[[#This Row],[Order_Date]])</f>
        <v>2024</v>
      </c>
      <c r="E1127" s="7">
        <v>45307</v>
      </c>
      <c r="F1127" s="2" t="str">
        <f>VLOOKUP(Table1[[#This Row],[Customer_ID]],Customer_Dim!$A$2:$H$501,2,FALSE)</f>
        <v>Michelle Gonzalez</v>
      </c>
      <c r="G1127" s="2" t="str">
        <f>_xlfn.XLOOKUP(Table1[[#This Row],[Customer_ID]],Customer_Dim!$A$2:$A$501,Customer_Dim!$E$2:$E$501)</f>
        <v>Clarkport</v>
      </c>
      <c r="H1127" t="s">
        <v>743</v>
      </c>
      <c r="I1127" t="str">
        <f>VLOOKUP(Table1[[#This Row],[Product_ID]],Product_Dim!$A$2:$G$101,2,FALSE)</f>
        <v>Sports Stopwatch Basic-Sports</v>
      </c>
      <c r="J1127" t="s">
        <v>1713</v>
      </c>
      <c r="K1127" t="str">
        <f>VLOOKUP(Table1[[#This Row],[Store_ID]],Store_Dim!$A$3:$D$22,2,FALSE)</f>
        <v>Shelton PLC-North</v>
      </c>
      <c r="L1127" t="s">
        <v>1755</v>
      </c>
      <c r="M1127" t="s">
        <v>3960</v>
      </c>
      <c r="N1127" s="3">
        <v>463.52</v>
      </c>
      <c r="O1127" s="4">
        <v>0.27</v>
      </c>
      <c r="P1127" t="s">
        <v>1774</v>
      </c>
      <c r="Q1127" s="4">
        <v>676.73919999999998</v>
      </c>
    </row>
    <row r="1128" spans="1:17" x14ac:dyDescent="0.3">
      <c r="A1128" t="s">
        <v>2900</v>
      </c>
      <c r="B1128" t="str">
        <f t="shared" si="17"/>
        <v>Q4</v>
      </c>
      <c r="C1128" t="str">
        <f>TEXT(Table1[[#This Row],[Order_Date]],"mmmm")</f>
        <v>December</v>
      </c>
      <c r="D1128">
        <f>YEAR(Table1[[#This Row],[Order_Date]])</f>
        <v>2024</v>
      </c>
      <c r="E1128" s="7">
        <v>45653</v>
      </c>
      <c r="F1128" s="2" t="str">
        <f>VLOOKUP(Table1[[#This Row],[Customer_ID]],Customer_Dim!$A$2:$H$501,2,FALSE)</f>
        <v>Tanya Lopez</v>
      </c>
      <c r="G1128" s="2" t="str">
        <f>_xlfn.XLOOKUP(Table1[[#This Row],[Customer_ID]],Customer_Dim!$A$2:$A$501,Customer_Dim!$E$2:$E$501)</f>
        <v>West Jeffreyburgh</v>
      </c>
      <c r="H1128" t="s">
        <v>1171</v>
      </c>
      <c r="I1128" t="str">
        <f>VLOOKUP(Table1[[#This Row],[Product_ID]],Product_Dim!$A$2:$G$101,2,FALSE)</f>
        <v>Brother Laser Printer-Electronics</v>
      </c>
      <c r="J1128" t="s">
        <v>1523</v>
      </c>
      <c r="K1128" t="str">
        <f>VLOOKUP(Table1[[#This Row],[Store_ID]],Store_Dim!$A$3:$D$22,2,FALSE)</f>
        <v>Holloway Ltd-North</v>
      </c>
      <c r="L1128" t="s">
        <v>1759</v>
      </c>
      <c r="M1128" t="s">
        <v>3958</v>
      </c>
      <c r="N1128" s="3">
        <v>241.64</v>
      </c>
      <c r="O1128" s="4">
        <v>0.28999999999999998</v>
      </c>
      <c r="P1128" t="s">
        <v>1774</v>
      </c>
      <c r="Q1128" s="4">
        <v>514.69319999999993</v>
      </c>
    </row>
    <row r="1129" spans="1:17" x14ac:dyDescent="0.3">
      <c r="A1129" t="s">
        <v>2901</v>
      </c>
      <c r="B1129" t="str">
        <f t="shared" si="17"/>
        <v>Q2</v>
      </c>
      <c r="C1129" t="str">
        <f>TEXT(Table1[[#This Row],[Order_Date]],"mmmm")</f>
        <v>June</v>
      </c>
      <c r="D1129">
        <f>YEAR(Table1[[#This Row],[Order_Date]])</f>
        <v>2025</v>
      </c>
      <c r="E1129" s="7">
        <v>45817</v>
      </c>
      <c r="F1129" s="2" t="str">
        <f>VLOOKUP(Table1[[#This Row],[Customer_ID]],Customer_Dim!$A$2:$H$501,2,FALSE)</f>
        <v>Sarah Smith</v>
      </c>
      <c r="G1129" s="2" t="str">
        <f>_xlfn.XLOOKUP(Table1[[#This Row],[Customer_ID]],Customer_Dim!$A$2:$A$501,Customer_Dim!$E$2:$E$501)</f>
        <v>East Rodney</v>
      </c>
      <c r="H1129" t="s">
        <v>1470</v>
      </c>
      <c r="I1129" t="str">
        <f>VLOOKUP(Table1[[#This Row],[Product_ID]],Product_Dim!$A$2:$G$101,2,FALSE)</f>
        <v>Stainless Steel Cutlery Set-Home</v>
      </c>
      <c r="J1129" t="s">
        <v>1583</v>
      </c>
      <c r="K1129" t="str">
        <f>VLOOKUP(Table1[[#This Row],[Store_ID]],Store_Dim!$A$3:$D$22,2,FALSE)</f>
        <v>Hill, Wagner and Ballard-East</v>
      </c>
      <c r="L1129" t="s">
        <v>1748</v>
      </c>
      <c r="M1129" t="s">
        <v>3960</v>
      </c>
      <c r="N1129" s="3">
        <v>47.86</v>
      </c>
      <c r="O1129" s="4">
        <v>0.03</v>
      </c>
      <c r="P1129" t="s">
        <v>1774</v>
      </c>
      <c r="Q1129" s="4">
        <v>92.848399999999998</v>
      </c>
    </row>
    <row r="1130" spans="1:17" x14ac:dyDescent="0.3">
      <c r="A1130" t="s">
        <v>2902</v>
      </c>
      <c r="B1130" t="str">
        <f t="shared" si="17"/>
        <v>Q3</v>
      </c>
      <c r="C1130" t="str">
        <f>TEXT(Table1[[#This Row],[Order_Date]],"mmmm")</f>
        <v>August</v>
      </c>
      <c r="D1130">
        <f>YEAR(Table1[[#This Row],[Order_Date]])</f>
        <v>2024</v>
      </c>
      <c r="E1130" s="7">
        <v>45509</v>
      </c>
      <c r="F1130" s="2" t="str">
        <f>VLOOKUP(Table1[[#This Row],[Customer_ID]],Customer_Dim!$A$2:$H$501,2,FALSE)</f>
        <v>Evelyn Brown</v>
      </c>
      <c r="G1130" s="2" t="str">
        <f>_xlfn.XLOOKUP(Table1[[#This Row],[Customer_ID]],Customer_Dim!$A$2:$A$501,Customer_Dim!$E$2:$E$501)</f>
        <v>West Victoriaborough</v>
      </c>
      <c r="H1130" t="s">
        <v>1069</v>
      </c>
      <c r="I1130" t="str">
        <f>VLOOKUP(Table1[[#This Row],[Product_ID]],Product_Dim!$A$2:$G$101,2,FALSE)</f>
        <v>Microwave Oven-Home</v>
      </c>
      <c r="J1130" t="s">
        <v>1707</v>
      </c>
      <c r="K1130" t="str">
        <f>VLOOKUP(Table1[[#This Row],[Store_ID]],Store_Dim!$A$3:$D$22,2,FALSE)</f>
        <v>Johnson-Wright-North</v>
      </c>
      <c r="L1130" t="s">
        <v>1733</v>
      </c>
      <c r="M1130" t="s">
        <v>3957</v>
      </c>
      <c r="N1130" s="3">
        <v>805.07</v>
      </c>
      <c r="O1130" s="4">
        <v>0.06</v>
      </c>
      <c r="P1130" t="s">
        <v>1777</v>
      </c>
      <c r="Q1130" s="4">
        <v>756.76580000000001</v>
      </c>
    </row>
    <row r="1131" spans="1:17" x14ac:dyDescent="0.3">
      <c r="A1131" t="s">
        <v>2903</v>
      </c>
      <c r="B1131" t="str">
        <f t="shared" si="17"/>
        <v>Q2</v>
      </c>
      <c r="C1131" t="str">
        <f>TEXT(Table1[[#This Row],[Order_Date]],"mmmm")</f>
        <v>April</v>
      </c>
      <c r="D1131">
        <f>YEAR(Table1[[#This Row],[Order_Date]])</f>
        <v>2025</v>
      </c>
      <c r="E1131" s="7">
        <v>45753</v>
      </c>
      <c r="F1131" s="2" t="str">
        <f>VLOOKUP(Table1[[#This Row],[Customer_ID]],Customer_Dim!$A$2:$H$501,2,FALSE)</f>
        <v>James Orozco</v>
      </c>
      <c r="G1131" s="2" t="str">
        <f>_xlfn.XLOOKUP(Table1[[#This Row],[Customer_ID]],Customer_Dim!$A$2:$A$501,Customer_Dim!$E$2:$E$501)</f>
        <v>Simpsonfort</v>
      </c>
      <c r="H1131" t="s">
        <v>1153</v>
      </c>
      <c r="I1131" t="str">
        <f>VLOOKUP(Table1[[#This Row],[Product_ID]],Product_Dim!$A$2:$G$101,2,FALSE)</f>
        <v>Gaming Mechanical Keyboard-Electronics</v>
      </c>
      <c r="J1131" t="s">
        <v>1591</v>
      </c>
      <c r="K1131" t="str">
        <f>VLOOKUP(Table1[[#This Row],[Store_ID]],Store_Dim!$A$3:$D$22,2,FALSE)</f>
        <v>Martinez, Adkins and Johnson-North</v>
      </c>
      <c r="L1131" t="s">
        <v>1728</v>
      </c>
      <c r="M1131" t="s">
        <v>3958</v>
      </c>
      <c r="N1131" s="3">
        <v>848.48</v>
      </c>
      <c r="O1131" s="4">
        <v>0</v>
      </c>
      <c r="P1131" t="s">
        <v>1777</v>
      </c>
      <c r="Q1131" s="4">
        <v>2545.44</v>
      </c>
    </row>
    <row r="1132" spans="1:17" x14ac:dyDescent="0.3">
      <c r="A1132" t="s">
        <v>2904</v>
      </c>
      <c r="B1132" t="str">
        <f t="shared" si="17"/>
        <v>Q3</v>
      </c>
      <c r="C1132" t="str">
        <f>TEXT(Table1[[#This Row],[Order_Date]],"mmmm")</f>
        <v>August</v>
      </c>
      <c r="D1132">
        <f>YEAR(Table1[[#This Row],[Order_Date]])</f>
        <v>2024</v>
      </c>
      <c r="E1132" s="7">
        <v>45512</v>
      </c>
      <c r="F1132" s="2" t="str">
        <f>VLOOKUP(Table1[[#This Row],[Customer_ID]],Customer_Dim!$A$2:$H$501,2,FALSE)</f>
        <v>Nancy Page</v>
      </c>
      <c r="G1132" s="2" t="str">
        <f>_xlfn.XLOOKUP(Table1[[#This Row],[Customer_ID]],Customer_Dim!$A$2:$A$501,Customer_Dim!$E$2:$E$501)</f>
        <v>West Julia</v>
      </c>
      <c r="H1132" t="s">
        <v>776</v>
      </c>
      <c r="I1132" t="str">
        <f>VLOOKUP(Table1[[#This Row],[Product_ID]],Product_Dim!$A$2:$G$101,2,FALSE)</f>
        <v>Men's Track Pants-Clothing</v>
      </c>
      <c r="J1132" t="s">
        <v>1629</v>
      </c>
      <c r="K1132" t="str">
        <f>VLOOKUP(Table1[[#This Row],[Store_ID]],Store_Dim!$A$3:$D$22,2,FALSE)</f>
        <v>Bean, Jones and Park-West</v>
      </c>
      <c r="L1132" t="s">
        <v>1744</v>
      </c>
      <c r="M1132" t="s">
        <v>3960</v>
      </c>
      <c r="N1132" s="3">
        <v>568.95000000000005</v>
      </c>
      <c r="O1132" s="4">
        <v>0.22</v>
      </c>
      <c r="P1132" t="s">
        <v>1772</v>
      </c>
      <c r="Q1132" s="4">
        <v>887.56200000000013</v>
      </c>
    </row>
    <row r="1133" spans="1:17" x14ac:dyDescent="0.3">
      <c r="A1133" t="s">
        <v>2905</v>
      </c>
      <c r="B1133" t="str">
        <f t="shared" si="17"/>
        <v>Q2</v>
      </c>
      <c r="C1133" t="str">
        <f>TEXT(Table1[[#This Row],[Order_Date]],"mmmm")</f>
        <v>April</v>
      </c>
      <c r="D1133">
        <f>YEAR(Table1[[#This Row],[Order_Date]])</f>
        <v>2025</v>
      </c>
      <c r="E1133" s="7">
        <v>45764</v>
      </c>
      <c r="F1133" s="2" t="str">
        <f>VLOOKUP(Table1[[#This Row],[Customer_ID]],Customer_Dim!$A$2:$H$501,2,FALSE)</f>
        <v>Mariah Brown</v>
      </c>
      <c r="G1133" s="2" t="str">
        <f>_xlfn.XLOOKUP(Table1[[#This Row],[Customer_ID]],Customer_Dim!$A$2:$A$501,Customer_Dim!$E$2:$E$501)</f>
        <v>Palmerbury</v>
      </c>
      <c r="H1133" t="s">
        <v>536</v>
      </c>
      <c r="I1133" t="str">
        <f>VLOOKUP(Table1[[#This Row],[Product_ID]],Product_Dim!$A$2:$G$101,2,FALSE)</f>
        <v>Men's Track Pants-Clothing</v>
      </c>
      <c r="J1133" t="s">
        <v>1629</v>
      </c>
      <c r="K1133" t="str">
        <f>VLOOKUP(Table1[[#This Row],[Store_ID]],Store_Dim!$A$3:$D$22,2,FALSE)</f>
        <v>Aguirre-Keller-South</v>
      </c>
      <c r="L1133" t="s">
        <v>1750</v>
      </c>
      <c r="M1133" t="s">
        <v>3958</v>
      </c>
      <c r="N1133" s="3">
        <v>269.83999999999997</v>
      </c>
      <c r="O1133" s="4">
        <v>0.05</v>
      </c>
      <c r="P1133" t="s">
        <v>1774</v>
      </c>
      <c r="Q1133" s="4">
        <v>769.04399999999998</v>
      </c>
    </row>
    <row r="1134" spans="1:17" x14ac:dyDescent="0.3">
      <c r="A1134" t="s">
        <v>2906</v>
      </c>
      <c r="B1134" t="str">
        <f t="shared" si="17"/>
        <v>Q1</v>
      </c>
      <c r="C1134" t="str">
        <f>TEXT(Table1[[#This Row],[Order_Date]],"mmmm")</f>
        <v>March</v>
      </c>
      <c r="D1134">
        <f>YEAR(Table1[[#This Row],[Order_Date]])</f>
        <v>2025</v>
      </c>
      <c r="E1134" s="7">
        <v>45746</v>
      </c>
      <c r="F1134" s="2" t="str">
        <f>VLOOKUP(Table1[[#This Row],[Customer_ID]],Customer_Dim!$A$2:$H$501,2,FALSE)</f>
        <v>Stacy Collins</v>
      </c>
      <c r="G1134" s="2" t="str">
        <f>_xlfn.XLOOKUP(Table1[[#This Row],[Customer_ID]],Customer_Dim!$A$2:$A$501,Customer_Dim!$E$2:$E$501)</f>
        <v>Randychester</v>
      </c>
      <c r="H1134" t="s">
        <v>965</v>
      </c>
      <c r="I1134" t="str">
        <f>VLOOKUP(Table1[[#This Row],[Product_ID]],Product_Dim!$A$2:$G$101,2,FALSE)</f>
        <v>Laptop Cooling Pad-Electronics</v>
      </c>
      <c r="J1134" t="s">
        <v>1647</v>
      </c>
      <c r="K1134" t="str">
        <f>VLOOKUP(Table1[[#This Row],[Store_ID]],Store_Dim!$A$3:$D$22,2,FALSE)</f>
        <v>Gardner, Humphrey and Contreras-East</v>
      </c>
      <c r="L1134" t="s">
        <v>1753</v>
      </c>
      <c r="M1134" t="s">
        <v>3959</v>
      </c>
      <c r="N1134" s="3">
        <v>267.36</v>
      </c>
      <c r="O1134" s="4">
        <v>0.27</v>
      </c>
      <c r="P1134" t="s">
        <v>1774</v>
      </c>
      <c r="Q1134" s="4">
        <v>780.69119999999998</v>
      </c>
    </row>
    <row r="1135" spans="1:17" x14ac:dyDescent="0.3">
      <c r="A1135" t="s">
        <v>2907</v>
      </c>
      <c r="B1135" t="str">
        <f t="shared" si="17"/>
        <v>Q4</v>
      </c>
      <c r="C1135" t="str">
        <f>TEXT(Table1[[#This Row],[Order_Date]],"mmmm")</f>
        <v>December</v>
      </c>
      <c r="D1135">
        <f>YEAR(Table1[[#This Row],[Order_Date]])</f>
        <v>2024</v>
      </c>
      <c r="E1135" s="7">
        <v>45647</v>
      </c>
      <c r="F1135" s="2" t="str">
        <f>VLOOKUP(Table1[[#This Row],[Customer_ID]],Customer_Dim!$A$2:$H$501,2,FALSE)</f>
        <v>Ryan Hernandez</v>
      </c>
      <c r="G1135" s="2" t="str">
        <f>_xlfn.XLOOKUP(Table1[[#This Row],[Customer_ID]],Customer_Dim!$A$2:$A$501,Customer_Dim!$E$2:$E$501)</f>
        <v>East Donna</v>
      </c>
      <c r="H1135" t="s">
        <v>394</v>
      </c>
      <c r="I1135" t="str">
        <f>VLOOKUP(Table1[[#This Row],[Product_ID]],Product_Dim!$A$2:$G$101,2,FALSE)</f>
        <v>Men's Casual Sneakers-Clothing</v>
      </c>
      <c r="J1135" t="s">
        <v>1597</v>
      </c>
      <c r="K1135" t="str">
        <f>VLOOKUP(Table1[[#This Row],[Store_ID]],Store_Dim!$A$3:$D$22,2,FALSE)</f>
        <v>Martinez, Adkins and Johnson-North</v>
      </c>
      <c r="L1135" t="s">
        <v>1728</v>
      </c>
      <c r="M1135" t="s">
        <v>3957</v>
      </c>
      <c r="N1135" s="3">
        <v>438.41</v>
      </c>
      <c r="O1135" s="4">
        <v>0.09</v>
      </c>
      <c r="P1135" t="s">
        <v>1772</v>
      </c>
      <c r="Q1135" s="4">
        <v>398.95310000000012</v>
      </c>
    </row>
    <row r="1136" spans="1:17" x14ac:dyDescent="0.3">
      <c r="A1136" t="s">
        <v>2908</v>
      </c>
      <c r="B1136" t="str">
        <f t="shared" si="17"/>
        <v>Q2</v>
      </c>
      <c r="C1136" t="str">
        <f>TEXT(Table1[[#This Row],[Order_Date]],"mmmm")</f>
        <v>May</v>
      </c>
      <c r="D1136">
        <f>YEAR(Table1[[#This Row],[Order_Date]])</f>
        <v>2024</v>
      </c>
      <c r="E1136" s="7">
        <v>45443</v>
      </c>
      <c r="F1136" s="2" t="str">
        <f>VLOOKUP(Table1[[#This Row],[Customer_ID]],Customer_Dim!$A$2:$H$501,2,FALSE)</f>
        <v>Daniel Rivas</v>
      </c>
      <c r="G1136" s="2" t="str">
        <f>_xlfn.XLOOKUP(Table1[[#This Row],[Customer_ID]],Customer_Dim!$A$2:$A$501,Customer_Dim!$E$2:$E$501)</f>
        <v>Dominiquefort</v>
      </c>
      <c r="H1136" t="s">
        <v>542</v>
      </c>
      <c r="I1136" t="str">
        <f>VLOOKUP(Table1[[#This Row],[Product_ID]],Product_Dim!$A$2:$G$101,2,FALSE)</f>
        <v>HDMI Cable – 2m-Electronics</v>
      </c>
      <c r="J1136" t="s">
        <v>1625</v>
      </c>
      <c r="K1136" t="str">
        <f>VLOOKUP(Table1[[#This Row],[Store_ID]],Store_Dim!$A$3:$D$22,2,FALSE)</f>
        <v>Guerrero-Schmitt-East</v>
      </c>
      <c r="L1136" t="s">
        <v>1761</v>
      </c>
      <c r="M1136" t="s">
        <v>3960</v>
      </c>
      <c r="N1136" s="3">
        <v>86.72</v>
      </c>
      <c r="O1136" s="4">
        <v>0.28000000000000003</v>
      </c>
      <c r="P1136" t="s">
        <v>1777</v>
      </c>
      <c r="Q1136" s="4">
        <v>124.8768</v>
      </c>
    </row>
    <row r="1137" spans="1:17" x14ac:dyDescent="0.3">
      <c r="A1137" t="s">
        <v>2909</v>
      </c>
      <c r="B1137" t="str">
        <f t="shared" si="17"/>
        <v>Q1</v>
      </c>
      <c r="C1137" t="str">
        <f>TEXT(Table1[[#This Row],[Order_Date]],"mmmm")</f>
        <v>March</v>
      </c>
      <c r="D1137">
        <f>YEAR(Table1[[#This Row],[Order_Date]])</f>
        <v>2025</v>
      </c>
      <c r="E1137" s="7">
        <v>45722</v>
      </c>
      <c r="F1137" s="2" t="str">
        <f>VLOOKUP(Table1[[#This Row],[Customer_ID]],Customer_Dim!$A$2:$H$501,2,FALSE)</f>
        <v>Bryce Hawkins</v>
      </c>
      <c r="G1137" s="2" t="str">
        <f>_xlfn.XLOOKUP(Table1[[#This Row],[Customer_ID]],Customer_Dim!$A$2:$A$501,Customer_Dim!$E$2:$E$501)</f>
        <v>Lake Monique</v>
      </c>
      <c r="H1137" t="s">
        <v>1303</v>
      </c>
      <c r="I1137" t="str">
        <f>VLOOKUP(Table1[[#This Row],[Product_ID]],Product_Dim!$A$2:$G$101,2,FALSE)</f>
        <v>Face Foundation Kit-Beauty</v>
      </c>
      <c r="J1137" t="s">
        <v>1701</v>
      </c>
      <c r="K1137" t="str">
        <f>VLOOKUP(Table1[[#This Row],[Store_ID]],Store_Dim!$A$3:$D$22,2,FALSE)</f>
        <v>Benson-Elliott-East</v>
      </c>
      <c r="L1137" t="s">
        <v>1740</v>
      </c>
      <c r="M1137" t="s">
        <v>3959</v>
      </c>
      <c r="N1137" s="3">
        <v>630.21</v>
      </c>
      <c r="O1137" s="4">
        <v>0.14000000000000001</v>
      </c>
      <c r="P1137" t="s">
        <v>1777</v>
      </c>
      <c r="Q1137" s="4">
        <v>2167.9223999999999</v>
      </c>
    </row>
    <row r="1138" spans="1:17" x14ac:dyDescent="0.3">
      <c r="A1138" t="s">
        <v>2910</v>
      </c>
      <c r="B1138" t="str">
        <f t="shared" si="17"/>
        <v>Q4</v>
      </c>
      <c r="C1138" t="str">
        <f>TEXT(Table1[[#This Row],[Order_Date]],"mmmm")</f>
        <v>October</v>
      </c>
      <c r="D1138">
        <f>YEAR(Table1[[#This Row],[Order_Date]])</f>
        <v>2024</v>
      </c>
      <c r="E1138" s="7">
        <v>45575</v>
      </c>
      <c r="F1138" s="2" t="str">
        <f>VLOOKUP(Table1[[#This Row],[Customer_ID]],Customer_Dim!$A$2:$H$501,2,FALSE)</f>
        <v>Melanie Lam</v>
      </c>
      <c r="G1138" s="2" t="str">
        <f>_xlfn.XLOOKUP(Table1[[#This Row],[Customer_ID]],Customer_Dim!$A$2:$A$501,Customer_Dim!$E$2:$E$501)</f>
        <v>East Michaelton</v>
      </c>
      <c r="H1138" t="s">
        <v>1112</v>
      </c>
      <c r="I1138" t="str">
        <f>VLOOKUP(Table1[[#This Row],[Product_ID]],Product_Dim!$A$2:$G$101,2,FALSE)</f>
        <v>Men's Hair Styling Gel-Beauty</v>
      </c>
      <c r="J1138" t="s">
        <v>1641</v>
      </c>
      <c r="K1138" t="str">
        <f>VLOOKUP(Table1[[#This Row],[Store_ID]],Store_Dim!$A$3:$D$22,2,FALSE)</f>
        <v>Benson-Elliott-East</v>
      </c>
      <c r="L1138" t="s">
        <v>1740</v>
      </c>
      <c r="M1138" t="s">
        <v>3958</v>
      </c>
      <c r="N1138" s="3">
        <v>180.84</v>
      </c>
      <c r="O1138" s="4">
        <v>0.03</v>
      </c>
      <c r="P1138" t="s">
        <v>1774</v>
      </c>
      <c r="Q1138" s="4">
        <v>526.24439999999993</v>
      </c>
    </row>
    <row r="1139" spans="1:17" x14ac:dyDescent="0.3">
      <c r="A1139" t="s">
        <v>2911</v>
      </c>
      <c r="B1139" t="str">
        <f t="shared" si="17"/>
        <v>Q2</v>
      </c>
      <c r="C1139" t="str">
        <f>TEXT(Table1[[#This Row],[Order_Date]],"mmmm")</f>
        <v>May</v>
      </c>
      <c r="D1139">
        <f>YEAR(Table1[[#This Row],[Order_Date]])</f>
        <v>2024</v>
      </c>
      <c r="E1139" s="7">
        <v>45441</v>
      </c>
      <c r="F1139" s="2" t="str">
        <f>VLOOKUP(Table1[[#This Row],[Customer_ID]],Customer_Dim!$A$2:$H$501,2,FALSE)</f>
        <v>Caroline Collins</v>
      </c>
      <c r="G1139" s="2" t="str">
        <f>_xlfn.XLOOKUP(Table1[[#This Row],[Customer_ID]],Customer_Dim!$A$2:$A$501,Customer_Dim!$E$2:$E$501)</f>
        <v>Nicholasshire</v>
      </c>
      <c r="H1139" t="s">
        <v>27</v>
      </c>
      <c r="I1139" t="str">
        <f>VLOOKUP(Table1[[#This Row],[Product_ID]],Product_Dim!$A$2:$G$101,2,FALSE)</f>
        <v>Matte Lipstick Set-Beauty</v>
      </c>
      <c r="J1139" t="s">
        <v>1651</v>
      </c>
      <c r="K1139" t="str">
        <f>VLOOKUP(Table1[[#This Row],[Store_ID]],Store_Dim!$A$3:$D$22,2,FALSE)</f>
        <v>Frederick-Wright-West</v>
      </c>
      <c r="L1139" t="s">
        <v>1757</v>
      </c>
      <c r="M1139" t="s">
        <v>3957</v>
      </c>
      <c r="N1139" s="3">
        <v>453.41</v>
      </c>
      <c r="O1139" s="4">
        <v>0.04</v>
      </c>
      <c r="P1139" t="s">
        <v>1777</v>
      </c>
      <c r="Q1139" s="4">
        <v>435.27359999999999</v>
      </c>
    </row>
    <row r="1140" spans="1:17" x14ac:dyDescent="0.3">
      <c r="A1140" t="s">
        <v>2912</v>
      </c>
      <c r="B1140" t="str">
        <f t="shared" si="17"/>
        <v>Q4</v>
      </c>
      <c r="C1140" t="str">
        <f>TEXT(Table1[[#This Row],[Order_Date]],"mmmm")</f>
        <v>October</v>
      </c>
      <c r="D1140">
        <f>YEAR(Table1[[#This Row],[Order_Date]])</f>
        <v>2025</v>
      </c>
      <c r="E1140" s="7">
        <v>45940</v>
      </c>
      <c r="F1140" s="2" t="str">
        <f>VLOOKUP(Table1[[#This Row],[Customer_ID]],Customer_Dim!$A$2:$H$501,2,FALSE)</f>
        <v>Heather Collins</v>
      </c>
      <c r="G1140" s="2" t="str">
        <f>_xlfn.XLOOKUP(Table1[[#This Row],[Customer_ID]],Customer_Dim!$A$2:$A$501,Customer_Dim!$E$2:$E$501)</f>
        <v>Rogerschester</v>
      </c>
      <c r="H1140" t="s">
        <v>103</v>
      </c>
      <c r="I1140" t="str">
        <f>VLOOKUP(Table1[[#This Row],[Product_ID]],Product_Dim!$A$2:$G$101,2,FALSE)</f>
        <v>HDMI Cable – 2m-Electronics</v>
      </c>
      <c r="J1140" t="s">
        <v>1625</v>
      </c>
      <c r="K1140" t="str">
        <f>VLOOKUP(Table1[[#This Row],[Store_ID]],Store_Dim!$A$3:$D$22,2,FALSE)</f>
        <v>Benson-Elliott-East</v>
      </c>
      <c r="L1140" t="s">
        <v>1740</v>
      </c>
      <c r="M1140" t="s">
        <v>3957</v>
      </c>
      <c r="N1140" s="3">
        <v>629.09</v>
      </c>
      <c r="O1140" s="4">
        <v>0.02</v>
      </c>
      <c r="P1140" t="s">
        <v>1772</v>
      </c>
      <c r="Q1140" s="4">
        <v>616.50819999999999</v>
      </c>
    </row>
    <row r="1141" spans="1:17" x14ac:dyDescent="0.3">
      <c r="A1141" t="s">
        <v>2913</v>
      </c>
      <c r="B1141" t="str">
        <f t="shared" si="17"/>
        <v>Q3</v>
      </c>
      <c r="C1141" t="str">
        <f>TEXT(Table1[[#This Row],[Order_Date]],"mmmm")</f>
        <v>August</v>
      </c>
      <c r="D1141">
        <f>YEAR(Table1[[#This Row],[Order_Date]])</f>
        <v>2024</v>
      </c>
      <c r="E1141" s="7">
        <v>45518</v>
      </c>
      <c r="F1141" s="2" t="str">
        <f>VLOOKUP(Table1[[#This Row],[Customer_ID]],Customer_Dim!$A$2:$H$501,2,FALSE)</f>
        <v>Paul Fox</v>
      </c>
      <c r="G1141" s="2" t="str">
        <f>_xlfn.XLOOKUP(Table1[[#This Row],[Customer_ID]],Customer_Dim!$A$2:$A$501,Customer_Dim!$E$2:$E$501)</f>
        <v>Michaelton</v>
      </c>
      <c r="H1141" t="s">
        <v>97</v>
      </c>
      <c r="I1141" t="str">
        <f>VLOOKUP(Table1[[#This Row],[Product_ID]],Product_Dim!$A$2:$G$101,2,FALSE)</f>
        <v>WiFi Mesh Router-Electronics</v>
      </c>
      <c r="J1141" t="s">
        <v>1677</v>
      </c>
      <c r="K1141" t="str">
        <f>VLOOKUP(Table1[[#This Row],[Store_ID]],Store_Dim!$A$3:$D$22,2,FALSE)</f>
        <v>Black-Horn-South</v>
      </c>
      <c r="L1141" t="s">
        <v>1730</v>
      </c>
      <c r="M1141" t="s">
        <v>3960</v>
      </c>
      <c r="N1141" s="3">
        <v>257.45</v>
      </c>
      <c r="O1141" s="4">
        <v>0.15285545023696706</v>
      </c>
      <c r="P1141" t="s">
        <v>1777</v>
      </c>
      <c r="Q1141" s="4">
        <v>514.9</v>
      </c>
    </row>
    <row r="1142" spans="1:17" x14ac:dyDescent="0.3">
      <c r="A1142" t="s">
        <v>2914</v>
      </c>
      <c r="B1142" t="str">
        <f t="shared" si="17"/>
        <v>Q3</v>
      </c>
      <c r="C1142" t="str">
        <f>TEXT(Table1[[#This Row],[Order_Date]],"mmmm")</f>
        <v>July</v>
      </c>
      <c r="D1142">
        <f>YEAR(Table1[[#This Row],[Order_Date]])</f>
        <v>2025</v>
      </c>
      <c r="E1142" s="7">
        <v>45861</v>
      </c>
      <c r="F1142" s="2" t="str">
        <f>VLOOKUP(Table1[[#This Row],[Customer_ID]],Customer_Dim!$A$2:$H$501,2,FALSE)</f>
        <v>Nicholas Bradshaw</v>
      </c>
      <c r="G1142" s="2" t="str">
        <f>_xlfn.XLOOKUP(Table1[[#This Row],[Customer_ID]],Customer_Dim!$A$2:$A$501,Customer_Dim!$E$2:$E$501)</f>
        <v>Murphyfurt</v>
      </c>
      <c r="H1142" t="s">
        <v>586</v>
      </c>
      <c r="I1142" t="str">
        <f>VLOOKUP(Table1[[#This Row],[Product_ID]],Product_Dim!$A$2:$G$101,2,FALSE)</f>
        <v>Gaming Mechanical Keyboard-Electronics</v>
      </c>
      <c r="J1142" t="s">
        <v>1591</v>
      </c>
      <c r="K1142" t="str">
        <f>VLOOKUP(Table1[[#This Row],[Store_ID]],Store_Dim!$A$3:$D$22,2,FALSE)</f>
        <v>Shelton PLC-North</v>
      </c>
      <c r="L1142" t="s">
        <v>1755</v>
      </c>
      <c r="M1142" t="s">
        <v>3960</v>
      </c>
      <c r="N1142" s="3">
        <v>696.61</v>
      </c>
      <c r="O1142" s="4">
        <v>0.17</v>
      </c>
      <c r="P1142" t="s">
        <v>1774</v>
      </c>
      <c r="Q1142" s="4">
        <v>1156.3725999999999</v>
      </c>
    </row>
    <row r="1143" spans="1:17" x14ac:dyDescent="0.3">
      <c r="A1143" t="s">
        <v>2915</v>
      </c>
      <c r="B1143" t="str">
        <f t="shared" si="17"/>
        <v>Q2</v>
      </c>
      <c r="C1143" t="str">
        <f>TEXT(Table1[[#This Row],[Order_Date]],"mmmm")</f>
        <v>May</v>
      </c>
      <c r="D1143">
        <f>YEAR(Table1[[#This Row],[Order_Date]])</f>
        <v>2024</v>
      </c>
      <c r="E1143" s="7">
        <v>45416</v>
      </c>
      <c r="F1143" s="2" t="str">
        <f>VLOOKUP(Table1[[#This Row],[Customer_ID]],Customer_Dim!$A$2:$H$501,2,FALSE)</f>
        <v>James Orozco</v>
      </c>
      <c r="G1143" s="2" t="str">
        <f>_xlfn.XLOOKUP(Table1[[#This Row],[Customer_ID]],Customer_Dim!$A$2:$A$501,Customer_Dim!$E$2:$E$501)</f>
        <v>Simpsonfort</v>
      </c>
      <c r="H1143" t="s">
        <v>1153</v>
      </c>
      <c r="I1143" t="str">
        <f>VLOOKUP(Table1[[#This Row],[Product_ID]],Product_Dim!$A$2:$G$101,2,FALSE)</f>
        <v>Men's Winter Jacket-Clothing</v>
      </c>
      <c r="J1143" t="s">
        <v>1615</v>
      </c>
      <c r="K1143" t="str">
        <f>VLOOKUP(Table1[[#This Row],[Store_ID]],Store_Dim!$A$3:$D$22,2,FALSE)</f>
        <v>Martinez-Mullins-South</v>
      </c>
      <c r="L1143" t="s">
        <v>1742</v>
      </c>
      <c r="M1143" t="s">
        <v>3960</v>
      </c>
      <c r="N1143" s="3">
        <v>143.79</v>
      </c>
      <c r="O1143" s="4">
        <v>0.1</v>
      </c>
      <c r="P1143" t="s">
        <v>1774</v>
      </c>
      <c r="Q1143" s="4">
        <v>258.822</v>
      </c>
    </row>
    <row r="1144" spans="1:17" x14ac:dyDescent="0.3">
      <c r="A1144" t="s">
        <v>2916</v>
      </c>
      <c r="B1144" t="str">
        <f t="shared" si="17"/>
        <v>Q4</v>
      </c>
      <c r="C1144" t="str">
        <f>TEXT(Table1[[#This Row],[Order_Date]],"mmmm")</f>
        <v>November</v>
      </c>
      <c r="D1144">
        <f>YEAR(Table1[[#This Row],[Order_Date]])</f>
        <v>2024</v>
      </c>
      <c r="E1144" s="7">
        <v>45608</v>
      </c>
      <c r="F1144" s="2" t="str">
        <f>VLOOKUP(Table1[[#This Row],[Customer_ID]],Customer_Dim!$A$2:$H$501,2,FALSE)</f>
        <v>Jared Moran</v>
      </c>
      <c r="G1144" s="2" t="str">
        <f>_xlfn.XLOOKUP(Table1[[#This Row],[Customer_ID]],Customer_Dim!$A$2:$A$501,Customer_Dim!$E$2:$E$501)</f>
        <v>South David</v>
      </c>
      <c r="H1144" t="s">
        <v>928</v>
      </c>
      <c r="I1144" t="str">
        <f>VLOOKUP(Table1[[#This Row],[Product_ID]],Product_Dim!$A$2:$G$101,2,FALSE)</f>
        <v>Hydrating Face Cleanser-Beauty</v>
      </c>
      <c r="J1144" t="s">
        <v>1689</v>
      </c>
      <c r="K1144" t="str">
        <f>VLOOKUP(Table1[[#This Row],[Store_ID]],Store_Dim!$A$3:$D$22,2,FALSE)</f>
        <v>Martinez, Adkins and Johnson-North</v>
      </c>
      <c r="L1144" t="s">
        <v>1728</v>
      </c>
      <c r="M1144" t="s">
        <v>3958</v>
      </c>
      <c r="N1144" s="3">
        <v>460.93</v>
      </c>
      <c r="O1144" s="4">
        <v>0.19</v>
      </c>
      <c r="P1144" t="s">
        <v>1777</v>
      </c>
      <c r="Q1144" s="4">
        <v>1120.0599</v>
      </c>
    </row>
    <row r="1145" spans="1:17" x14ac:dyDescent="0.3">
      <c r="A1145" t="s">
        <v>2917</v>
      </c>
      <c r="B1145" t="str">
        <f t="shared" si="17"/>
        <v>Q1</v>
      </c>
      <c r="C1145" t="str">
        <f>TEXT(Table1[[#This Row],[Order_Date]],"mmmm")</f>
        <v>January</v>
      </c>
      <c r="D1145">
        <f>YEAR(Table1[[#This Row],[Order_Date]])</f>
        <v>2024</v>
      </c>
      <c r="E1145" s="7">
        <v>45301</v>
      </c>
      <c r="F1145" s="2" t="str">
        <f>VLOOKUP(Table1[[#This Row],[Customer_ID]],Customer_Dim!$A$2:$H$501,2,FALSE)</f>
        <v>Philip Pennington</v>
      </c>
      <c r="G1145" s="2" t="str">
        <f>_xlfn.XLOOKUP(Table1[[#This Row],[Customer_ID]],Customer_Dim!$A$2:$A$501,Customer_Dim!$E$2:$E$501)</f>
        <v>East Valerieview</v>
      </c>
      <c r="H1145" t="s">
        <v>1516</v>
      </c>
      <c r="I1145" t="str">
        <f>VLOOKUP(Table1[[#This Row],[Product_ID]],Product_Dim!$A$2:$G$101,2,FALSE)</f>
        <v>Sports Stopwatch Timer-Sports</v>
      </c>
      <c r="J1145" t="s">
        <v>1579</v>
      </c>
      <c r="K1145" t="str">
        <f>VLOOKUP(Table1[[#This Row],[Store_ID]],Store_Dim!$A$3:$D$22,2,FALSE)</f>
        <v>Moore, Padilla and Butler-South</v>
      </c>
      <c r="L1145" t="s">
        <v>1746</v>
      </c>
      <c r="M1145" t="s">
        <v>3960</v>
      </c>
      <c r="N1145" s="3">
        <v>67.55</v>
      </c>
      <c r="O1145" s="4">
        <v>0.03</v>
      </c>
      <c r="P1145" t="s">
        <v>1772</v>
      </c>
      <c r="Q1145" s="4">
        <v>131.047</v>
      </c>
    </row>
    <row r="1146" spans="1:17" x14ac:dyDescent="0.3">
      <c r="A1146" t="s">
        <v>2918</v>
      </c>
      <c r="B1146" t="str">
        <f t="shared" si="17"/>
        <v>Q2</v>
      </c>
      <c r="C1146" t="str">
        <f>TEXT(Table1[[#This Row],[Order_Date]],"mmmm")</f>
        <v>May</v>
      </c>
      <c r="D1146">
        <f>YEAR(Table1[[#This Row],[Order_Date]])</f>
        <v>2024</v>
      </c>
      <c r="E1146" s="7">
        <v>45433</v>
      </c>
      <c r="F1146" s="2" t="str">
        <f>VLOOKUP(Table1[[#This Row],[Customer_ID]],Customer_Dim!$A$2:$H$501,2,FALSE)</f>
        <v>Antonio Jones</v>
      </c>
      <c r="G1146" s="2" t="str">
        <f>_xlfn.XLOOKUP(Table1[[#This Row],[Customer_ID]],Customer_Dim!$A$2:$A$501,Customer_Dim!$E$2:$E$501)</f>
        <v>Matthewborough</v>
      </c>
      <c r="H1146" t="s">
        <v>678</v>
      </c>
      <c r="I1146" t="str">
        <f>VLOOKUP(Table1[[#This Row],[Product_ID]],Product_Dim!$A$2:$G$101,2,FALSE)</f>
        <v>Men's Roll-On Perfume-Beauty</v>
      </c>
      <c r="J1146" t="s">
        <v>1621</v>
      </c>
      <c r="K1146" t="str">
        <f>VLOOKUP(Table1[[#This Row],[Store_ID]],Store_Dim!$A$3:$D$22,2,FALSE)</f>
        <v>Martinez, Adkins and Johnson-North</v>
      </c>
      <c r="L1146" t="s">
        <v>1728</v>
      </c>
      <c r="M1146" t="s">
        <v>3958</v>
      </c>
      <c r="N1146" s="3">
        <v>803.31</v>
      </c>
      <c r="O1146" s="4">
        <v>0.1</v>
      </c>
      <c r="P1146" t="s">
        <v>1774</v>
      </c>
      <c r="Q1146" s="4">
        <v>2168.9369999999999</v>
      </c>
    </row>
    <row r="1147" spans="1:17" x14ac:dyDescent="0.3">
      <c r="A1147" t="s">
        <v>2919</v>
      </c>
      <c r="B1147" t="str">
        <f t="shared" si="17"/>
        <v>Q2</v>
      </c>
      <c r="C1147" t="str">
        <f>TEXT(Table1[[#This Row],[Order_Date]],"mmmm")</f>
        <v>June</v>
      </c>
      <c r="D1147">
        <f>YEAR(Table1[[#This Row],[Order_Date]])</f>
        <v>2025</v>
      </c>
      <c r="E1147" s="7">
        <v>45821</v>
      </c>
      <c r="F1147" s="2" t="str">
        <f>VLOOKUP(Table1[[#This Row],[Customer_ID]],Customer_Dim!$A$2:$H$501,2,FALSE)</f>
        <v>Summer Weiss</v>
      </c>
      <c r="G1147" s="2" t="str">
        <f>_xlfn.XLOOKUP(Table1[[#This Row],[Customer_ID]],Customer_Dim!$A$2:$A$501,Customer_Dim!$E$2:$E$501)</f>
        <v>Phyllisport</v>
      </c>
      <c r="H1147" t="s">
        <v>1324</v>
      </c>
      <c r="I1147" t="str">
        <f>VLOOKUP(Table1[[#This Row],[Product_ID]],Product_Dim!$A$2:$G$101,2,FALSE)</f>
        <v>Beard Grooming Kit-Beauty</v>
      </c>
      <c r="J1147" t="s">
        <v>1555</v>
      </c>
      <c r="K1147" t="str">
        <f>VLOOKUP(Table1[[#This Row],[Store_ID]],Store_Dim!$A$3:$D$22,2,FALSE)</f>
        <v>Gardner, Humphrey and Contreras-East</v>
      </c>
      <c r="L1147" t="s">
        <v>1753</v>
      </c>
      <c r="M1147" t="s">
        <v>3959</v>
      </c>
      <c r="N1147" s="3">
        <v>254.71</v>
      </c>
      <c r="O1147" s="4">
        <v>0.2</v>
      </c>
      <c r="P1147" t="s">
        <v>1777</v>
      </c>
      <c r="Q1147" s="4">
        <v>815.07200000000012</v>
      </c>
    </row>
    <row r="1148" spans="1:17" x14ac:dyDescent="0.3">
      <c r="A1148" t="s">
        <v>2920</v>
      </c>
      <c r="B1148" t="str">
        <f t="shared" si="17"/>
        <v>Q3</v>
      </c>
      <c r="C1148" t="str">
        <f>TEXT(Table1[[#This Row],[Order_Date]],"mmmm")</f>
        <v>August</v>
      </c>
      <c r="D1148">
        <f>YEAR(Table1[[#This Row],[Order_Date]])</f>
        <v>2024</v>
      </c>
      <c r="E1148" s="7">
        <v>45508</v>
      </c>
      <c r="F1148" s="2" t="str">
        <f>VLOOKUP(Table1[[#This Row],[Customer_ID]],Customer_Dim!$A$2:$H$501,2,FALSE)</f>
        <v>Sarah Rodgers</v>
      </c>
      <c r="G1148" s="2" t="str">
        <f>_xlfn.XLOOKUP(Table1[[#This Row],[Customer_ID]],Customer_Dim!$A$2:$A$501,Customer_Dim!$E$2:$E$501)</f>
        <v>New Julia</v>
      </c>
      <c r="H1148" t="s">
        <v>192</v>
      </c>
      <c r="I1148" t="str">
        <f>VLOOKUP(Table1[[#This Row],[Product_ID]],Product_Dim!$A$2:$G$101,2,FALSE)</f>
        <v>Boxing Hand Wraps-Sports</v>
      </c>
      <c r="J1148" t="s">
        <v>1623</v>
      </c>
      <c r="K1148" t="str">
        <f>VLOOKUP(Table1[[#This Row],[Store_ID]],Store_Dim!$A$3:$D$22,2,FALSE)</f>
        <v>Alexander Group-South</v>
      </c>
      <c r="L1148" t="s">
        <v>1735</v>
      </c>
      <c r="M1148" t="s">
        <v>3959</v>
      </c>
      <c r="N1148" s="3">
        <v>594.89</v>
      </c>
      <c r="O1148" s="4">
        <v>0.3</v>
      </c>
      <c r="P1148" t="s">
        <v>1774</v>
      </c>
      <c r="Q1148" s="4">
        <v>1665.692</v>
      </c>
    </row>
    <row r="1149" spans="1:17" x14ac:dyDescent="0.3">
      <c r="A1149" t="s">
        <v>2921</v>
      </c>
      <c r="B1149" t="str">
        <f t="shared" si="17"/>
        <v>Q3</v>
      </c>
      <c r="C1149" t="str">
        <f>TEXT(Table1[[#This Row],[Order_Date]],"mmmm")</f>
        <v>July</v>
      </c>
      <c r="D1149">
        <f>YEAR(Table1[[#This Row],[Order_Date]])</f>
        <v>2025</v>
      </c>
      <c r="E1149" s="7">
        <v>45854</v>
      </c>
      <c r="F1149" s="2" t="str">
        <f>VLOOKUP(Table1[[#This Row],[Customer_ID]],Customer_Dim!$A$2:$H$501,2,FALSE)</f>
        <v>Jordan Wells</v>
      </c>
      <c r="G1149" s="2" t="str">
        <f>_xlfn.XLOOKUP(Table1[[#This Row],[Customer_ID]],Customer_Dim!$A$2:$A$501,Customer_Dim!$E$2:$E$501)</f>
        <v xml:space="preserve">Phillipschester   </v>
      </c>
      <c r="H1149" t="s">
        <v>705</v>
      </c>
      <c r="I1149" t="str">
        <f>VLOOKUP(Table1[[#This Row],[Product_ID]],Product_Dim!$A$2:$G$101,2,FALSE)</f>
        <v>Women's High Heels-Clothing</v>
      </c>
      <c r="J1149" t="s">
        <v>1705</v>
      </c>
      <c r="K1149" t="str">
        <f>VLOOKUP(Table1[[#This Row],[Store_ID]],Store_Dim!$A$3:$D$22,2,FALSE)</f>
        <v>Rivera-Warner-East</v>
      </c>
      <c r="L1149" t="s">
        <v>1725</v>
      </c>
      <c r="M1149" t="s">
        <v>3960</v>
      </c>
      <c r="N1149" s="3">
        <v>844.31</v>
      </c>
      <c r="O1149" s="4">
        <v>7.0000000000000007E-2</v>
      </c>
      <c r="P1149" t="s">
        <v>1774</v>
      </c>
      <c r="Q1149" s="4">
        <v>1570.4166</v>
      </c>
    </row>
    <row r="1150" spans="1:17" x14ac:dyDescent="0.3">
      <c r="A1150" t="s">
        <v>2922</v>
      </c>
      <c r="B1150" t="str">
        <f t="shared" si="17"/>
        <v>Q4</v>
      </c>
      <c r="C1150" t="str">
        <f>TEXT(Table1[[#This Row],[Order_Date]],"mmmm")</f>
        <v>October</v>
      </c>
      <c r="D1150">
        <f>YEAR(Table1[[#This Row],[Order_Date]])</f>
        <v>2024</v>
      </c>
      <c r="E1150" s="7">
        <v>45569</v>
      </c>
      <c r="F1150" s="2" t="str">
        <f>VLOOKUP(Table1[[#This Row],[Customer_ID]],Customer_Dim!$A$2:$H$501,2,FALSE)</f>
        <v>Morgan Bowen</v>
      </c>
      <c r="G1150" s="2" t="str">
        <f>_xlfn.XLOOKUP(Table1[[#This Row],[Customer_ID]],Customer_Dim!$A$2:$A$501,Customer_Dim!$E$2:$E$501)</f>
        <v>Parksfort</v>
      </c>
      <c r="H1150" t="s">
        <v>453</v>
      </c>
      <c r="I1150" t="str">
        <f>VLOOKUP(Table1[[#This Row],[Product_ID]],Product_Dim!$A$2:$G$101,2,FALSE)</f>
        <v>4K Home Projector-Electronics</v>
      </c>
      <c r="J1150" t="s">
        <v>1553</v>
      </c>
      <c r="K1150" t="str">
        <f>VLOOKUP(Table1[[#This Row],[Store_ID]],Store_Dim!$A$3:$D$22,2,FALSE)</f>
        <v>Benson-Elliott-East</v>
      </c>
      <c r="L1150" t="s">
        <v>1740</v>
      </c>
      <c r="M1150" t="s">
        <v>3959</v>
      </c>
      <c r="N1150" s="3">
        <v>101.33</v>
      </c>
      <c r="O1150" s="4">
        <v>0</v>
      </c>
      <c r="P1150" t="s">
        <v>1772</v>
      </c>
      <c r="Q1150" s="4">
        <v>405.32</v>
      </c>
    </row>
    <row r="1151" spans="1:17" x14ac:dyDescent="0.3">
      <c r="A1151" t="s">
        <v>2923</v>
      </c>
      <c r="B1151" t="str">
        <f t="shared" si="17"/>
        <v>Q2</v>
      </c>
      <c r="C1151" t="str">
        <f>TEXT(Table1[[#This Row],[Order_Date]],"mmmm")</f>
        <v>June</v>
      </c>
      <c r="D1151">
        <f>YEAR(Table1[[#This Row],[Order_Date]])</f>
        <v>2025</v>
      </c>
      <c r="E1151" s="7">
        <v>45824</v>
      </c>
      <c r="F1151" s="2" t="str">
        <f>VLOOKUP(Table1[[#This Row],[Customer_ID]],Customer_Dim!$A$2:$H$501,2,FALSE)</f>
        <v>Joseph Richards</v>
      </c>
      <c r="G1151" s="2" t="str">
        <f>_xlfn.XLOOKUP(Table1[[#This Row],[Customer_ID]],Customer_Dim!$A$2:$A$501,Customer_Dim!$E$2:$E$501)</f>
        <v>Wigginsville</v>
      </c>
      <c r="H1151" t="s">
        <v>444</v>
      </c>
      <c r="I1151" t="str">
        <f>VLOOKUP(Table1[[#This Row],[Product_ID]],Product_Dim!$A$2:$G$101,2,FALSE)</f>
        <v>Wireless Bluetooth Speaker-Electronics</v>
      </c>
      <c r="J1151" t="s">
        <v>1575</v>
      </c>
      <c r="K1151" t="str">
        <f>VLOOKUP(Table1[[#This Row],[Store_ID]],Store_Dim!$A$3:$D$22,2,FALSE)</f>
        <v>Bean, Jones and Park-West</v>
      </c>
      <c r="L1151" t="s">
        <v>1744</v>
      </c>
      <c r="M1151" t="s">
        <v>3958</v>
      </c>
      <c r="N1151" s="3">
        <v>922.56</v>
      </c>
      <c r="O1151" s="4">
        <v>0.18</v>
      </c>
      <c r="P1151" t="s">
        <v>1774</v>
      </c>
      <c r="Q1151" s="4">
        <v>2269.4976000000001</v>
      </c>
    </row>
    <row r="1152" spans="1:17" x14ac:dyDescent="0.3">
      <c r="A1152" t="s">
        <v>2924</v>
      </c>
      <c r="B1152" t="str">
        <f t="shared" si="17"/>
        <v>Q1</v>
      </c>
      <c r="C1152" t="str">
        <f>TEXT(Table1[[#This Row],[Order_Date]],"mmmm")</f>
        <v>March</v>
      </c>
      <c r="D1152">
        <f>YEAR(Table1[[#This Row],[Order_Date]])</f>
        <v>2024</v>
      </c>
      <c r="E1152" s="7">
        <v>45352</v>
      </c>
      <c r="F1152" s="2" t="str">
        <f>VLOOKUP(Table1[[#This Row],[Customer_ID]],Customer_Dim!$A$2:$H$501,2,FALSE)</f>
        <v>Summer Weiss</v>
      </c>
      <c r="G1152" s="2" t="str">
        <f>_xlfn.XLOOKUP(Table1[[#This Row],[Customer_ID]],Customer_Dim!$A$2:$A$501,Customer_Dim!$E$2:$E$501)</f>
        <v>Phyllisport</v>
      </c>
      <c r="H1152" t="s">
        <v>1324</v>
      </c>
      <c r="I1152" t="str">
        <f>VLOOKUP(Table1[[#This Row],[Product_ID]],Product_Dim!$A$2:$G$101,2,FALSE)</f>
        <v>Sports Water Hydration Pack-Sports</v>
      </c>
      <c r="J1152" t="s">
        <v>1599</v>
      </c>
      <c r="K1152" t="str">
        <f>VLOOKUP(Table1[[#This Row],[Store_ID]],Store_Dim!$A$3:$D$22,2,FALSE)</f>
        <v>Mcdonald Inc-South</v>
      </c>
      <c r="L1152" t="s">
        <v>1754</v>
      </c>
      <c r="M1152" t="s">
        <v>3959</v>
      </c>
      <c r="N1152" s="3">
        <v>867.19</v>
      </c>
      <c r="O1152" s="4">
        <v>7.0000000000000007E-2</v>
      </c>
      <c r="P1152" t="s">
        <v>1777</v>
      </c>
      <c r="Q1152" s="4">
        <v>3225.9468000000002</v>
      </c>
    </row>
    <row r="1153" spans="1:17" x14ac:dyDescent="0.3">
      <c r="A1153" t="s">
        <v>2925</v>
      </c>
      <c r="B1153" t="str">
        <f t="shared" si="17"/>
        <v>Q2</v>
      </c>
      <c r="C1153" t="str">
        <f>TEXT(Table1[[#This Row],[Order_Date]],"mmmm")</f>
        <v>June</v>
      </c>
      <c r="D1153">
        <f>YEAR(Table1[[#This Row],[Order_Date]])</f>
        <v>2024</v>
      </c>
      <c r="E1153" s="7">
        <v>45454</v>
      </c>
      <c r="F1153" s="2" t="str">
        <f>VLOOKUP(Table1[[#This Row],[Customer_ID]],Customer_Dim!$A$2:$H$501,2,FALSE)</f>
        <v>Amber Jackson</v>
      </c>
      <c r="G1153" s="2" t="str">
        <f>_xlfn.XLOOKUP(Table1[[#This Row],[Customer_ID]],Customer_Dim!$A$2:$A$501,Customer_Dim!$E$2:$E$501)</f>
        <v>Deborahborough</v>
      </c>
      <c r="H1153" t="s">
        <v>36</v>
      </c>
      <c r="I1153" t="str">
        <f>VLOOKUP(Table1[[#This Row],[Product_ID]],Product_Dim!$A$2:$G$101,2,FALSE)</f>
        <v>Hydrating Face Cleanser-Beauty</v>
      </c>
      <c r="J1153" t="s">
        <v>1689</v>
      </c>
      <c r="K1153" t="str">
        <f>VLOOKUP(Table1[[#This Row],[Store_ID]],Store_Dim!$A$3:$D$22,2,FALSE)</f>
        <v>Holloway Ltd-North</v>
      </c>
      <c r="L1153" t="s">
        <v>1759</v>
      </c>
      <c r="M1153" t="s">
        <v>3958</v>
      </c>
      <c r="N1153" s="3">
        <v>816.87</v>
      </c>
      <c r="O1153" s="4">
        <v>0.14000000000000001</v>
      </c>
      <c r="P1153" t="s">
        <v>1774</v>
      </c>
      <c r="Q1153" s="4">
        <v>2107.5246000000002</v>
      </c>
    </row>
    <row r="1154" spans="1:17" x14ac:dyDescent="0.3">
      <c r="A1154" t="s">
        <v>2926</v>
      </c>
      <c r="B1154" t="str">
        <f t="shared" ref="B1154:B1217" si="18">"Q" &amp;ROUNDUP(MONTH(E1154)/3,0)</f>
        <v>Q3</v>
      </c>
      <c r="C1154" t="str">
        <f>TEXT(Table1[[#This Row],[Order_Date]],"mmmm")</f>
        <v>September</v>
      </c>
      <c r="D1154">
        <f>YEAR(Table1[[#This Row],[Order_Date]])</f>
        <v>2025</v>
      </c>
      <c r="E1154" s="7">
        <v>45924</v>
      </c>
      <c r="F1154" s="2" t="str">
        <f>VLOOKUP(Table1[[#This Row],[Customer_ID]],Customer_Dim!$A$2:$H$501,2,FALSE)</f>
        <v>Jordan Medina</v>
      </c>
      <c r="G1154" s="2" t="str">
        <f>_xlfn.XLOOKUP(Table1[[#This Row],[Customer_ID]],Customer_Dim!$A$2:$A$501,Customer_Dim!$E$2:$E$501)</f>
        <v>Robinchester</v>
      </c>
      <c r="H1154" t="s">
        <v>1461</v>
      </c>
      <c r="I1154" t="str">
        <f>VLOOKUP(Table1[[#This Row],[Product_ID]],Product_Dim!$A$2:$G$101,2,FALSE)</f>
        <v>Adjustable Dumbbells 20kg-Sports</v>
      </c>
      <c r="J1154" t="s">
        <v>1653</v>
      </c>
      <c r="K1154" t="str">
        <f>VLOOKUP(Table1[[#This Row],[Store_ID]],Store_Dim!$A$3:$D$22,2,FALSE)</f>
        <v>Johnson-Wright-North</v>
      </c>
      <c r="L1154" t="s">
        <v>1733</v>
      </c>
      <c r="M1154" t="s">
        <v>3958</v>
      </c>
      <c r="N1154" s="3">
        <v>258.06</v>
      </c>
      <c r="O1154" s="4">
        <v>0.15319711538461561</v>
      </c>
      <c r="P1154" t="s">
        <v>1774</v>
      </c>
      <c r="Q1154" s="4">
        <v>774.18000000000006</v>
      </c>
    </row>
    <row r="1155" spans="1:17" x14ac:dyDescent="0.3">
      <c r="A1155" t="s">
        <v>2927</v>
      </c>
      <c r="B1155" t="str">
        <f t="shared" si="18"/>
        <v>Q1</v>
      </c>
      <c r="C1155" t="str">
        <f>TEXT(Table1[[#This Row],[Order_Date]],"mmmm")</f>
        <v>February</v>
      </c>
      <c r="D1155">
        <f>YEAR(Table1[[#This Row],[Order_Date]])</f>
        <v>2025</v>
      </c>
      <c r="E1155" s="7">
        <v>45694</v>
      </c>
      <c r="F1155" s="2" t="str">
        <f>VLOOKUP(Table1[[#This Row],[Customer_ID]],Customer_Dim!$A$2:$H$501,2,FALSE)</f>
        <v>Jason Mullins</v>
      </c>
      <c r="G1155" s="2" t="str">
        <f>_xlfn.XLOOKUP(Table1[[#This Row],[Customer_ID]],Customer_Dim!$A$2:$A$501,Customer_Dim!$E$2:$E$501)</f>
        <v>Brianchester</v>
      </c>
      <c r="H1155" t="s">
        <v>974</v>
      </c>
      <c r="I1155" t="str">
        <f>VLOOKUP(Table1[[#This Row],[Product_ID]],Product_Dim!$A$2:$G$101,2,FALSE)</f>
        <v>Sports Water Hydration Pack-Sports</v>
      </c>
      <c r="J1155" t="s">
        <v>1599</v>
      </c>
      <c r="K1155" t="str">
        <f>VLOOKUP(Table1[[#This Row],[Store_ID]],Store_Dim!$A$3:$D$22,2,FALSE)</f>
        <v>Mcdonald Inc-South</v>
      </c>
      <c r="L1155" t="s">
        <v>1754</v>
      </c>
      <c r="M1155" t="s">
        <v>3960</v>
      </c>
      <c r="N1155" s="3">
        <v>574.58000000000004</v>
      </c>
      <c r="O1155" s="4">
        <v>0.06</v>
      </c>
      <c r="P1155" t="s">
        <v>1772</v>
      </c>
      <c r="Q1155" s="4">
        <v>1080.2103999999999</v>
      </c>
    </row>
    <row r="1156" spans="1:17" x14ac:dyDescent="0.3">
      <c r="A1156" t="s">
        <v>2928</v>
      </c>
      <c r="B1156" t="str">
        <f t="shared" si="18"/>
        <v>Q4</v>
      </c>
      <c r="C1156" t="str">
        <f>TEXT(Table1[[#This Row],[Order_Date]],"mmmm")</f>
        <v>October</v>
      </c>
      <c r="D1156">
        <f>YEAR(Table1[[#This Row],[Order_Date]])</f>
        <v>2024</v>
      </c>
      <c r="E1156" s="7">
        <v>45587</v>
      </c>
      <c r="F1156" s="2" t="str">
        <f>VLOOKUP(Table1[[#This Row],[Customer_ID]],Customer_Dim!$A$2:$H$501,2,FALSE)</f>
        <v>Paul Fox</v>
      </c>
      <c r="G1156" s="2" t="str">
        <f>_xlfn.XLOOKUP(Table1[[#This Row],[Customer_ID]],Customer_Dim!$A$2:$A$501,Customer_Dim!$E$2:$E$501)</f>
        <v>Michaelton</v>
      </c>
      <c r="H1156" t="s">
        <v>97</v>
      </c>
      <c r="I1156" t="str">
        <f>VLOOKUP(Table1[[#This Row],[Product_ID]],Product_Dim!$A$2:$G$101,2,FALSE)</f>
        <v>Hydrating Face Cleanser-Beauty</v>
      </c>
      <c r="J1156" t="s">
        <v>1689</v>
      </c>
      <c r="K1156" t="str">
        <f>VLOOKUP(Table1[[#This Row],[Store_ID]],Store_Dim!$A$3:$D$22,2,FALSE)</f>
        <v>Benson-Elliott-East</v>
      </c>
      <c r="L1156" t="s">
        <v>1740</v>
      </c>
      <c r="M1156" t="s">
        <v>3960</v>
      </c>
      <c r="N1156" s="3">
        <v>472.18</v>
      </c>
      <c r="O1156" s="4">
        <v>0.27</v>
      </c>
      <c r="P1156" t="s">
        <v>1774</v>
      </c>
      <c r="Q1156" s="4">
        <v>689.38279999999997</v>
      </c>
    </row>
    <row r="1157" spans="1:17" x14ac:dyDescent="0.3">
      <c r="A1157" t="s">
        <v>2929</v>
      </c>
      <c r="B1157" t="str">
        <f t="shared" si="18"/>
        <v>Q3</v>
      </c>
      <c r="C1157" t="str">
        <f>TEXT(Table1[[#This Row],[Order_Date]],"mmmm")</f>
        <v>September</v>
      </c>
      <c r="D1157">
        <f>YEAR(Table1[[#This Row],[Order_Date]])</f>
        <v>2024</v>
      </c>
      <c r="E1157" s="7">
        <v>45556</v>
      </c>
      <c r="F1157" s="2" t="str">
        <f>VLOOKUP(Table1[[#This Row],[Customer_ID]],Customer_Dim!$A$2:$H$501,2,FALSE)</f>
        <v>Eric Davis</v>
      </c>
      <c r="G1157" s="2" t="str">
        <f>_xlfn.XLOOKUP(Table1[[#This Row],[Customer_ID]],Customer_Dim!$A$2:$A$501,Customer_Dim!$E$2:$E$501)</f>
        <v>Johntown</v>
      </c>
      <c r="H1157" t="s">
        <v>1057</v>
      </c>
      <c r="I1157" t="str">
        <f>VLOOKUP(Table1[[#This Row],[Product_ID]],Product_Dim!$A$2:$G$101,2,FALSE)</f>
        <v>Yoga Exercise Mat-Sports</v>
      </c>
      <c r="J1157" t="s">
        <v>1605</v>
      </c>
      <c r="K1157" t="str">
        <f>VLOOKUP(Table1[[#This Row],[Store_ID]],Store_Dim!$A$3:$D$22,2,FALSE)</f>
        <v>Gray Ltd-North</v>
      </c>
      <c r="L1157" t="s">
        <v>1738</v>
      </c>
      <c r="M1157" t="s">
        <v>3960</v>
      </c>
      <c r="N1157" s="3">
        <v>20.47</v>
      </c>
      <c r="O1157" s="4">
        <v>0.12</v>
      </c>
      <c r="P1157" t="s">
        <v>1777</v>
      </c>
      <c r="Q1157" s="4">
        <v>36.027200000000001</v>
      </c>
    </row>
    <row r="1158" spans="1:17" x14ac:dyDescent="0.3">
      <c r="A1158" t="s">
        <v>2930</v>
      </c>
      <c r="B1158" t="str">
        <f t="shared" si="18"/>
        <v>Q3</v>
      </c>
      <c r="C1158" t="str">
        <f>TEXT(Table1[[#This Row],[Order_Date]],"mmmm")</f>
        <v>September</v>
      </c>
      <c r="D1158">
        <f>YEAR(Table1[[#This Row],[Order_Date]])</f>
        <v>2025</v>
      </c>
      <c r="E1158" s="7">
        <v>45923</v>
      </c>
      <c r="F1158" s="2" t="str">
        <f>VLOOKUP(Table1[[#This Row],[Customer_ID]],Customer_Dim!$A$2:$H$501,2,FALSE)</f>
        <v>Jonathan Steele</v>
      </c>
      <c r="G1158" s="2" t="str">
        <f>_xlfn.XLOOKUP(Table1[[#This Row],[Customer_ID]],Customer_Dim!$A$2:$A$501,Customer_Dim!$E$2:$E$501)</f>
        <v>Molinabury</v>
      </c>
      <c r="H1158" t="s">
        <v>100</v>
      </c>
      <c r="I1158" t="str">
        <f>VLOOKUP(Table1[[#This Row],[Product_ID]],Product_Dim!$A$2:$G$101,2,FALSE)</f>
        <v>Carbon Fiber Tennis Racket-Sports</v>
      </c>
      <c r="J1158" t="s">
        <v>1567</v>
      </c>
      <c r="K1158" t="str">
        <f>VLOOKUP(Table1[[#This Row],[Store_ID]],Store_Dim!$A$3:$D$22,2,FALSE)</f>
        <v>Martinez-Mullins-South</v>
      </c>
      <c r="L1158" t="s">
        <v>1742</v>
      </c>
      <c r="M1158" t="s">
        <v>3958</v>
      </c>
      <c r="N1158" s="3">
        <v>235.41</v>
      </c>
      <c r="O1158" s="4">
        <v>0.15</v>
      </c>
      <c r="P1158" t="s">
        <v>1774</v>
      </c>
      <c r="Q1158" s="4">
        <v>600.29549999999995</v>
      </c>
    </row>
    <row r="1159" spans="1:17" x14ac:dyDescent="0.3">
      <c r="A1159" t="s">
        <v>2931</v>
      </c>
      <c r="B1159" t="str">
        <f t="shared" si="18"/>
        <v>Q2</v>
      </c>
      <c r="C1159" t="str">
        <f>TEXT(Table1[[#This Row],[Order_Date]],"mmmm")</f>
        <v>June</v>
      </c>
      <c r="D1159">
        <f>YEAR(Table1[[#This Row],[Order_Date]])</f>
        <v>2025</v>
      </c>
      <c r="E1159" s="7">
        <v>45811</v>
      </c>
      <c r="F1159" s="2" t="str">
        <f>VLOOKUP(Table1[[#This Row],[Customer_ID]],Customer_Dim!$A$2:$H$501,2,FALSE)</f>
        <v>Timothy Sanders</v>
      </c>
      <c r="G1159" s="2" t="str">
        <f>_xlfn.XLOOKUP(Table1[[#This Row],[Customer_ID]],Customer_Dim!$A$2:$A$501,Customer_Dim!$E$2:$E$501)</f>
        <v>Aaronmouth</v>
      </c>
      <c r="H1159" t="s">
        <v>734</v>
      </c>
      <c r="I1159" t="str">
        <f>VLOOKUP(Table1[[#This Row],[Product_ID]],Product_Dim!$A$2:$G$101,2,FALSE)</f>
        <v>Essential Oil Diffuser-Home</v>
      </c>
      <c r="J1159" t="s">
        <v>1679</v>
      </c>
      <c r="K1159" t="str">
        <f>VLOOKUP(Table1[[#This Row],[Store_ID]],Store_Dim!$A$3:$D$22,2,FALSE)</f>
        <v>Martinez-Mullins-South</v>
      </c>
      <c r="L1159" t="s">
        <v>1742</v>
      </c>
      <c r="M1159" t="s">
        <v>3958</v>
      </c>
      <c r="N1159" s="3">
        <v>744.9</v>
      </c>
      <c r="O1159" s="4">
        <v>0.27</v>
      </c>
      <c r="P1159" t="s">
        <v>1774</v>
      </c>
      <c r="Q1159" s="4">
        <v>1631.3309999999999</v>
      </c>
    </row>
    <row r="1160" spans="1:17" x14ac:dyDescent="0.3">
      <c r="A1160" t="s">
        <v>2932</v>
      </c>
      <c r="B1160" t="str">
        <f t="shared" si="18"/>
        <v>Q3</v>
      </c>
      <c r="C1160" t="str">
        <f>TEXT(Table1[[#This Row],[Order_Date]],"mmmm")</f>
        <v>September</v>
      </c>
      <c r="D1160">
        <f>YEAR(Table1[[#This Row],[Order_Date]])</f>
        <v>2024</v>
      </c>
      <c r="E1160" s="7">
        <v>45559</v>
      </c>
      <c r="F1160" s="2" t="str">
        <f>VLOOKUP(Table1[[#This Row],[Customer_ID]],Customer_Dim!$A$2:$H$501,2,FALSE)</f>
        <v>Gina Knight</v>
      </c>
      <c r="G1160" s="2" t="str">
        <f>_xlfn.XLOOKUP(Table1[[#This Row],[Customer_ID]],Customer_Dim!$A$2:$A$501,Customer_Dim!$E$2:$E$501)</f>
        <v>Lake Roberthaven</v>
      </c>
      <c r="H1160" t="s">
        <v>178</v>
      </c>
      <c r="I1160" t="str">
        <f>VLOOKUP(Table1[[#This Row],[Product_ID]],Product_Dim!$A$2:$G$101,2,FALSE)</f>
        <v>Women's Denim Jeans-Clothing</v>
      </c>
      <c r="J1160" t="s">
        <v>1559</v>
      </c>
      <c r="K1160" t="str">
        <f>VLOOKUP(Table1[[#This Row],[Store_ID]],Store_Dim!$A$3:$D$22,2,FALSE)</f>
        <v>Johnson-Wright-North</v>
      </c>
      <c r="L1160" t="s">
        <v>1733</v>
      </c>
      <c r="M1160" t="s">
        <v>3960</v>
      </c>
      <c r="N1160" s="3">
        <v>382.2</v>
      </c>
      <c r="O1160" s="4">
        <v>0.15</v>
      </c>
      <c r="P1160" t="s">
        <v>1772</v>
      </c>
      <c r="Q1160" s="4">
        <v>649.74</v>
      </c>
    </row>
    <row r="1161" spans="1:17" x14ac:dyDescent="0.3">
      <c r="A1161" t="s">
        <v>2933</v>
      </c>
      <c r="B1161" t="str">
        <f t="shared" si="18"/>
        <v>Q3</v>
      </c>
      <c r="C1161" t="str">
        <f>TEXT(Table1[[#This Row],[Order_Date]],"mmmm")</f>
        <v>August</v>
      </c>
      <c r="D1161">
        <f>YEAR(Table1[[#This Row],[Order_Date]])</f>
        <v>2025</v>
      </c>
      <c r="E1161" s="7">
        <v>45881</v>
      </c>
      <c r="F1161" s="2" t="str">
        <f>VLOOKUP(Table1[[#This Row],[Customer_ID]],Customer_Dim!$A$2:$H$501,2,FALSE)</f>
        <v>John Jordan</v>
      </c>
      <c r="G1161" s="2" t="str">
        <f>_xlfn.XLOOKUP(Table1[[#This Row],[Customer_ID]],Customer_Dim!$A$2:$A$501,Customer_Dim!$E$2:$E$501)</f>
        <v>Port Crystalberg</v>
      </c>
      <c r="H1161" t="s">
        <v>1075</v>
      </c>
      <c r="I1161" t="str">
        <f>VLOOKUP(Table1[[#This Row],[Product_ID]],Product_Dim!$A$2:$G$101,2,FALSE)</f>
        <v>Gaming Mouse Pad XL-Electronics</v>
      </c>
      <c r="J1161" t="s">
        <v>1703</v>
      </c>
      <c r="K1161" t="str">
        <f>VLOOKUP(Table1[[#This Row],[Store_ID]],Store_Dim!$A$3:$D$22,2,FALSE)</f>
        <v>Frederick-Wright-West</v>
      </c>
      <c r="L1161" t="s">
        <v>1757</v>
      </c>
      <c r="M1161" t="s">
        <v>3957</v>
      </c>
      <c r="N1161" s="3">
        <v>269.25</v>
      </c>
      <c r="O1161" s="4">
        <v>0.14000000000000001</v>
      </c>
      <c r="P1161" t="s">
        <v>1774</v>
      </c>
      <c r="Q1161" s="4">
        <v>231.55500000000001</v>
      </c>
    </row>
    <row r="1162" spans="1:17" x14ac:dyDescent="0.3">
      <c r="A1162" t="s">
        <v>2934</v>
      </c>
      <c r="B1162" t="str">
        <f t="shared" si="18"/>
        <v>Q1</v>
      </c>
      <c r="C1162" t="str">
        <f>TEXT(Table1[[#This Row],[Order_Date]],"mmmm")</f>
        <v>March</v>
      </c>
      <c r="D1162">
        <f>YEAR(Table1[[#This Row],[Order_Date]])</f>
        <v>2024</v>
      </c>
      <c r="E1162" s="7">
        <v>45367</v>
      </c>
      <c r="F1162" s="2" t="str">
        <f>VLOOKUP(Table1[[#This Row],[Customer_ID]],Customer_Dim!$A$2:$H$501,2,FALSE)</f>
        <v>Brandon Mcbride</v>
      </c>
      <c r="G1162" s="2" t="str">
        <f>_xlfn.XLOOKUP(Table1[[#This Row],[Customer_ID]],Customer_Dim!$A$2:$A$501,Customer_Dim!$E$2:$E$501)</f>
        <v>Kellyside</v>
      </c>
      <c r="H1162" t="s">
        <v>1129</v>
      </c>
      <c r="I1162" t="str">
        <f>VLOOKUP(Table1[[#This Row],[Product_ID]],Product_Dim!$A$2:$G$101,2,FALSE)</f>
        <v>Stainless Steel Cutlery Set-Home</v>
      </c>
      <c r="J1162" t="s">
        <v>1583</v>
      </c>
      <c r="K1162" t="str">
        <f>VLOOKUP(Table1[[#This Row],[Store_ID]],Store_Dim!$A$3:$D$22,2,FALSE)</f>
        <v>Aguirre-Keller-South</v>
      </c>
      <c r="L1162" t="s">
        <v>1750</v>
      </c>
      <c r="M1162" t="s">
        <v>3960</v>
      </c>
      <c r="N1162" s="3">
        <v>723.75</v>
      </c>
      <c r="O1162" s="4">
        <v>0.03</v>
      </c>
      <c r="P1162" t="s">
        <v>1774</v>
      </c>
      <c r="Q1162" s="4">
        <v>1404.075</v>
      </c>
    </row>
    <row r="1163" spans="1:17" x14ac:dyDescent="0.3">
      <c r="A1163" t="s">
        <v>2935</v>
      </c>
      <c r="B1163" t="str">
        <f t="shared" si="18"/>
        <v>Q2</v>
      </c>
      <c r="C1163" t="str">
        <f>TEXT(Table1[[#This Row],[Order_Date]],"mmmm")</f>
        <v>June</v>
      </c>
      <c r="D1163">
        <f>YEAR(Table1[[#This Row],[Order_Date]])</f>
        <v>2025</v>
      </c>
      <c r="E1163" s="7">
        <v>45832</v>
      </c>
      <c r="F1163" s="2" t="str">
        <f>VLOOKUP(Table1[[#This Row],[Customer_ID]],Customer_Dim!$A$2:$H$501,2,FALSE)</f>
        <v>Brittany Watson</v>
      </c>
      <c r="G1163" s="2" t="str">
        <f>_xlfn.XLOOKUP(Table1[[#This Row],[Customer_ID]],Customer_Dim!$A$2:$A$501,Customer_Dim!$E$2:$E$501)</f>
        <v>North Joshualand</v>
      </c>
      <c r="H1163" t="s">
        <v>885</v>
      </c>
      <c r="I1163" t="str">
        <f>VLOOKUP(Table1[[#This Row],[Product_ID]],Product_Dim!$A$2:$G$101,2,FALSE)</f>
        <v>Knee Support Brace-Sports</v>
      </c>
      <c r="J1163" t="s">
        <v>1561</v>
      </c>
      <c r="K1163" t="str">
        <f>VLOOKUP(Table1[[#This Row],[Store_ID]],Store_Dim!$A$3:$D$22,2,FALSE)</f>
        <v>Mann-Austin-East</v>
      </c>
      <c r="L1163" t="s">
        <v>1763</v>
      </c>
      <c r="M1163" t="s">
        <v>3959</v>
      </c>
      <c r="N1163" s="3">
        <v>58.92</v>
      </c>
      <c r="O1163" s="4">
        <v>0.18</v>
      </c>
      <c r="P1163" t="s">
        <v>1772</v>
      </c>
      <c r="Q1163" s="4">
        <v>193.2576</v>
      </c>
    </row>
    <row r="1164" spans="1:17" x14ac:dyDescent="0.3">
      <c r="A1164" t="s">
        <v>2936</v>
      </c>
      <c r="B1164" t="str">
        <f t="shared" si="18"/>
        <v>Q2</v>
      </c>
      <c r="C1164" t="str">
        <f>TEXT(Table1[[#This Row],[Order_Date]],"mmmm")</f>
        <v>May</v>
      </c>
      <c r="D1164">
        <f>YEAR(Table1[[#This Row],[Order_Date]])</f>
        <v>2024</v>
      </c>
      <c r="E1164" s="7">
        <v>45438</v>
      </c>
      <c r="F1164" s="2" t="str">
        <f>VLOOKUP(Table1[[#This Row],[Customer_ID]],Customer_Dim!$A$2:$H$501,2,FALSE)</f>
        <v>Kimberly Brooks</v>
      </c>
      <c r="G1164" s="2" t="str">
        <f>_xlfn.XLOOKUP(Table1[[#This Row],[Customer_ID]],Customer_Dim!$A$2:$A$501,Customer_Dim!$E$2:$E$501)</f>
        <v>Kingfort</v>
      </c>
      <c r="H1164" t="s">
        <v>613</v>
      </c>
      <c r="I1164" t="str">
        <f>VLOOKUP(Table1[[#This Row],[Product_ID]],Product_Dim!$A$2:$G$101,2,FALSE)</f>
        <v>Hair Repair Oil Treatment-Beauty</v>
      </c>
      <c r="J1164" t="s">
        <v>1665</v>
      </c>
      <c r="K1164" t="str">
        <f>VLOOKUP(Table1[[#This Row],[Store_ID]],Store_Dim!$A$3:$D$22,2,FALSE)</f>
        <v>Hill, Wagner and Ballard-East</v>
      </c>
      <c r="L1164" t="s">
        <v>1748</v>
      </c>
      <c r="M1164" t="s">
        <v>3960</v>
      </c>
      <c r="N1164" s="3">
        <v>913.08</v>
      </c>
      <c r="O1164" s="4">
        <v>0.26</v>
      </c>
      <c r="P1164" t="s">
        <v>1772</v>
      </c>
      <c r="Q1164" s="4">
        <v>1351.3584000000001</v>
      </c>
    </row>
    <row r="1165" spans="1:17" x14ac:dyDescent="0.3">
      <c r="A1165" t="s">
        <v>2937</v>
      </c>
      <c r="B1165" t="str">
        <f t="shared" si="18"/>
        <v>Q1</v>
      </c>
      <c r="C1165" t="str">
        <f>TEXT(Table1[[#This Row],[Order_Date]],"mmmm")</f>
        <v>February</v>
      </c>
      <c r="D1165">
        <f>YEAR(Table1[[#This Row],[Order_Date]])</f>
        <v>2025</v>
      </c>
      <c r="E1165" s="7">
        <v>45691</v>
      </c>
      <c r="F1165" s="2" t="str">
        <f>VLOOKUP(Table1[[#This Row],[Customer_ID]],Customer_Dim!$A$2:$H$501,2,FALSE)</f>
        <v>William Jackson</v>
      </c>
      <c r="G1165" s="2" t="str">
        <f>_xlfn.XLOOKUP(Table1[[#This Row],[Customer_ID]],Customer_Dim!$A$2:$A$501,Customer_Dim!$E$2:$E$501)</f>
        <v>New Tina</v>
      </c>
      <c r="H1165" t="s">
        <v>770</v>
      </c>
      <c r="I1165" t="str">
        <f>VLOOKUP(Table1[[#This Row],[Product_ID]],Product_Dim!$A$2:$G$101,2,FALSE)</f>
        <v>Badminton Racket Set-Sports</v>
      </c>
      <c r="J1165" t="s">
        <v>1685</v>
      </c>
      <c r="K1165" t="str">
        <f>VLOOKUP(Table1[[#This Row],[Store_ID]],Store_Dim!$A$3:$D$22,2,FALSE)</f>
        <v>Martinez, Adkins and Johnson-North</v>
      </c>
      <c r="L1165" t="s">
        <v>1728</v>
      </c>
      <c r="M1165" t="s">
        <v>3957</v>
      </c>
      <c r="N1165" s="3">
        <v>791.83</v>
      </c>
      <c r="O1165" s="4">
        <v>0.28000000000000003</v>
      </c>
      <c r="P1165" t="s">
        <v>1774</v>
      </c>
      <c r="Q1165" s="4">
        <v>570.11760000000004</v>
      </c>
    </row>
    <row r="1166" spans="1:17" x14ac:dyDescent="0.3">
      <c r="A1166" t="s">
        <v>2938</v>
      </c>
      <c r="B1166" t="str">
        <f t="shared" si="18"/>
        <v>Q3</v>
      </c>
      <c r="C1166" t="str">
        <f>TEXT(Table1[[#This Row],[Order_Date]],"mmmm")</f>
        <v>August</v>
      </c>
      <c r="D1166">
        <f>YEAR(Table1[[#This Row],[Order_Date]])</f>
        <v>2024</v>
      </c>
      <c r="E1166" s="7">
        <v>45506</v>
      </c>
      <c r="F1166" s="2" t="str">
        <f>VLOOKUP(Table1[[#This Row],[Customer_ID]],Customer_Dim!$A$2:$H$501,2,FALSE)</f>
        <v>Debra Mccullough</v>
      </c>
      <c r="G1166" s="2" t="str">
        <f>_xlfn.XLOOKUP(Table1[[#This Row],[Customer_ID]],Customer_Dim!$A$2:$A$501,Customer_Dim!$E$2:$E$501)</f>
        <v>Mcdanielfurt</v>
      </c>
      <c r="H1166" t="s">
        <v>1436</v>
      </c>
      <c r="I1166" t="str">
        <f>VLOOKUP(Table1[[#This Row],[Product_ID]],Product_Dim!$A$2:$G$101,2,FALSE)</f>
        <v>Men's Running Jacket-Clothing</v>
      </c>
      <c r="J1166" t="s">
        <v>1529</v>
      </c>
      <c r="K1166" t="str">
        <f>VLOOKUP(Table1[[#This Row],[Store_ID]],Store_Dim!$A$3:$D$22,2,FALSE)</f>
        <v>Shelton PLC-North</v>
      </c>
      <c r="L1166" t="s">
        <v>1755</v>
      </c>
      <c r="M1166" t="s">
        <v>3957</v>
      </c>
      <c r="N1166" s="3">
        <v>74.290000000000006</v>
      </c>
      <c r="O1166" s="4">
        <v>0.3</v>
      </c>
      <c r="P1166" t="s">
        <v>1777</v>
      </c>
      <c r="Q1166" s="4">
        <v>52.003</v>
      </c>
    </row>
    <row r="1167" spans="1:17" x14ac:dyDescent="0.3">
      <c r="A1167" t="s">
        <v>2939</v>
      </c>
      <c r="B1167" t="str">
        <f t="shared" si="18"/>
        <v>Q4</v>
      </c>
      <c r="C1167" t="str">
        <f>TEXT(Table1[[#This Row],[Order_Date]],"mmmm")</f>
        <v>November</v>
      </c>
      <c r="D1167">
        <f>YEAR(Table1[[#This Row],[Order_Date]])</f>
        <v>2023</v>
      </c>
      <c r="E1167" s="7">
        <v>45251</v>
      </c>
      <c r="F1167" s="2" t="str">
        <f>VLOOKUP(Table1[[#This Row],[Customer_ID]],Customer_Dim!$A$2:$H$501,2,FALSE)</f>
        <v>Brian Hammond</v>
      </c>
      <c r="G1167" s="2" t="str">
        <f>_xlfn.XLOOKUP(Table1[[#This Row],[Customer_ID]],Customer_Dim!$A$2:$A$501,Customer_Dim!$E$2:$E$501)</f>
        <v>North Nicholas</v>
      </c>
      <c r="H1167" t="s">
        <v>773</v>
      </c>
      <c r="I1167" t="str">
        <f>VLOOKUP(Table1[[#This Row],[Product_ID]],Product_Dim!$A$2:$G$101,2,FALSE)</f>
        <v>Bedroom Table Lamp-Home</v>
      </c>
      <c r="J1167" t="s">
        <v>1593</v>
      </c>
      <c r="K1167" t="str">
        <f>VLOOKUP(Table1[[#This Row],[Store_ID]],Store_Dim!$A$3:$D$22,2,FALSE)</f>
        <v>Rivera-Warner-East</v>
      </c>
      <c r="L1167" t="s">
        <v>1725</v>
      </c>
      <c r="M1167" t="s">
        <v>3960</v>
      </c>
      <c r="N1167" s="3">
        <v>961.68</v>
      </c>
      <c r="O1167" s="4">
        <v>0.27</v>
      </c>
      <c r="P1167" t="s">
        <v>1774</v>
      </c>
      <c r="Q1167" s="4">
        <v>1404.0527999999999</v>
      </c>
    </row>
    <row r="1168" spans="1:17" x14ac:dyDescent="0.3">
      <c r="A1168" t="s">
        <v>2940</v>
      </c>
      <c r="B1168" t="str">
        <f t="shared" si="18"/>
        <v>Q1</v>
      </c>
      <c r="C1168" t="str">
        <f>TEXT(Table1[[#This Row],[Order_Date]],"mmmm")</f>
        <v>March</v>
      </c>
      <c r="D1168">
        <f>YEAR(Table1[[#This Row],[Order_Date]])</f>
        <v>2025</v>
      </c>
      <c r="E1168" s="7">
        <v>45722</v>
      </c>
      <c r="F1168" s="2" t="str">
        <f>VLOOKUP(Table1[[#This Row],[Customer_ID]],Customer_Dim!$A$2:$H$501,2,FALSE)</f>
        <v>Justin Lopez</v>
      </c>
      <c r="G1168" s="2" t="str">
        <f>_xlfn.XLOOKUP(Table1[[#This Row],[Customer_ID]],Customer_Dim!$A$2:$A$501,Customer_Dim!$E$2:$E$501)</f>
        <v>Port Cheryl</v>
      </c>
      <c r="H1168" t="s">
        <v>1501</v>
      </c>
      <c r="I1168" t="str">
        <f>VLOOKUP(Table1[[#This Row],[Product_ID]],Product_Dim!$A$2:$G$101,2,FALSE)</f>
        <v>Knee Support Brace-Sports</v>
      </c>
      <c r="J1168" t="s">
        <v>1561</v>
      </c>
      <c r="K1168" t="str">
        <f>VLOOKUP(Table1[[#This Row],[Store_ID]],Store_Dim!$A$3:$D$22,2,FALSE)</f>
        <v>Mcdonald Inc-South</v>
      </c>
      <c r="L1168" t="s">
        <v>1754</v>
      </c>
      <c r="M1168" t="s">
        <v>3957</v>
      </c>
      <c r="N1168" s="3">
        <v>90.72</v>
      </c>
      <c r="O1168" s="4">
        <v>0.1</v>
      </c>
      <c r="P1168" t="s">
        <v>1774</v>
      </c>
      <c r="Q1168" s="4">
        <v>81.647999999999996</v>
      </c>
    </row>
    <row r="1169" spans="1:17" x14ac:dyDescent="0.3">
      <c r="A1169" t="s">
        <v>2941</v>
      </c>
      <c r="B1169" t="str">
        <f t="shared" si="18"/>
        <v>Q1</v>
      </c>
      <c r="C1169" t="str">
        <f>TEXT(Table1[[#This Row],[Order_Date]],"mmmm")</f>
        <v>February</v>
      </c>
      <c r="D1169">
        <f>YEAR(Table1[[#This Row],[Order_Date]])</f>
        <v>2025</v>
      </c>
      <c r="E1169" s="7">
        <v>45689</v>
      </c>
      <c r="F1169" s="2" t="str">
        <f>VLOOKUP(Table1[[#This Row],[Customer_ID]],Customer_Dim!$A$2:$H$501,2,FALSE)</f>
        <v>Dr. David Smith</v>
      </c>
      <c r="G1169" s="2" t="str">
        <f>_xlfn.XLOOKUP(Table1[[#This Row],[Customer_ID]],Customer_Dim!$A$2:$A$501,Customer_Dim!$E$2:$E$501)</f>
        <v>Schmidtchester</v>
      </c>
      <c r="H1169" t="s">
        <v>221</v>
      </c>
      <c r="I1169" t="str">
        <f>VLOOKUP(Table1[[#This Row],[Product_ID]],Product_Dim!$A$2:$G$101,2,FALSE)</f>
        <v>Womens Cotton Scarf-Clothing</v>
      </c>
      <c r="J1169" t="s">
        <v>1639</v>
      </c>
      <c r="K1169" t="str">
        <f>VLOOKUP(Table1[[#This Row],[Store_ID]],Store_Dim!$A$3:$D$22,2,FALSE)</f>
        <v>Martinez-Mullins-South</v>
      </c>
      <c r="L1169" t="s">
        <v>1742</v>
      </c>
      <c r="M1169" t="s">
        <v>3957</v>
      </c>
      <c r="N1169" s="3">
        <v>458.69</v>
      </c>
      <c r="O1169" s="4">
        <v>0.16</v>
      </c>
      <c r="P1169" t="s">
        <v>1774</v>
      </c>
      <c r="Q1169" s="4">
        <v>385.2996</v>
      </c>
    </row>
    <row r="1170" spans="1:17" x14ac:dyDescent="0.3">
      <c r="A1170" t="s">
        <v>2942</v>
      </c>
      <c r="B1170" t="str">
        <f t="shared" si="18"/>
        <v>Q1</v>
      </c>
      <c r="C1170" t="str">
        <f>TEXT(Table1[[#This Row],[Order_Date]],"mmmm")</f>
        <v>February</v>
      </c>
      <c r="D1170">
        <f>YEAR(Table1[[#This Row],[Order_Date]])</f>
        <v>2024</v>
      </c>
      <c r="E1170" s="7">
        <v>45346</v>
      </c>
      <c r="F1170" s="2" t="str">
        <f>VLOOKUP(Table1[[#This Row],[Customer_ID]],Customer_Dim!$A$2:$H$501,2,FALSE)</f>
        <v>Timothy Juarez</v>
      </c>
      <c r="G1170" s="2" t="str">
        <f>_xlfn.XLOOKUP(Table1[[#This Row],[Customer_ID]],Customer_Dim!$A$2:$A$501,Customer_Dim!$E$2:$E$501)</f>
        <v>Grahamstad</v>
      </c>
      <c r="H1170" t="s">
        <v>737</v>
      </c>
      <c r="I1170" t="str">
        <f>VLOOKUP(Table1[[#This Row],[Product_ID]],Product_Dim!$A$2:$G$101,2,FALSE)</f>
        <v>Gaming Mechanical Keyboard-Electronics</v>
      </c>
      <c r="J1170" t="s">
        <v>1591</v>
      </c>
      <c r="K1170" t="str">
        <f>VLOOKUP(Table1[[#This Row],[Store_ID]],Store_Dim!$A$3:$D$22,2,FALSE)</f>
        <v>Martinez-Mullins-South</v>
      </c>
      <c r="L1170" t="s">
        <v>1742</v>
      </c>
      <c r="M1170" t="s">
        <v>3957</v>
      </c>
      <c r="N1170" s="3">
        <v>168.29</v>
      </c>
      <c r="O1170" s="4">
        <v>0.05</v>
      </c>
      <c r="P1170" t="s">
        <v>1774</v>
      </c>
      <c r="Q1170" s="4">
        <v>159.87549999999999</v>
      </c>
    </row>
    <row r="1171" spans="1:17" x14ac:dyDescent="0.3">
      <c r="A1171" t="s">
        <v>2943</v>
      </c>
      <c r="B1171" t="str">
        <f t="shared" si="18"/>
        <v>Q3</v>
      </c>
      <c r="C1171" t="str">
        <f>TEXT(Table1[[#This Row],[Order_Date]],"mmmm")</f>
        <v>September</v>
      </c>
      <c r="D1171">
        <f>YEAR(Table1[[#This Row],[Order_Date]])</f>
        <v>2024</v>
      </c>
      <c r="E1171" s="7">
        <v>45549</v>
      </c>
      <c r="F1171" s="2" t="str">
        <f>VLOOKUP(Table1[[#This Row],[Customer_ID]],Customer_Dim!$A$2:$H$501,2,FALSE)</f>
        <v>Rodney Huffman</v>
      </c>
      <c r="G1171" s="2" t="str">
        <f>_xlfn.XLOOKUP(Table1[[#This Row],[Customer_ID]],Customer_Dim!$A$2:$A$501,Customer_Dim!$E$2:$E$501)</f>
        <v>Garzafort</v>
      </c>
      <c r="H1171" t="s">
        <v>681</v>
      </c>
      <c r="I1171" t="str">
        <f>VLOOKUP(Table1[[#This Row],[Product_ID]],Product_Dim!$A$2:$G$101,2,FALSE)</f>
        <v>Soccer Training Cone Set-Sports</v>
      </c>
      <c r="J1171" t="s">
        <v>1557</v>
      </c>
      <c r="K1171" t="str">
        <f>VLOOKUP(Table1[[#This Row],[Store_ID]],Store_Dim!$A$3:$D$22,2,FALSE)</f>
        <v>Holloway Ltd-North</v>
      </c>
      <c r="L1171" t="s">
        <v>1759</v>
      </c>
      <c r="M1171" t="s">
        <v>3957</v>
      </c>
      <c r="N1171" s="3">
        <v>391.77</v>
      </c>
      <c r="O1171" s="4">
        <v>0.1</v>
      </c>
      <c r="P1171" t="s">
        <v>1774</v>
      </c>
      <c r="Q1171" s="4">
        <v>352.59300000000002</v>
      </c>
    </row>
    <row r="1172" spans="1:17" x14ac:dyDescent="0.3">
      <c r="A1172" t="s">
        <v>2944</v>
      </c>
      <c r="B1172" t="str">
        <f t="shared" si="18"/>
        <v>Q3</v>
      </c>
      <c r="C1172" t="str">
        <f>TEXT(Table1[[#This Row],[Order_Date]],"mmmm")</f>
        <v>August</v>
      </c>
      <c r="D1172">
        <f>YEAR(Table1[[#This Row],[Order_Date]])</f>
        <v>2025</v>
      </c>
      <c r="E1172" s="7">
        <v>45900</v>
      </c>
      <c r="F1172" s="2" t="str">
        <f>VLOOKUP(Table1[[#This Row],[Customer_ID]],Customer_Dim!$A$2:$H$501,2,FALSE)</f>
        <v>Ryan Moore</v>
      </c>
      <c r="G1172" s="2" t="str">
        <f>_xlfn.XLOOKUP(Table1[[#This Row],[Customer_ID]],Customer_Dim!$A$2:$A$501,Customer_Dim!$E$2:$E$501)</f>
        <v>Cartershire</v>
      </c>
      <c r="H1172" t="s">
        <v>1066</v>
      </c>
      <c r="I1172" t="str">
        <f>VLOOKUP(Table1[[#This Row],[Product_ID]],Product_Dim!$A$2:$G$101,2,FALSE)</f>
        <v>Hair Strengthening Shampoo-Beauty</v>
      </c>
      <c r="J1172" t="s">
        <v>1547</v>
      </c>
      <c r="K1172" t="str">
        <f>VLOOKUP(Table1[[#This Row],[Store_ID]],Store_Dim!$A$3:$D$22,2,FALSE)</f>
        <v>Mcdonald Inc-South</v>
      </c>
      <c r="L1172" t="s">
        <v>1754</v>
      </c>
      <c r="M1172" t="s">
        <v>3957</v>
      </c>
      <c r="N1172" s="3">
        <v>424.83</v>
      </c>
      <c r="O1172" s="4">
        <v>0.05</v>
      </c>
      <c r="P1172" t="s">
        <v>1777</v>
      </c>
      <c r="Q1172" s="4">
        <v>403.58850000000001</v>
      </c>
    </row>
    <row r="1173" spans="1:17" x14ac:dyDescent="0.3">
      <c r="A1173" t="s">
        <v>2945</v>
      </c>
      <c r="B1173" t="str">
        <f t="shared" si="18"/>
        <v>Q1</v>
      </c>
      <c r="C1173" t="str">
        <f>TEXT(Table1[[#This Row],[Order_Date]],"mmmm")</f>
        <v>January</v>
      </c>
      <c r="D1173">
        <f>YEAR(Table1[[#This Row],[Order_Date]])</f>
        <v>2024</v>
      </c>
      <c r="E1173" s="7">
        <v>45308</v>
      </c>
      <c r="F1173" s="2" t="str">
        <f>VLOOKUP(Table1[[#This Row],[Customer_ID]],Customer_Dim!$A$2:$H$501,2,FALSE)</f>
        <v>Sharon Brown</v>
      </c>
      <c r="G1173" s="2" t="str">
        <f>_xlfn.XLOOKUP(Table1[[#This Row],[Customer_ID]],Customer_Dim!$A$2:$A$501,Customer_Dim!$E$2:$E$501)</f>
        <v>East Andrea</v>
      </c>
      <c r="H1173" t="s">
        <v>199</v>
      </c>
      <c r="I1173" t="str">
        <f>VLOOKUP(Table1[[#This Row],[Product_ID]],Product_Dim!$A$2:$G$101,2,FALSE)</f>
        <v>HD Smart TV Stick-Electronics</v>
      </c>
      <c r="J1173" t="s">
        <v>1545</v>
      </c>
      <c r="K1173" t="str">
        <f>VLOOKUP(Table1[[#This Row],[Store_ID]],Store_Dim!$A$3:$D$22,2,FALSE)</f>
        <v>Johnson-Wright-North</v>
      </c>
      <c r="L1173" t="s">
        <v>1733</v>
      </c>
      <c r="M1173" t="s">
        <v>3957</v>
      </c>
      <c r="N1173" s="3">
        <v>499.46</v>
      </c>
      <c r="O1173" s="4">
        <v>0.1</v>
      </c>
      <c r="P1173" t="s">
        <v>1772</v>
      </c>
      <c r="Q1173" s="4">
        <v>449.51400000000001</v>
      </c>
    </row>
    <row r="1174" spans="1:17" x14ac:dyDescent="0.3">
      <c r="A1174" t="s">
        <v>2946</v>
      </c>
      <c r="B1174" t="str">
        <f t="shared" si="18"/>
        <v>Q1</v>
      </c>
      <c r="C1174" t="str">
        <f>TEXT(Table1[[#This Row],[Order_Date]],"mmmm")</f>
        <v>February</v>
      </c>
      <c r="D1174">
        <f>YEAR(Table1[[#This Row],[Order_Date]])</f>
        <v>2024</v>
      </c>
      <c r="E1174" s="7">
        <v>45336</v>
      </c>
      <c r="F1174" s="2" t="str">
        <f>VLOOKUP(Table1[[#This Row],[Customer_ID]],Customer_Dim!$A$2:$H$501,2,FALSE)</f>
        <v>Michael Torres</v>
      </c>
      <c r="G1174" s="2" t="str">
        <f>_xlfn.XLOOKUP(Table1[[#This Row],[Customer_ID]],Customer_Dim!$A$2:$A$501,Customer_Dim!$E$2:$E$501)</f>
        <v>Gonzalezfort</v>
      </c>
      <c r="H1174" t="s">
        <v>85</v>
      </c>
      <c r="I1174" t="str">
        <f>VLOOKUP(Table1[[#This Row],[Product_ID]],Product_Dim!$A$2:$G$101,2,FALSE)</f>
        <v>Stainless Steel Cookware Set-Home</v>
      </c>
      <c r="J1174" t="s">
        <v>1721</v>
      </c>
      <c r="K1174" t="str">
        <f>VLOOKUP(Table1[[#This Row],[Store_ID]],Store_Dim!$A$3:$D$22,2,FALSE)</f>
        <v>Martinez, Adkins and Johnson-North</v>
      </c>
      <c r="L1174" t="s">
        <v>1728</v>
      </c>
      <c r="M1174" t="s">
        <v>3960</v>
      </c>
      <c r="N1174" s="3">
        <v>698.34</v>
      </c>
      <c r="O1174" s="4">
        <v>0.15</v>
      </c>
      <c r="P1174" t="s">
        <v>1774</v>
      </c>
      <c r="Q1174" s="4">
        <v>1187.1780000000001</v>
      </c>
    </row>
    <row r="1175" spans="1:17" x14ac:dyDescent="0.3">
      <c r="A1175" t="s">
        <v>2947</v>
      </c>
      <c r="B1175" t="str">
        <f t="shared" si="18"/>
        <v>Q4</v>
      </c>
      <c r="C1175" t="str">
        <f>TEXT(Table1[[#This Row],[Order_Date]],"mmmm")</f>
        <v>October</v>
      </c>
      <c r="D1175">
        <f>YEAR(Table1[[#This Row],[Order_Date]])</f>
        <v>2023</v>
      </c>
      <c r="E1175" s="7">
        <v>45213</v>
      </c>
      <c r="F1175" s="2" t="str">
        <f>VLOOKUP(Table1[[#This Row],[Customer_ID]],Customer_Dim!$A$2:$H$501,2,FALSE)</f>
        <v>Bryan Garcia</v>
      </c>
      <c r="G1175" s="2" t="str">
        <f>_xlfn.XLOOKUP(Table1[[#This Row],[Customer_ID]],Customer_Dim!$A$2:$A$501,Customer_Dim!$E$2:$E$501)</f>
        <v>Garciaborough</v>
      </c>
      <c r="H1175" t="s">
        <v>891</v>
      </c>
      <c r="I1175" t="str">
        <f>VLOOKUP(Table1[[#This Row],[Product_ID]],Product_Dim!$A$2:$G$101,2,FALSE)</f>
        <v>Premium Blanket Throw-Home</v>
      </c>
      <c r="J1175" t="s">
        <v>1635</v>
      </c>
      <c r="K1175" t="str">
        <f>VLOOKUP(Table1[[#This Row],[Store_ID]],Store_Dim!$A$3:$D$22,2,FALSE)</f>
        <v>Frederick-Wright-West</v>
      </c>
      <c r="L1175" t="s">
        <v>1757</v>
      </c>
      <c r="M1175" t="s">
        <v>3960</v>
      </c>
      <c r="N1175" s="3">
        <v>805.08</v>
      </c>
      <c r="O1175" s="4">
        <v>0.27</v>
      </c>
      <c r="P1175" t="s">
        <v>1774</v>
      </c>
      <c r="Q1175" s="4">
        <v>1175.4168</v>
      </c>
    </row>
    <row r="1176" spans="1:17" x14ac:dyDescent="0.3">
      <c r="A1176" t="s">
        <v>2948</v>
      </c>
      <c r="B1176" t="str">
        <f t="shared" si="18"/>
        <v>Q1</v>
      </c>
      <c r="C1176" t="str">
        <f>TEXT(Table1[[#This Row],[Order_Date]],"mmmm")</f>
        <v>March</v>
      </c>
      <c r="D1176">
        <f>YEAR(Table1[[#This Row],[Order_Date]])</f>
        <v>2025</v>
      </c>
      <c r="E1176" s="7">
        <v>45742</v>
      </c>
      <c r="F1176" s="2" t="str">
        <f>VLOOKUP(Table1[[#This Row],[Customer_ID]],Customer_Dim!$A$2:$H$501,2,FALSE)</f>
        <v>Cynthia Parrish</v>
      </c>
      <c r="G1176" s="2" t="str">
        <f>_xlfn.XLOOKUP(Table1[[#This Row],[Customer_ID]],Customer_Dim!$A$2:$A$501,Customer_Dim!$E$2:$E$501)</f>
        <v>Espinozaberg</v>
      </c>
      <c r="H1176" t="s">
        <v>1421</v>
      </c>
      <c r="I1176" t="str">
        <f>VLOOKUP(Table1[[#This Row],[Product_ID]],Product_Dim!$A$2:$G$101,2,FALSE)</f>
        <v>Wireless Mouse-Electronics</v>
      </c>
      <c r="J1176" t="s">
        <v>1675</v>
      </c>
      <c r="K1176" t="str">
        <f>VLOOKUP(Table1[[#This Row],[Store_ID]],Store_Dim!$A$3:$D$22,2,FALSE)</f>
        <v>Black-Horn-South</v>
      </c>
      <c r="L1176" t="s">
        <v>1730</v>
      </c>
      <c r="M1176" t="s">
        <v>3959</v>
      </c>
      <c r="N1176" s="3">
        <v>934.79</v>
      </c>
      <c r="O1176" s="4">
        <v>0.08</v>
      </c>
      <c r="P1176" t="s">
        <v>1774</v>
      </c>
      <c r="Q1176" s="4">
        <v>3440.0272</v>
      </c>
    </row>
    <row r="1177" spans="1:17" x14ac:dyDescent="0.3">
      <c r="A1177" t="s">
        <v>2949</v>
      </c>
      <c r="B1177" t="str">
        <f t="shared" si="18"/>
        <v>Q4</v>
      </c>
      <c r="C1177" t="str">
        <f>TEXT(Table1[[#This Row],[Order_Date]],"mmmm")</f>
        <v>October</v>
      </c>
      <c r="D1177">
        <f>YEAR(Table1[[#This Row],[Order_Date]])</f>
        <v>2025</v>
      </c>
      <c r="E1177" s="7">
        <v>45932</v>
      </c>
      <c r="F1177" s="2" t="str">
        <f>VLOOKUP(Table1[[#This Row],[Customer_ID]],Customer_Dim!$A$2:$H$501,2,FALSE)</f>
        <v>Michael Torres</v>
      </c>
      <c r="G1177" s="2" t="str">
        <f>_xlfn.XLOOKUP(Table1[[#This Row],[Customer_ID]],Customer_Dim!$A$2:$A$501,Customer_Dim!$E$2:$E$501)</f>
        <v>Gonzalezfort</v>
      </c>
      <c r="H1177" t="s">
        <v>85</v>
      </c>
      <c r="I1177" t="str">
        <f>VLOOKUP(Table1[[#This Row],[Product_ID]],Product_Dim!$A$2:$G$101,2,FALSE)</f>
        <v>Luxury Perfume Spray-Beauty</v>
      </c>
      <c r="J1177" t="s">
        <v>1643</v>
      </c>
      <c r="K1177" t="str">
        <f>VLOOKUP(Table1[[#This Row],[Store_ID]],Store_Dim!$A$3:$D$22,2,FALSE)</f>
        <v>Martinez, Adkins and Johnson-North</v>
      </c>
      <c r="L1177" t="s">
        <v>1728</v>
      </c>
      <c r="M1177" t="s">
        <v>3960</v>
      </c>
      <c r="N1177" s="3">
        <v>424.54</v>
      </c>
      <c r="O1177" s="4">
        <v>0.24</v>
      </c>
      <c r="P1177" t="s">
        <v>1774</v>
      </c>
      <c r="Q1177" s="4">
        <v>645.30080000000009</v>
      </c>
    </row>
    <row r="1178" spans="1:17" x14ac:dyDescent="0.3">
      <c r="A1178" t="s">
        <v>2950</v>
      </c>
      <c r="B1178" t="str">
        <f t="shared" si="18"/>
        <v>Q2</v>
      </c>
      <c r="C1178" t="str">
        <f>TEXT(Table1[[#This Row],[Order_Date]],"mmmm")</f>
        <v>June</v>
      </c>
      <c r="D1178">
        <f>YEAR(Table1[[#This Row],[Order_Date]])</f>
        <v>2024</v>
      </c>
      <c r="E1178" s="7">
        <v>45462</v>
      </c>
      <c r="F1178" s="2" t="str">
        <f>VLOOKUP(Table1[[#This Row],[Customer_ID]],Customer_Dim!$A$2:$H$501,2,FALSE)</f>
        <v>Reginald Willis</v>
      </c>
      <c r="G1178" s="2" t="str">
        <f>_xlfn.XLOOKUP(Table1[[#This Row],[Customer_ID]],Customer_Dim!$A$2:$A$501,Customer_Dim!$E$2:$E$501)</f>
        <v>Kellybury</v>
      </c>
      <c r="H1178" t="s">
        <v>1018</v>
      </c>
      <c r="I1178" t="str">
        <f>VLOOKUP(Table1[[#This Row],[Product_ID]],Product_Dim!$A$2:$G$101,2,FALSE)</f>
        <v>Wooden Bookshelf-Home</v>
      </c>
      <c r="J1178" t="s">
        <v>1691</v>
      </c>
      <c r="K1178" t="str">
        <f>VLOOKUP(Table1[[#This Row],[Store_ID]],Store_Dim!$A$3:$D$22,2,FALSE)</f>
        <v>Holloway Ltd-North</v>
      </c>
      <c r="L1178" t="s">
        <v>1759</v>
      </c>
      <c r="M1178" t="s">
        <v>3957</v>
      </c>
      <c r="N1178" s="3">
        <v>235.44</v>
      </c>
      <c r="O1178" s="4">
        <v>0.19</v>
      </c>
      <c r="P1178" t="s">
        <v>1777</v>
      </c>
      <c r="Q1178" s="4">
        <v>190.7064</v>
      </c>
    </row>
    <row r="1179" spans="1:17" x14ac:dyDescent="0.3">
      <c r="A1179" t="s">
        <v>2951</v>
      </c>
      <c r="B1179" t="str">
        <f t="shared" si="18"/>
        <v>Q4</v>
      </c>
      <c r="C1179" t="str">
        <f>TEXT(Table1[[#This Row],[Order_Date]],"mmmm")</f>
        <v>October</v>
      </c>
      <c r="D1179">
        <f>YEAR(Table1[[#This Row],[Order_Date]])</f>
        <v>2024</v>
      </c>
      <c r="E1179" s="7">
        <v>45568</v>
      </c>
      <c r="F1179" s="2" t="str">
        <f>VLOOKUP(Table1[[#This Row],[Customer_ID]],Customer_Dim!$A$2:$H$501,2,FALSE)</f>
        <v>Daisy Johnson Dds</v>
      </c>
      <c r="G1179" s="2" t="str">
        <f>_xlfn.XLOOKUP(Table1[[#This Row],[Customer_ID]],Customer_Dim!$A$2:$A$501,Customer_Dim!$E$2:$E$501)</f>
        <v>North Stephanie</v>
      </c>
      <c r="H1179" t="s">
        <v>856</v>
      </c>
      <c r="I1179" t="str">
        <f>VLOOKUP(Table1[[#This Row],[Product_ID]],Product_Dim!$A$2:$G$101,2,FALSE)</f>
        <v>Men's Roll-On Perfume-Beauty</v>
      </c>
      <c r="J1179" t="s">
        <v>1621</v>
      </c>
      <c r="K1179" t="str">
        <f>VLOOKUP(Table1[[#This Row],[Store_ID]],Store_Dim!$A$3:$D$22,2,FALSE)</f>
        <v>Gardner, Humphrey and Contreras-East</v>
      </c>
      <c r="L1179" t="s">
        <v>1753</v>
      </c>
      <c r="M1179" t="s">
        <v>3960</v>
      </c>
      <c r="N1179" s="3">
        <v>620.71</v>
      </c>
      <c r="O1179" s="4">
        <v>0.27</v>
      </c>
      <c r="P1179" t="s">
        <v>1772</v>
      </c>
      <c r="Q1179" s="4">
        <v>906.23660000000007</v>
      </c>
    </row>
    <row r="1180" spans="1:17" x14ac:dyDescent="0.3">
      <c r="A1180" t="s">
        <v>2952</v>
      </c>
      <c r="B1180" t="str">
        <f t="shared" si="18"/>
        <v>Q2</v>
      </c>
      <c r="C1180" t="str">
        <f>TEXT(Table1[[#This Row],[Order_Date]],"mmmm")</f>
        <v>April</v>
      </c>
      <c r="D1180">
        <f>YEAR(Table1[[#This Row],[Order_Date]])</f>
        <v>2024</v>
      </c>
      <c r="E1180" s="7">
        <v>45397</v>
      </c>
      <c r="F1180" s="2" t="str">
        <f>VLOOKUP(Table1[[#This Row],[Customer_ID]],Customer_Dim!$A$2:$H$501,2,FALSE)</f>
        <v>Tyler Conrad</v>
      </c>
      <c r="G1180" s="2" t="str">
        <f>_xlfn.XLOOKUP(Table1[[#This Row],[Customer_ID]],Customer_Dim!$A$2:$A$501,Customer_Dim!$E$2:$E$501)</f>
        <v>North Curtischester</v>
      </c>
      <c r="H1180" t="s">
        <v>397</v>
      </c>
      <c r="I1180" t="str">
        <f>VLOOKUP(Table1[[#This Row],[Product_ID]],Product_Dim!$A$2:$G$101,2,FALSE)</f>
        <v>Beard Grooming Kit-Beauty</v>
      </c>
      <c r="J1180" t="s">
        <v>1555</v>
      </c>
      <c r="K1180" t="str">
        <f>VLOOKUP(Table1[[#This Row],[Store_ID]],Store_Dim!$A$3:$D$22,2,FALSE)</f>
        <v>Aguirre-Keller-South</v>
      </c>
      <c r="L1180" t="s">
        <v>1750</v>
      </c>
      <c r="M1180" t="s">
        <v>3960</v>
      </c>
      <c r="N1180" s="3">
        <v>851.77</v>
      </c>
      <c r="O1180" s="4">
        <v>0.13</v>
      </c>
      <c r="P1180" t="s">
        <v>1774</v>
      </c>
      <c r="Q1180" s="4">
        <v>1482.0798</v>
      </c>
    </row>
    <row r="1181" spans="1:17" x14ac:dyDescent="0.3">
      <c r="A1181" t="s">
        <v>2953</v>
      </c>
      <c r="B1181" t="str">
        <f t="shared" si="18"/>
        <v>Q4</v>
      </c>
      <c r="C1181" t="str">
        <f>TEXT(Table1[[#This Row],[Order_Date]],"mmmm")</f>
        <v>October</v>
      </c>
      <c r="D1181">
        <f>YEAR(Table1[[#This Row],[Order_Date]])</f>
        <v>2024</v>
      </c>
      <c r="E1181" s="7">
        <v>45569</v>
      </c>
      <c r="F1181" s="2" t="str">
        <f>VLOOKUP(Table1[[#This Row],[Customer_ID]],Customer_Dim!$A$2:$H$501,2,FALSE)</f>
        <v>Daniel Contreras</v>
      </c>
      <c r="G1181" s="2" t="str">
        <f>_xlfn.XLOOKUP(Table1[[#This Row],[Customer_ID]],Customer_Dim!$A$2:$A$501,Customer_Dim!$E$2:$E$501)</f>
        <v>Robertview</v>
      </c>
      <c r="H1181" t="s">
        <v>554</v>
      </c>
      <c r="I1181" t="str">
        <f>VLOOKUP(Table1[[#This Row],[Product_ID]],Product_Dim!$A$2:$G$101,2,FALSE)</f>
        <v>High-Grip Football-Sports</v>
      </c>
      <c r="J1181" t="s">
        <v>1613</v>
      </c>
      <c r="K1181" t="str">
        <f>VLOOKUP(Table1[[#This Row],[Store_ID]],Store_Dim!$A$3:$D$22,2,FALSE)</f>
        <v>Martinez, Adkins and Johnson-North</v>
      </c>
      <c r="L1181" t="s">
        <v>1728</v>
      </c>
      <c r="M1181" t="s">
        <v>3958</v>
      </c>
      <c r="N1181" s="3">
        <v>876.01</v>
      </c>
      <c r="O1181" s="4">
        <v>0.2</v>
      </c>
      <c r="P1181" t="s">
        <v>1772</v>
      </c>
      <c r="Q1181" s="4">
        <v>2102.424</v>
      </c>
    </row>
    <row r="1182" spans="1:17" x14ac:dyDescent="0.3">
      <c r="A1182" t="s">
        <v>2954</v>
      </c>
      <c r="B1182" t="str">
        <f t="shared" si="18"/>
        <v>Q1</v>
      </c>
      <c r="C1182" t="str">
        <f>TEXT(Table1[[#This Row],[Order_Date]],"mmmm")</f>
        <v>March</v>
      </c>
      <c r="D1182">
        <f>YEAR(Table1[[#This Row],[Order_Date]])</f>
        <v>2024</v>
      </c>
      <c r="E1182" s="7">
        <v>45353</v>
      </c>
      <c r="F1182" s="2" t="str">
        <f>VLOOKUP(Table1[[#This Row],[Customer_ID]],Customer_Dim!$A$2:$H$501,2,FALSE)</f>
        <v>Arthur Warren</v>
      </c>
      <c r="G1182" s="2" t="str">
        <f>_xlfn.XLOOKUP(Table1[[#This Row],[Customer_ID]],Customer_Dim!$A$2:$A$501,Customer_Dim!$E$2:$E$501)</f>
        <v>Ericshire</v>
      </c>
      <c r="H1182" t="s">
        <v>870</v>
      </c>
      <c r="I1182" t="str">
        <f>VLOOKUP(Table1[[#This Row],[Product_ID]],Product_Dim!$A$2:$G$101,2,FALSE)</f>
        <v>Decorative Floor Vase-Home</v>
      </c>
      <c r="J1182" t="s">
        <v>1577</v>
      </c>
      <c r="K1182" t="str">
        <f>VLOOKUP(Table1[[#This Row],[Store_ID]],Store_Dim!$A$3:$D$22,2,FALSE)</f>
        <v>Moore, Padilla and Butler-South</v>
      </c>
      <c r="L1182" t="s">
        <v>1746</v>
      </c>
      <c r="M1182" t="s">
        <v>3960</v>
      </c>
      <c r="N1182" s="3">
        <v>717.21</v>
      </c>
      <c r="O1182" s="4">
        <v>0.15</v>
      </c>
      <c r="P1182" t="s">
        <v>1777</v>
      </c>
      <c r="Q1182" s="4">
        <v>1219.2570000000001</v>
      </c>
    </row>
    <row r="1183" spans="1:17" x14ac:dyDescent="0.3">
      <c r="A1183" t="s">
        <v>2955</v>
      </c>
      <c r="B1183" t="str">
        <f t="shared" si="18"/>
        <v>Q1</v>
      </c>
      <c r="C1183" t="str">
        <f>TEXT(Table1[[#This Row],[Order_Date]],"mmmm")</f>
        <v>February</v>
      </c>
      <c r="D1183">
        <f>YEAR(Table1[[#This Row],[Order_Date]])</f>
        <v>2024</v>
      </c>
      <c r="E1183" s="7">
        <v>45343</v>
      </c>
      <c r="F1183" s="2" t="str">
        <f>VLOOKUP(Table1[[#This Row],[Customer_ID]],Customer_Dim!$A$2:$H$501,2,FALSE)</f>
        <v>Christopher Sutton</v>
      </c>
      <c r="G1183" s="2" t="str">
        <f>_xlfn.XLOOKUP(Table1[[#This Row],[Customer_ID]],Customer_Dim!$A$2:$A$501,Customer_Dim!$E$2:$E$501)</f>
        <v>Deborahberg</v>
      </c>
      <c r="H1183" t="s">
        <v>208</v>
      </c>
      <c r="I1183" t="str">
        <f>VLOOKUP(Table1[[#This Row],[Product_ID]],Product_Dim!$A$2:$G$101,2,FALSE)</f>
        <v>Yoga Exercise Mat-Sports</v>
      </c>
      <c r="J1183" t="s">
        <v>1605</v>
      </c>
      <c r="K1183" t="str">
        <f>VLOOKUP(Table1[[#This Row],[Store_ID]],Store_Dim!$A$3:$D$22,2,FALSE)</f>
        <v>Bean, Jones and Park-West</v>
      </c>
      <c r="L1183" t="s">
        <v>1744</v>
      </c>
      <c r="M1183" t="s">
        <v>3960</v>
      </c>
      <c r="N1183" s="3">
        <v>871.43</v>
      </c>
      <c r="O1183" s="4">
        <v>0.05</v>
      </c>
      <c r="P1183" t="s">
        <v>1772</v>
      </c>
      <c r="Q1183" s="4">
        <v>1655.7170000000001</v>
      </c>
    </row>
    <row r="1184" spans="1:17" x14ac:dyDescent="0.3">
      <c r="A1184" t="s">
        <v>2956</v>
      </c>
      <c r="B1184" t="str">
        <f t="shared" si="18"/>
        <v>Q1</v>
      </c>
      <c r="C1184" t="str">
        <f>TEXT(Table1[[#This Row],[Order_Date]],"mmmm")</f>
        <v>January</v>
      </c>
      <c r="D1184">
        <f>YEAR(Table1[[#This Row],[Order_Date]])</f>
        <v>2024</v>
      </c>
      <c r="E1184" s="7">
        <v>45321</v>
      </c>
      <c r="F1184" s="2" t="str">
        <f>VLOOKUP(Table1[[#This Row],[Customer_ID]],Customer_Dim!$A$2:$H$501,2,FALSE)</f>
        <v>April Phillips</v>
      </c>
      <c r="G1184" s="2" t="str">
        <f>_xlfn.XLOOKUP(Table1[[#This Row],[Customer_ID]],Customer_Dim!$A$2:$A$501,Customer_Dim!$E$2:$E$501)</f>
        <v>Lake Carolyn</v>
      </c>
      <c r="H1184" t="s">
        <v>1384</v>
      </c>
      <c r="I1184" t="str">
        <f>VLOOKUP(Table1[[#This Row],[Product_ID]],Product_Dim!$A$2:$G$101,2,FALSE)</f>
        <v>Women's Summer Dress-Clothing</v>
      </c>
      <c r="J1184" t="s">
        <v>1595</v>
      </c>
      <c r="K1184" t="str">
        <f>VLOOKUP(Table1[[#This Row],[Store_ID]],Store_Dim!$A$3:$D$22,2,FALSE)</f>
        <v>Martinez-Mullins-South</v>
      </c>
      <c r="L1184" t="s">
        <v>1742</v>
      </c>
      <c r="M1184" t="s">
        <v>3957</v>
      </c>
      <c r="N1184" s="3">
        <v>514.65</v>
      </c>
      <c r="O1184" s="4">
        <v>0.18</v>
      </c>
      <c r="P1184" t="s">
        <v>1772</v>
      </c>
      <c r="Q1184" s="4">
        <v>422.01299999999998</v>
      </c>
    </row>
    <row r="1185" spans="1:17" x14ac:dyDescent="0.3">
      <c r="A1185" t="s">
        <v>2957</v>
      </c>
      <c r="B1185" t="str">
        <f t="shared" si="18"/>
        <v>Q4</v>
      </c>
      <c r="C1185" t="str">
        <f>TEXT(Table1[[#This Row],[Order_Date]],"mmmm")</f>
        <v>December</v>
      </c>
      <c r="D1185">
        <f>YEAR(Table1[[#This Row],[Order_Date]])</f>
        <v>2024</v>
      </c>
      <c r="E1185" s="7">
        <v>45650</v>
      </c>
      <c r="F1185" s="2" t="str">
        <f>VLOOKUP(Table1[[#This Row],[Customer_ID]],Customer_Dim!$A$2:$H$501,2,FALSE)</f>
        <v>John Perez</v>
      </c>
      <c r="G1185" s="2" t="str">
        <f>_xlfn.XLOOKUP(Table1[[#This Row],[Customer_ID]],Customer_Dim!$A$2:$A$501,Customer_Dim!$E$2:$E$501)</f>
        <v>Brandontown</v>
      </c>
      <c r="H1185" t="s">
        <v>1401</v>
      </c>
      <c r="I1185" t="str">
        <f>VLOOKUP(Table1[[#This Row],[Product_ID]],Product_Dim!$A$2:$G$101,2,FALSE)</f>
        <v>Laptop Cooling Pad-Electronics</v>
      </c>
      <c r="J1185" t="s">
        <v>1647</v>
      </c>
      <c r="K1185" t="str">
        <f>VLOOKUP(Table1[[#This Row],[Store_ID]],Store_Dim!$A$3:$D$22,2,FALSE)</f>
        <v>Frederick-Wright-West</v>
      </c>
      <c r="L1185" t="s">
        <v>1757</v>
      </c>
      <c r="M1185" t="s">
        <v>3958</v>
      </c>
      <c r="N1185" s="3">
        <v>198.76</v>
      </c>
      <c r="O1185" s="4">
        <v>0.28000000000000003</v>
      </c>
      <c r="P1185" t="s">
        <v>1777</v>
      </c>
      <c r="Q1185" s="4">
        <v>429.32159999999999</v>
      </c>
    </row>
    <row r="1186" spans="1:17" x14ac:dyDescent="0.3">
      <c r="A1186" t="s">
        <v>2958</v>
      </c>
      <c r="B1186" t="str">
        <f t="shared" si="18"/>
        <v>Q2</v>
      </c>
      <c r="C1186" t="str">
        <f>TEXT(Table1[[#This Row],[Order_Date]],"mmmm")</f>
        <v>June</v>
      </c>
      <c r="D1186">
        <f>YEAR(Table1[[#This Row],[Order_Date]])</f>
        <v>2025</v>
      </c>
      <c r="E1186" s="7">
        <v>45811</v>
      </c>
      <c r="F1186" s="2" t="str">
        <f>VLOOKUP(Table1[[#This Row],[Customer_ID]],Customer_Dim!$A$2:$H$501,2,FALSE)</f>
        <v>Elizabeth Stanley</v>
      </c>
      <c r="G1186" s="2" t="str">
        <f>_xlfn.XLOOKUP(Table1[[#This Row],[Customer_ID]],Customer_Dim!$A$2:$A$501,Customer_Dim!$E$2:$E$501)</f>
        <v>Bethanyton</v>
      </c>
      <c r="H1186" t="s">
        <v>721</v>
      </c>
      <c r="I1186" t="str">
        <f>VLOOKUP(Table1[[#This Row],[Product_ID]],Product_Dim!$A$2:$G$101,2,FALSE)</f>
        <v>Organic Sunscreen Lotion-Beauty</v>
      </c>
      <c r="J1186" t="s">
        <v>1649</v>
      </c>
      <c r="K1186" t="str">
        <f>VLOOKUP(Table1[[#This Row],[Store_ID]],Store_Dim!$A$3:$D$22,2,FALSE)</f>
        <v>Johnson-Wright-North</v>
      </c>
      <c r="L1186" t="s">
        <v>1733</v>
      </c>
      <c r="M1186" t="s">
        <v>3960</v>
      </c>
      <c r="N1186" s="3">
        <v>975.72</v>
      </c>
      <c r="O1186" s="4">
        <v>0.16</v>
      </c>
      <c r="P1186" t="s">
        <v>1777</v>
      </c>
      <c r="Q1186" s="4">
        <v>1639.2095999999999</v>
      </c>
    </row>
    <row r="1187" spans="1:17" x14ac:dyDescent="0.3">
      <c r="A1187" t="s">
        <v>2959</v>
      </c>
      <c r="B1187" t="str">
        <f t="shared" si="18"/>
        <v>Q3</v>
      </c>
      <c r="C1187" t="str">
        <f>TEXT(Table1[[#This Row],[Order_Date]],"mmmm")</f>
        <v>August</v>
      </c>
      <c r="D1187">
        <f>YEAR(Table1[[#This Row],[Order_Date]])</f>
        <v>2024</v>
      </c>
      <c r="E1187" s="7">
        <v>45505</v>
      </c>
      <c r="F1187" s="2" t="str">
        <f>VLOOKUP(Table1[[#This Row],[Customer_ID]],Customer_Dim!$A$2:$H$501,2,FALSE)</f>
        <v>Dr. Tamara White Md</v>
      </c>
      <c r="G1187" s="2" t="str">
        <f>_xlfn.XLOOKUP(Table1[[#This Row],[Customer_ID]],Customer_Dim!$A$2:$A$501,Customer_Dim!$E$2:$E$501)</f>
        <v>New Benjamin</v>
      </c>
      <c r="H1187" t="s">
        <v>1290</v>
      </c>
      <c r="I1187" t="str">
        <f>VLOOKUP(Table1[[#This Row],[Product_ID]],Product_Dim!$A$2:$G$101,2,FALSE)</f>
        <v>4K Home Projector-Electronics</v>
      </c>
      <c r="J1187" t="s">
        <v>1553</v>
      </c>
      <c r="K1187" t="str">
        <f>VLOOKUP(Table1[[#This Row],[Store_ID]],Store_Dim!$A$3:$D$22,2,FALSE)</f>
        <v>Martinez, Adkins and Johnson-North</v>
      </c>
      <c r="L1187" t="s">
        <v>1728</v>
      </c>
      <c r="M1187" t="s">
        <v>3957</v>
      </c>
      <c r="N1187" s="3">
        <v>86.03</v>
      </c>
      <c r="O1187" s="4">
        <v>0.01</v>
      </c>
      <c r="P1187" t="s">
        <v>1772</v>
      </c>
      <c r="Q1187" s="4">
        <v>85.169700000000006</v>
      </c>
    </row>
    <row r="1188" spans="1:17" x14ac:dyDescent="0.3">
      <c r="A1188" t="s">
        <v>2960</v>
      </c>
      <c r="B1188" t="str">
        <f t="shared" si="18"/>
        <v>Q3</v>
      </c>
      <c r="C1188" t="str">
        <f>TEXT(Table1[[#This Row],[Order_Date]],"mmmm")</f>
        <v>August</v>
      </c>
      <c r="D1188">
        <f>YEAR(Table1[[#This Row],[Order_Date]])</f>
        <v>2025</v>
      </c>
      <c r="E1188" s="7">
        <v>45897</v>
      </c>
      <c r="F1188" s="2" t="str">
        <f>VLOOKUP(Table1[[#This Row],[Customer_ID]],Customer_Dim!$A$2:$H$501,2,FALSE)</f>
        <v>Melissa Duffy Md</v>
      </c>
      <c r="G1188" s="2" t="str">
        <f>_xlfn.XLOOKUP(Table1[[#This Row],[Customer_ID]],Customer_Dim!$A$2:$A$501,Customer_Dim!$E$2:$E$501)</f>
        <v>East Jenna</v>
      </c>
      <c r="H1188" t="s">
        <v>310</v>
      </c>
      <c r="I1188" t="str">
        <f>VLOOKUP(Table1[[#This Row],[Product_ID]],Product_Dim!$A$2:$G$101,2,FALSE)</f>
        <v>Sports Stopwatch Pro-Sports</v>
      </c>
      <c r="J1188" t="s">
        <v>1631</v>
      </c>
      <c r="K1188" t="str">
        <f>VLOOKUP(Table1[[#This Row],[Store_ID]],Store_Dim!$A$3:$D$22,2,FALSE)</f>
        <v>Thomas, Bridges and Harris-North</v>
      </c>
      <c r="L1188" t="s">
        <v>1751</v>
      </c>
      <c r="M1188" t="s">
        <v>3959</v>
      </c>
      <c r="N1188" s="3">
        <v>705.12</v>
      </c>
      <c r="O1188" s="4">
        <v>0.15</v>
      </c>
      <c r="P1188" t="s">
        <v>1774</v>
      </c>
      <c r="Q1188" s="4">
        <v>2397.4079999999999</v>
      </c>
    </row>
    <row r="1189" spans="1:17" x14ac:dyDescent="0.3">
      <c r="A1189" t="s">
        <v>2961</v>
      </c>
      <c r="B1189" t="str">
        <f t="shared" si="18"/>
        <v>Q4</v>
      </c>
      <c r="C1189" t="str">
        <f>TEXT(Table1[[#This Row],[Order_Date]],"mmmm")</f>
        <v>November</v>
      </c>
      <c r="D1189">
        <f>YEAR(Table1[[#This Row],[Order_Date]])</f>
        <v>2024</v>
      </c>
      <c r="E1189" s="7">
        <v>45602</v>
      </c>
      <c r="F1189" s="2" t="str">
        <f>VLOOKUP(Table1[[#This Row],[Customer_ID]],Customer_Dim!$A$2:$H$501,2,FALSE)</f>
        <v>Michael Garner</v>
      </c>
      <c r="G1189" s="2" t="str">
        <f>_xlfn.XLOOKUP(Table1[[#This Row],[Customer_ID]],Customer_Dim!$A$2:$A$501,Customer_Dim!$E$2:$E$501)</f>
        <v>Port Crystal</v>
      </c>
      <c r="H1189" t="s">
        <v>1147</v>
      </c>
      <c r="I1189" t="str">
        <f>VLOOKUP(Table1[[#This Row],[Product_ID]],Product_Dim!$A$2:$G$101,2,FALSE)</f>
        <v>Women's Denim Jeans-Clothing</v>
      </c>
      <c r="J1189" t="s">
        <v>1559</v>
      </c>
      <c r="K1189" t="str">
        <f>VLOOKUP(Table1[[#This Row],[Store_ID]],Store_Dim!$A$3:$D$22,2,FALSE)</f>
        <v>Thomas, Bridges and Harris-North</v>
      </c>
      <c r="L1189" t="s">
        <v>1751</v>
      </c>
      <c r="M1189" t="s">
        <v>3958</v>
      </c>
      <c r="N1189" s="3">
        <v>99.77</v>
      </c>
      <c r="O1189" s="4">
        <v>0.01</v>
      </c>
      <c r="P1189" t="s">
        <v>1774</v>
      </c>
      <c r="Q1189" s="4">
        <v>296.31689999999998</v>
      </c>
    </row>
    <row r="1190" spans="1:17" x14ac:dyDescent="0.3">
      <c r="A1190" t="s">
        <v>2962</v>
      </c>
      <c r="B1190" t="str">
        <f t="shared" si="18"/>
        <v>Q3</v>
      </c>
      <c r="C1190" t="str">
        <f>TEXT(Table1[[#This Row],[Order_Date]],"mmmm")</f>
        <v>August</v>
      </c>
      <c r="D1190">
        <f>YEAR(Table1[[#This Row],[Order_Date]])</f>
        <v>2024</v>
      </c>
      <c r="E1190" s="7">
        <v>45530</v>
      </c>
      <c r="F1190" s="2" t="str">
        <f>VLOOKUP(Table1[[#This Row],[Customer_ID]],Customer_Dim!$A$2:$H$501,2,FALSE)</f>
        <v>Joan Johnson</v>
      </c>
      <c r="G1190" s="2" t="str">
        <f>_xlfn.XLOOKUP(Table1[[#This Row],[Customer_ID]],Customer_Dim!$A$2:$A$501,Customer_Dim!$E$2:$E$501)</f>
        <v>Lake Josephport</v>
      </c>
      <c r="H1190" t="s">
        <v>675</v>
      </c>
      <c r="I1190" t="str">
        <f>VLOOKUP(Table1[[#This Row],[Product_ID]],Product_Dim!$A$2:$G$101,2,FALSE)</f>
        <v>Gaming Mechanical Keyboard-Electronics</v>
      </c>
      <c r="J1190" t="s">
        <v>1591</v>
      </c>
      <c r="K1190" t="str">
        <f>VLOOKUP(Table1[[#This Row],[Store_ID]],Store_Dim!$A$3:$D$22,2,FALSE)</f>
        <v>Moore, Padilla and Butler-South</v>
      </c>
      <c r="L1190" t="s">
        <v>1746</v>
      </c>
      <c r="M1190" t="s">
        <v>3960</v>
      </c>
      <c r="N1190" s="3">
        <v>166.26</v>
      </c>
      <c r="O1190" s="4">
        <v>0.14000000000000001</v>
      </c>
      <c r="P1190" t="s">
        <v>1774</v>
      </c>
      <c r="Q1190" s="4">
        <v>285.96719999999999</v>
      </c>
    </row>
    <row r="1191" spans="1:17" x14ac:dyDescent="0.3">
      <c r="A1191" t="s">
        <v>2963</v>
      </c>
      <c r="B1191" t="str">
        <f t="shared" si="18"/>
        <v>Q1</v>
      </c>
      <c r="C1191" t="str">
        <f>TEXT(Table1[[#This Row],[Order_Date]],"mmmm")</f>
        <v>March</v>
      </c>
      <c r="D1191">
        <f>YEAR(Table1[[#This Row],[Order_Date]])</f>
        <v>2025</v>
      </c>
      <c r="E1191" s="7">
        <v>45729</v>
      </c>
      <c r="F1191" s="2" t="str">
        <f>VLOOKUP(Table1[[#This Row],[Customer_ID]],Customer_Dim!$A$2:$H$501,2,FALSE)</f>
        <v>John Perez</v>
      </c>
      <c r="G1191" s="2" t="str">
        <f>_xlfn.XLOOKUP(Table1[[#This Row],[Customer_ID]],Customer_Dim!$A$2:$A$501,Customer_Dim!$E$2:$E$501)</f>
        <v>Brandontown</v>
      </c>
      <c r="H1191" t="s">
        <v>1401</v>
      </c>
      <c r="I1191" t="str">
        <f>VLOOKUP(Table1[[#This Row],[Product_ID]],Product_Dim!$A$2:$G$101,2,FALSE)</f>
        <v>Wireless Bluetooth Speaker-Electronics</v>
      </c>
      <c r="J1191" t="s">
        <v>1575</v>
      </c>
      <c r="K1191" t="str">
        <f>VLOOKUP(Table1[[#This Row],[Store_ID]],Store_Dim!$A$3:$D$22,2,FALSE)</f>
        <v>Gray Ltd-North</v>
      </c>
      <c r="L1191" t="s">
        <v>1738</v>
      </c>
      <c r="M1191" t="s">
        <v>3957</v>
      </c>
      <c r="N1191" s="3">
        <v>429.25</v>
      </c>
      <c r="O1191" s="4">
        <v>0.28999999999999998</v>
      </c>
      <c r="P1191" t="s">
        <v>1772</v>
      </c>
      <c r="Q1191" s="4">
        <v>304.76749999999998</v>
      </c>
    </row>
    <row r="1192" spans="1:17" x14ac:dyDescent="0.3">
      <c r="A1192" t="s">
        <v>2964</v>
      </c>
      <c r="B1192" t="str">
        <f t="shared" si="18"/>
        <v>Q2</v>
      </c>
      <c r="C1192" t="str">
        <f>TEXT(Table1[[#This Row],[Order_Date]],"mmmm")</f>
        <v>June</v>
      </c>
      <c r="D1192">
        <f>YEAR(Table1[[#This Row],[Order_Date]])</f>
        <v>2024</v>
      </c>
      <c r="E1192" s="7">
        <v>45468</v>
      </c>
      <c r="F1192" s="2" t="str">
        <f>VLOOKUP(Table1[[#This Row],[Customer_ID]],Customer_Dim!$A$2:$H$501,2,FALSE)</f>
        <v>Adam Castro</v>
      </c>
      <c r="G1192" s="2" t="str">
        <f>_xlfn.XLOOKUP(Table1[[#This Row],[Customer_ID]],Customer_Dim!$A$2:$A$501,Customer_Dim!$E$2:$E$501)</f>
        <v>New Donnabury</v>
      </c>
      <c r="H1192" t="s">
        <v>1355</v>
      </c>
      <c r="I1192" t="str">
        <f>VLOOKUP(Table1[[#This Row],[Product_ID]],Product_Dim!$A$2:$G$101,2,FALSE)</f>
        <v>Brother Laser Printer-Electronics</v>
      </c>
      <c r="J1192" t="s">
        <v>1523</v>
      </c>
      <c r="K1192" t="str">
        <f>VLOOKUP(Table1[[#This Row],[Store_ID]],Store_Dim!$A$3:$D$22,2,FALSE)</f>
        <v>Moore, Padilla and Butler-South</v>
      </c>
      <c r="L1192" t="s">
        <v>1746</v>
      </c>
      <c r="M1192" t="s">
        <v>3960</v>
      </c>
      <c r="N1192" s="3">
        <v>540.48</v>
      </c>
      <c r="O1192" s="4">
        <v>0.28999999999999998</v>
      </c>
      <c r="P1192" t="s">
        <v>1772</v>
      </c>
      <c r="Q1192" s="4">
        <v>767.48159999999996</v>
      </c>
    </row>
    <row r="1193" spans="1:17" x14ac:dyDescent="0.3">
      <c r="A1193" t="s">
        <v>2965</v>
      </c>
      <c r="B1193" t="str">
        <f t="shared" si="18"/>
        <v>Q4</v>
      </c>
      <c r="C1193" t="str">
        <f>TEXT(Table1[[#This Row],[Order_Date]],"mmmm")</f>
        <v>October</v>
      </c>
      <c r="D1193">
        <f>YEAR(Table1[[#This Row],[Order_Date]])</f>
        <v>2025</v>
      </c>
      <c r="E1193" s="7">
        <v>45936</v>
      </c>
      <c r="F1193" s="2" t="str">
        <f>VLOOKUP(Table1[[#This Row],[Customer_ID]],Customer_Dim!$A$2:$H$501,2,FALSE)</f>
        <v>Tyrone Olson</v>
      </c>
      <c r="G1193" s="2" t="str">
        <f>_xlfn.XLOOKUP(Table1[[#This Row],[Customer_ID]],Customer_Dim!$A$2:$A$501,Customer_Dim!$E$2:$E$501)</f>
        <v>Emilytown</v>
      </c>
      <c r="H1193" t="s">
        <v>850</v>
      </c>
      <c r="I1193" t="str">
        <f>VLOOKUP(Table1[[#This Row],[Product_ID]],Product_Dim!$A$2:$G$101,2,FALSE)</f>
        <v>Men's Hair Styling Gel-Beauty</v>
      </c>
      <c r="J1193" t="s">
        <v>1641</v>
      </c>
      <c r="K1193" t="str">
        <f>VLOOKUP(Table1[[#This Row],[Store_ID]],Store_Dim!$A$3:$D$22,2,FALSE)</f>
        <v>Mcdonald Inc-South</v>
      </c>
      <c r="L1193" t="s">
        <v>1754</v>
      </c>
      <c r="M1193" t="s">
        <v>3960</v>
      </c>
      <c r="N1193" s="3">
        <v>579.52</v>
      </c>
      <c r="O1193" s="4">
        <v>0.01</v>
      </c>
      <c r="P1193" t="s">
        <v>1774</v>
      </c>
      <c r="Q1193" s="4">
        <v>1147.4495999999999</v>
      </c>
    </row>
    <row r="1194" spans="1:17" x14ac:dyDescent="0.3">
      <c r="A1194" t="s">
        <v>2966</v>
      </c>
      <c r="B1194" t="str">
        <f t="shared" si="18"/>
        <v>Q4</v>
      </c>
      <c r="C1194" t="str">
        <f>TEXT(Table1[[#This Row],[Order_Date]],"mmmm")</f>
        <v>November</v>
      </c>
      <c r="D1194">
        <f>YEAR(Table1[[#This Row],[Order_Date]])</f>
        <v>2024</v>
      </c>
      <c r="E1194" s="7">
        <v>45622</v>
      </c>
      <c r="F1194" s="2" t="str">
        <f>VLOOKUP(Table1[[#This Row],[Customer_ID]],Customer_Dim!$A$2:$H$501,2,FALSE)</f>
        <v>Amber Carlson</v>
      </c>
      <c r="G1194" s="2" t="str">
        <f>_xlfn.XLOOKUP(Table1[[#This Row],[Customer_ID]],Customer_Dim!$A$2:$A$501,Customer_Dim!$E$2:$E$501)</f>
        <v>East Michellemouth</v>
      </c>
      <c r="H1194" t="s">
        <v>110</v>
      </c>
      <c r="I1194" t="str">
        <f>VLOOKUP(Table1[[#This Row],[Product_ID]],Product_Dim!$A$2:$G$101,2,FALSE)</f>
        <v>Men's Sports Shorts-Clothing</v>
      </c>
      <c r="J1194" t="s">
        <v>1661</v>
      </c>
      <c r="K1194" t="str">
        <f>VLOOKUP(Table1[[#This Row],[Store_ID]],Store_Dim!$A$3:$D$22,2,FALSE)</f>
        <v>Holloway Ltd-North</v>
      </c>
      <c r="L1194" t="s">
        <v>1759</v>
      </c>
      <c r="M1194" t="s">
        <v>3959</v>
      </c>
      <c r="N1194" s="3">
        <v>477.52</v>
      </c>
      <c r="O1194" s="4">
        <v>7.0000000000000007E-2</v>
      </c>
      <c r="P1194" t="s">
        <v>1774</v>
      </c>
      <c r="Q1194" s="4">
        <v>1776.3743999999999</v>
      </c>
    </row>
    <row r="1195" spans="1:17" x14ac:dyDescent="0.3">
      <c r="A1195" t="s">
        <v>2967</v>
      </c>
      <c r="B1195" t="str">
        <f t="shared" si="18"/>
        <v>Q1</v>
      </c>
      <c r="C1195" t="str">
        <f>TEXT(Table1[[#This Row],[Order_Date]],"mmmm")</f>
        <v>February</v>
      </c>
      <c r="D1195">
        <f>YEAR(Table1[[#This Row],[Order_Date]])</f>
        <v>2025</v>
      </c>
      <c r="E1195" s="7">
        <v>45705</v>
      </c>
      <c r="F1195" s="2" t="str">
        <f>VLOOKUP(Table1[[#This Row],[Customer_ID]],Customer_Dim!$A$2:$H$501,2,FALSE)</f>
        <v>Beth Allen</v>
      </c>
      <c r="G1195" s="2" t="str">
        <f>_xlfn.XLOOKUP(Table1[[#This Row],[Customer_ID]],Customer_Dim!$A$2:$A$501,Customer_Dim!$E$2:$E$501)</f>
        <v>South Kathrynmouth</v>
      </c>
      <c r="H1195" t="s">
        <v>820</v>
      </c>
      <c r="I1195" t="str">
        <f>VLOOKUP(Table1[[#This Row],[Product_ID]],Product_Dim!$A$2:$G$101,2,FALSE)</f>
        <v>Women's High Heels-Clothing</v>
      </c>
      <c r="J1195" t="s">
        <v>1705</v>
      </c>
      <c r="K1195" t="str">
        <f>VLOOKUP(Table1[[#This Row],[Store_ID]],Store_Dim!$A$3:$D$22,2,FALSE)</f>
        <v>Benson-Elliott-East</v>
      </c>
      <c r="L1195" t="s">
        <v>1740</v>
      </c>
      <c r="M1195" t="s">
        <v>3958</v>
      </c>
      <c r="N1195" s="3">
        <v>242.58</v>
      </c>
      <c r="O1195" s="4">
        <v>0.25</v>
      </c>
      <c r="P1195" t="s">
        <v>1772</v>
      </c>
      <c r="Q1195" s="4">
        <v>545.80500000000006</v>
      </c>
    </row>
    <row r="1196" spans="1:17" x14ac:dyDescent="0.3">
      <c r="A1196" t="s">
        <v>2968</v>
      </c>
      <c r="B1196" t="str">
        <f t="shared" si="18"/>
        <v>Q4</v>
      </c>
      <c r="C1196" t="str">
        <f>TEXT(Table1[[#This Row],[Order_Date]],"mmmm")</f>
        <v>November</v>
      </c>
      <c r="D1196">
        <f>YEAR(Table1[[#This Row],[Order_Date]])</f>
        <v>2023</v>
      </c>
      <c r="E1196" s="7">
        <v>45250</v>
      </c>
      <c r="F1196" s="2" t="str">
        <f>VLOOKUP(Table1[[#This Row],[Customer_ID]],Customer_Dim!$A$2:$H$501,2,FALSE)</f>
        <v>Melinda Johnson</v>
      </c>
      <c r="G1196" s="2" t="str">
        <f>_xlfn.XLOOKUP(Table1[[#This Row],[Customer_ID]],Customer_Dim!$A$2:$A$501,Customer_Dim!$E$2:$E$501)</f>
        <v>Kaufmanfurt</v>
      </c>
      <c r="H1196" t="s">
        <v>1135</v>
      </c>
      <c r="I1196" t="str">
        <f>VLOOKUP(Table1[[#This Row],[Product_ID]],Product_Dim!$A$2:$G$101,2,FALSE)</f>
        <v>Wireless Bluetooth Speaker-Electronics</v>
      </c>
      <c r="J1196" t="s">
        <v>1575</v>
      </c>
      <c r="K1196" t="str">
        <f>VLOOKUP(Table1[[#This Row],[Store_ID]],Store_Dim!$A$3:$D$22,2,FALSE)</f>
        <v>Holloway Ltd-North</v>
      </c>
      <c r="L1196" t="s">
        <v>1759</v>
      </c>
      <c r="M1196" t="s">
        <v>3960</v>
      </c>
      <c r="N1196" s="3">
        <v>519.29999999999995</v>
      </c>
      <c r="O1196" s="4">
        <v>0.09</v>
      </c>
      <c r="P1196" t="s">
        <v>1774</v>
      </c>
      <c r="Q1196" s="4">
        <v>945.12599999999998</v>
      </c>
    </row>
    <row r="1197" spans="1:17" x14ac:dyDescent="0.3">
      <c r="A1197" t="s">
        <v>2969</v>
      </c>
      <c r="B1197" t="str">
        <f t="shared" si="18"/>
        <v>Q1</v>
      </c>
      <c r="C1197" t="str">
        <f>TEXT(Table1[[#This Row],[Order_Date]],"mmmm")</f>
        <v>January</v>
      </c>
      <c r="D1197">
        <f>YEAR(Table1[[#This Row],[Order_Date]])</f>
        <v>2025</v>
      </c>
      <c r="E1197" s="7">
        <v>45684</v>
      </c>
      <c r="F1197" s="2" t="str">
        <f>VLOOKUP(Table1[[#This Row],[Customer_ID]],Customer_Dim!$A$2:$H$501,2,FALSE)</f>
        <v>Kaitlin Brown</v>
      </c>
      <c r="G1197" s="2" t="str">
        <f>_xlfn.XLOOKUP(Table1[[#This Row],[Customer_ID]],Customer_Dim!$A$2:$A$501,Customer_Dim!$E$2:$E$501)</f>
        <v>Kellyberg</v>
      </c>
      <c r="H1197" t="s">
        <v>1493</v>
      </c>
      <c r="I1197" t="str">
        <f>VLOOKUP(Table1[[#This Row],[Product_ID]],Product_Dim!$A$2:$G$101,2,FALSE)</f>
        <v>Vitamin E Body Lotion-Beauty</v>
      </c>
      <c r="J1197" t="s">
        <v>1711</v>
      </c>
      <c r="K1197" t="str">
        <f>VLOOKUP(Table1[[#This Row],[Store_ID]],Store_Dim!$A$3:$D$22,2,FALSE)</f>
        <v>Aguirre-Keller-South</v>
      </c>
      <c r="L1197" t="s">
        <v>1750</v>
      </c>
      <c r="M1197" t="s">
        <v>3958</v>
      </c>
      <c r="N1197" s="3">
        <v>845.67</v>
      </c>
      <c r="O1197" s="4">
        <v>0.12</v>
      </c>
      <c r="P1197" t="s">
        <v>1777</v>
      </c>
      <c r="Q1197" s="4">
        <v>2232.5688</v>
      </c>
    </row>
    <row r="1198" spans="1:17" x14ac:dyDescent="0.3">
      <c r="A1198" t="s">
        <v>2970</v>
      </c>
      <c r="B1198" t="str">
        <f t="shared" si="18"/>
        <v>Q2</v>
      </c>
      <c r="C1198" t="str">
        <f>TEXT(Table1[[#This Row],[Order_Date]],"mmmm")</f>
        <v>April</v>
      </c>
      <c r="D1198">
        <f>YEAR(Table1[[#This Row],[Order_Date]])</f>
        <v>2024</v>
      </c>
      <c r="E1198" s="7">
        <v>45395</v>
      </c>
      <c r="F1198" s="2" t="str">
        <f>VLOOKUP(Table1[[#This Row],[Customer_ID]],Customer_Dim!$A$2:$H$501,2,FALSE)</f>
        <v>Roberta Green</v>
      </c>
      <c r="G1198" s="2" t="str">
        <f>_xlfn.XLOOKUP(Table1[[#This Row],[Customer_ID]],Customer_Dim!$A$2:$A$501,Customer_Dim!$E$2:$E$501)</f>
        <v>West Joseph</v>
      </c>
      <c r="H1198" t="s">
        <v>953</v>
      </c>
      <c r="I1198" t="str">
        <f>VLOOKUP(Table1[[#This Row],[Product_ID]],Product_Dim!$A$2:$G$101,2,FALSE)</f>
        <v>Ceramic Plant Pot-Home</v>
      </c>
      <c r="J1198" t="s">
        <v>1633</v>
      </c>
      <c r="K1198" t="str">
        <f>VLOOKUP(Table1[[#This Row],[Store_ID]],Store_Dim!$A$3:$D$22,2,FALSE)</f>
        <v>Frederick-Wright-West</v>
      </c>
      <c r="L1198" t="s">
        <v>1757</v>
      </c>
      <c r="M1198" t="s">
        <v>3959</v>
      </c>
      <c r="N1198" s="3">
        <v>750.26</v>
      </c>
      <c r="O1198" s="4">
        <v>0.01</v>
      </c>
      <c r="P1198" t="s">
        <v>1774</v>
      </c>
      <c r="Q1198" s="4">
        <v>2971.0295999999998</v>
      </c>
    </row>
    <row r="1199" spans="1:17" x14ac:dyDescent="0.3">
      <c r="A1199" t="s">
        <v>2971</v>
      </c>
      <c r="B1199" t="str">
        <f t="shared" si="18"/>
        <v>Q1</v>
      </c>
      <c r="C1199" t="str">
        <f>TEXT(Table1[[#This Row],[Order_Date]],"mmmm")</f>
        <v>March</v>
      </c>
      <c r="D1199">
        <f>YEAR(Table1[[#This Row],[Order_Date]])</f>
        <v>2024</v>
      </c>
      <c r="E1199" s="7">
        <v>45382</v>
      </c>
      <c r="F1199" s="2" t="str">
        <f>VLOOKUP(Table1[[#This Row],[Customer_ID]],Customer_Dim!$A$2:$H$501,2,FALSE)</f>
        <v>Dr. Lindsay Hanna</v>
      </c>
      <c r="G1199" s="2" t="str">
        <f>_xlfn.XLOOKUP(Table1[[#This Row],[Customer_ID]],Customer_Dim!$A$2:$A$501,Customer_Dim!$E$2:$E$501)</f>
        <v>New Paulstad</v>
      </c>
      <c r="H1199" t="s">
        <v>1033</v>
      </c>
      <c r="I1199" t="str">
        <f>VLOOKUP(Table1[[#This Row],[Product_ID]],Product_Dim!$A$2:$G$101,2,FALSE)</f>
        <v>Microwave Oven-Home</v>
      </c>
      <c r="J1199" t="s">
        <v>1707</v>
      </c>
      <c r="K1199" t="str">
        <f>VLOOKUP(Table1[[#This Row],[Store_ID]],Store_Dim!$A$3:$D$22,2,FALSE)</f>
        <v>Thomas, Bridges and Harris-North</v>
      </c>
      <c r="L1199" t="s">
        <v>1751</v>
      </c>
      <c r="M1199" t="s">
        <v>3959</v>
      </c>
      <c r="N1199" s="3">
        <v>294.38</v>
      </c>
      <c r="O1199" s="4">
        <v>0.2</v>
      </c>
      <c r="P1199" t="s">
        <v>1772</v>
      </c>
      <c r="Q1199" s="4">
        <v>942.01600000000008</v>
      </c>
    </row>
    <row r="1200" spans="1:17" x14ac:dyDescent="0.3">
      <c r="A1200" t="s">
        <v>2972</v>
      </c>
      <c r="B1200" t="str">
        <f t="shared" si="18"/>
        <v>Q3</v>
      </c>
      <c r="C1200" t="str">
        <f>TEXT(Table1[[#This Row],[Order_Date]],"mmmm")</f>
        <v>September</v>
      </c>
      <c r="D1200">
        <f>YEAR(Table1[[#This Row],[Order_Date]])</f>
        <v>2025</v>
      </c>
      <c r="E1200" s="7">
        <v>45919</v>
      </c>
      <c r="F1200" s="2" t="str">
        <f>VLOOKUP(Table1[[#This Row],[Customer_ID]],Customer_Dim!$A$2:$H$501,2,FALSE)</f>
        <v>David Cobb</v>
      </c>
      <c r="G1200" s="2" t="str">
        <f>_xlfn.XLOOKUP(Table1[[#This Row],[Customer_ID]],Customer_Dim!$A$2:$A$501,Customer_Dim!$E$2:$E$501)</f>
        <v>Lake Thomas</v>
      </c>
      <c r="H1200" t="s">
        <v>342</v>
      </c>
      <c r="I1200" t="str">
        <f>VLOOKUP(Table1[[#This Row],[Product_ID]],Product_Dim!$A$2:$G$101,2,FALSE)</f>
        <v>Women's Formal Blazer-Clothing</v>
      </c>
      <c r="J1200" t="s">
        <v>1715</v>
      </c>
      <c r="K1200" t="str">
        <f>VLOOKUP(Table1[[#This Row],[Store_ID]],Store_Dim!$A$3:$D$22,2,FALSE)</f>
        <v>Black-Horn-South</v>
      </c>
      <c r="L1200" t="s">
        <v>1730</v>
      </c>
      <c r="M1200" t="s">
        <v>3958</v>
      </c>
      <c r="N1200" s="3">
        <v>583.52</v>
      </c>
      <c r="O1200" s="4">
        <v>7.0000000000000007E-2</v>
      </c>
      <c r="P1200" t="s">
        <v>1774</v>
      </c>
      <c r="Q1200" s="4">
        <v>1628.0208</v>
      </c>
    </row>
    <row r="1201" spans="1:17" x14ac:dyDescent="0.3">
      <c r="A1201" t="s">
        <v>2973</v>
      </c>
      <c r="B1201" t="str">
        <f t="shared" si="18"/>
        <v>Q2</v>
      </c>
      <c r="C1201" t="str">
        <f>TEXT(Table1[[#This Row],[Order_Date]],"mmmm")</f>
        <v>June</v>
      </c>
      <c r="D1201">
        <f>YEAR(Table1[[#This Row],[Order_Date]])</f>
        <v>2024</v>
      </c>
      <c r="E1201" s="7">
        <v>45453</v>
      </c>
      <c r="F1201" s="2" t="str">
        <f>VLOOKUP(Table1[[#This Row],[Customer_ID]],Customer_Dim!$A$2:$H$501,2,FALSE)</f>
        <v>Manuel Fisher</v>
      </c>
      <c r="G1201" s="2" t="str">
        <f>_xlfn.XLOOKUP(Table1[[#This Row],[Customer_ID]],Customer_Dim!$A$2:$A$501,Customer_Dim!$E$2:$E$501)</f>
        <v>Kanebury</v>
      </c>
      <c r="H1201" t="s">
        <v>1433</v>
      </c>
      <c r="I1201" t="str">
        <f>VLOOKUP(Table1[[#This Row],[Product_ID]],Product_Dim!$A$2:$G$101,2,FALSE)</f>
        <v>Face Foundation Kit-Beauty</v>
      </c>
      <c r="J1201" t="s">
        <v>1701</v>
      </c>
      <c r="K1201" t="str">
        <f>VLOOKUP(Table1[[#This Row],[Store_ID]],Store_Dim!$A$3:$D$22,2,FALSE)</f>
        <v>Frederick-Wright-West</v>
      </c>
      <c r="L1201" t="s">
        <v>1757</v>
      </c>
      <c r="M1201" t="s">
        <v>3960</v>
      </c>
      <c r="N1201" s="3">
        <v>635.22</v>
      </c>
      <c r="O1201" s="4">
        <v>0.3</v>
      </c>
      <c r="P1201" t="s">
        <v>1777</v>
      </c>
      <c r="Q1201" s="4">
        <v>889.30799999999999</v>
      </c>
    </row>
    <row r="1202" spans="1:17" x14ac:dyDescent="0.3">
      <c r="A1202" t="s">
        <v>2974</v>
      </c>
      <c r="B1202" t="str">
        <f t="shared" si="18"/>
        <v>Q1</v>
      </c>
      <c r="C1202" t="str">
        <f>TEXT(Table1[[#This Row],[Order_Date]],"mmmm")</f>
        <v>January</v>
      </c>
      <c r="D1202">
        <f>YEAR(Table1[[#This Row],[Order_Date]])</f>
        <v>2024</v>
      </c>
      <c r="E1202" s="7">
        <v>45313</v>
      </c>
      <c r="F1202" s="2" t="str">
        <f>VLOOKUP(Table1[[#This Row],[Customer_ID]],Customer_Dim!$A$2:$H$501,2,FALSE)</f>
        <v>Samuel Mullins</v>
      </c>
      <c r="G1202" s="2" t="str">
        <f>_xlfn.XLOOKUP(Table1[[#This Row],[Customer_ID]],Customer_Dim!$A$2:$A$501,Customer_Dim!$E$2:$E$501)</f>
        <v>Hartmouth</v>
      </c>
      <c r="H1202" t="s">
        <v>1312</v>
      </c>
      <c r="I1202" t="str">
        <f>VLOOKUP(Table1[[#This Row],[Product_ID]],Product_Dim!$A$2:$G$101,2,FALSE)</f>
        <v>Women's Hair Dryer Brush-Beauty</v>
      </c>
      <c r="J1202" t="s">
        <v>1655</v>
      </c>
      <c r="K1202" t="str">
        <f>VLOOKUP(Table1[[#This Row],[Store_ID]],Store_Dim!$A$3:$D$22,2,FALSE)</f>
        <v>Black-Horn-South</v>
      </c>
      <c r="L1202" t="s">
        <v>1730</v>
      </c>
      <c r="M1202" t="s">
        <v>3957</v>
      </c>
      <c r="N1202" s="3">
        <v>743.55</v>
      </c>
      <c r="O1202" s="4">
        <v>0.11</v>
      </c>
      <c r="P1202" t="s">
        <v>1777</v>
      </c>
      <c r="Q1202" s="4">
        <v>661.7595</v>
      </c>
    </row>
    <row r="1203" spans="1:17" x14ac:dyDescent="0.3">
      <c r="A1203" t="s">
        <v>2975</v>
      </c>
      <c r="B1203" t="str">
        <f t="shared" si="18"/>
        <v>Q1</v>
      </c>
      <c r="C1203" t="str">
        <f>TEXT(Table1[[#This Row],[Order_Date]],"mmmm")</f>
        <v>March</v>
      </c>
      <c r="D1203">
        <f>YEAR(Table1[[#This Row],[Order_Date]])</f>
        <v>2024</v>
      </c>
      <c r="E1203" s="7">
        <v>45377</v>
      </c>
      <c r="F1203" s="2" t="str">
        <f>VLOOKUP(Table1[[#This Row],[Customer_ID]],Customer_Dim!$A$2:$H$501,2,FALSE)</f>
        <v>Colleen Maynard</v>
      </c>
      <c r="G1203" s="2" t="str">
        <f>_xlfn.XLOOKUP(Table1[[#This Row],[Customer_ID]],Customer_Dim!$A$2:$A$501,Customer_Dim!$E$2:$E$501)</f>
        <v>Singletonmouth</v>
      </c>
      <c r="H1203" t="s">
        <v>355</v>
      </c>
      <c r="I1203" t="str">
        <f>VLOOKUP(Table1[[#This Row],[Product_ID]],Product_Dim!$A$2:$G$101,2,FALSE)</f>
        <v>Adjustable Jump Rope-Sports</v>
      </c>
      <c r="J1203" t="s">
        <v>1611</v>
      </c>
      <c r="K1203" t="str">
        <f>VLOOKUP(Table1[[#This Row],[Store_ID]],Store_Dim!$A$3:$D$22,2,FALSE)</f>
        <v>Johnson-Wright-North</v>
      </c>
      <c r="L1203" t="s">
        <v>1733</v>
      </c>
      <c r="M1203" t="s">
        <v>3959</v>
      </c>
      <c r="N1203" s="3">
        <v>530.45000000000005</v>
      </c>
      <c r="O1203" s="4">
        <v>0.13</v>
      </c>
      <c r="P1203" t="s">
        <v>1772</v>
      </c>
      <c r="Q1203" s="4">
        <v>1845.9659999999999</v>
      </c>
    </row>
    <row r="1204" spans="1:17" x14ac:dyDescent="0.3">
      <c r="A1204" t="s">
        <v>2976</v>
      </c>
      <c r="B1204" t="str">
        <f t="shared" si="18"/>
        <v>Q1</v>
      </c>
      <c r="C1204" t="str">
        <f>TEXT(Table1[[#This Row],[Order_Date]],"mmmm")</f>
        <v>March</v>
      </c>
      <c r="D1204">
        <f>YEAR(Table1[[#This Row],[Order_Date]])</f>
        <v>2024</v>
      </c>
      <c r="E1204" s="7">
        <v>45371</v>
      </c>
      <c r="F1204" s="2" t="str">
        <f>VLOOKUP(Table1[[#This Row],[Customer_ID]],Customer_Dim!$A$2:$H$501,2,FALSE)</f>
        <v>Matthew Payne</v>
      </c>
      <c r="G1204" s="2" t="str">
        <f>_xlfn.XLOOKUP(Table1[[#This Row],[Customer_ID]],Customer_Dim!$A$2:$A$501,Customer_Dim!$E$2:$E$501)</f>
        <v>Grahamfurt</v>
      </c>
      <c r="H1204" t="s">
        <v>835</v>
      </c>
      <c r="I1204" t="str">
        <f>VLOOKUP(Table1[[#This Row],[Product_ID]],Product_Dim!$A$2:$G$101,2,FALSE)</f>
        <v>Women's Hair Dryer Brush-Beauty</v>
      </c>
      <c r="J1204" t="s">
        <v>1655</v>
      </c>
      <c r="K1204" t="str">
        <f>VLOOKUP(Table1[[#This Row],[Store_ID]],Store_Dim!$A$3:$D$22,2,FALSE)</f>
        <v>Moore, Padilla and Butler-South</v>
      </c>
      <c r="L1204" t="s">
        <v>1746</v>
      </c>
      <c r="M1204" t="s">
        <v>3960</v>
      </c>
      <c r="N1204" s="3">
        <v>972.4</v>
      </c>
      <c r="O1204" s="4">
        <v>0.06</v>
      </c>
      <c r="P1204" t="s">
        <v>1777</v>
      </c>
      <c r="Q1204" s="4">
        <v>1828.1120000000001</v>
      </c>
    </row>
    <row r="1205" spans="1:17" x14ac:dyDescent="0.3">
      <c r="A1205" t="s">
        <v>2977</v>
      </c>
      <c r="B1205" t="str">
        <f t="shared" si="18"/>
        <v>Q2</v>
      </c>
      <c r="C1205" t="str">
        <f>TEXT(Table1[[#This Row],[Order_Date]],"mmmm")</f>
        <v>May</v>
      </c>
      <c r="D1205">
        <f>YEAR(Table1[[#This Row],[Order_Date]])</f>
        <v>2025</v>
      </c>
      <c r="E1205" s="7">
        <v>45797</v>
      </c>
      <c r="F1205" s="2" t="str">
        <f>VLOOKUP(Table1[[#This Row],[Customer_ID]],Customer_Dim!$A$2:$H$501,2,FALSE)</f>
        <v>Frank Stewart</v>
      </c>
      <c r="G1205" s="2" t="str">
        <f>_xlfn.XLOOKUP(Table1[[#This Row],[Customer_ID]],Customer_Dim!$A$2:$A$501,Customer_Dim!$E$2:$E$501)</f>
        <v>Fischerborough</v>
      </c>
      <c r="H1205" t="s">
        <v>1168</v>
      </c>
      <c r="I1205" t="str">
        <f>VLOOKUP(Table1[[#This Row],[Product_ID]],Product_Dim!$A$2:$G$101,2,FALSE)</f>
        <v>4K Home Projector-Electronics</v>
      </c>
      <c r="J1205" t="s">
        <v>1553</v>
      </c>
      <c r="K1205" t="str">
        <f>VLOOKUP(Table1[[#This Row],[Store_ID]],Store_Dim!$A$3:$D$22,2,FALSE)</f>
        <v>Guerrero-Schmitt-East</v>
      </c>
      <c r="L1205" t="s">
        <v>1761</v>
      </c>
      <c r="M1205" t="s">
        <v>3958</v>
      </c>
      <c r="N1205" s="3">
        <v>197.93</v>
      </c>
      <c r="O1205" s="4">
        <v>0.15314578005115098</v>
      </c>
      <c r="P1205" t="s">
        <v>1777</v>
      </c>
      <c r="Q1205" s="4">
        <v>593.79</v>
      </c>
    </row>
    <row r="1206" spans="1:17" x14ac:dyDescent="0.3">
      <c r="A1206" t="s">
        <v>2978</v>
      </c>
      <c r="B1206" t="str">
        <f t="shared" si="18"/>
        <v>Q4</v>
      </c>
      <c r="C1206" t="str">
        <f>TEXT(Table1[[#This Row],[Order_Date]],"mmmm")</f>
        <v>October</v>
      </c>
      <c r="D1206">
        <f>YEAR(Table1[[#This Row],[Order_Date]])</f>
        <v>2024</v>
      </c>
      <c r="E1206" s="7">
        <v>45575</v>
      </c>
      <c r="F1206" s="2" t="str">
        <f>VLOOKUP(Table1[[#This Row],[Customer_ID]],Customer_Dim!$A$2:$H$501,2,FALSE)</f>
        <v>Michelle Cunningham</v>
      </c>
      <c r="G1206" s="2" t="str">
        <f>_xlfn.XLOOKUP(Table1[[#This Row],[Customer_ID]],Customer_Dim!$A$2:$A$501,Customer_Dim!$E$2:$E$501)</f>
        <v>Amandaborough</v>
      </c>
      <c r="H1206" t="s">
        <v>1063</v>
      </c>
      <c r="I1206" t="str">
        <f>VLOOKUP(Table1[[#This Row],[Product_ID]],Product_Dim!$A$2:$G$101,2,FALSE)</f>
        <v>LED Bedside Lamp-Home</v>
      </c>
      <c r="J1206" t="s">
        <v>1697</v>
      </c>
      <c r="K1206" t="str">
        <f>VLOOKUP(Table1[[#This Row],[Store_ID]],Store_Dim!$A$3:$D$22,2,FALSE)</f>
        <v>Aguirre-Keller-South</v>
      </c>
      <c r="L1206" t="s">
        <v>1750</v>
      </c>
      <c r="M1206" t="s">
        <v>3959</v>
      </c>
      <c r="N1206" s="3">
        <v>565.51</v>
      </c>
      <c r="O1206" s="4">
        <v>0.16</v>
      </c>
      <c r="P1206" t="s">
        <v>1774</v>
      </c>
      <c r="Q1206" s="4">
        <v>1900.1135999999999</v>
      </c>
    </row>
    <row r="1207" spans="1:17" x14ac:dyDescent="0.3">
      <c r="A1207" t="s">
        <v>2979</v>
      </c>
      <c r="B1207" t="str">
        <f t="shared" si="18"/>
        <v>Q4</v>
      </c>
      <c r="C1207" t="str">
        <f>TEXT(Table1[[#This Row],[Order_Date]],"mmmm")</f>
        <v>October</v>
      </c>
      <c r="D1207">
        <f>YEAR(Table1[[#This Row],[Order_Date]])</f>
        <v>2024</v>
      </c>
      <c r="E1207" s="7">
        <v>45566</v>
      </c>
      <c r="F1207" s="2" t="str">
        <f>VLOOKUP(Table1[[#This Row],[Customer_ID]],Customer_Dim!$A$2:$H$501,2,FALSE)</f>
        <v>Mark Rogers</v>
      </c>
      <c r="G1207" s="2" t="str">
        <f>_xlfn.XLOOKUP(Table1[[#This Row],[Customer_ID]],Customer_Dim!$A$2:$A$501,Customer_Dim!$E$2:$E$501)</f>
        <v>Bookertown</v>
      </c>
      <c r="H1207" t="s">
        <v>1232</v>
      </c>
      <c r="I1207" t="str">
        <f>VLOOKUP(Table1[[#This Row],[Product_ID]],Product_Dim!$A$2:$G$101,2,FALSE)</f>
        <v>Portable Power Bank-Electronics</v>
      </c>
      <c r="J1207" t="s">
        <v>1601</v>
      </c>
      <c r="K1207" t="str">
        <f>VLOOKUP(Table1[[#This Row],[Store_ID]],Store_Dim!$A$3:$D$22,2,FALSE)</f>
        <v>Alexander Group-South</v>
      </c>
      <c r="L1207" t="s">
        <v>1735</v>
      </c>
      <c r="M1207" t="s">
        <v>3959</v>
      </c>
      <c r="N1207" s="3">
        <v>983.38</v>
      </c>
      <c r="O1207" s="4">
        <v>0.25</v>
      </c>
      <c r="P1207" t="s">
        <v>1777</v>
      </c>
      <c r="Q1207" s="4">
        <v>2950.14</v>
      </c>
    </row>
    <row r="1208" spans="1:17" x14ac:dyDescent="0.3">
      <c r="A1208" t="s">
        <v>2980</v>
      </c>
      <c r="B1208" t="str">
        <f t="shared" si="18"/>
        <v>Q4</v>
      </c>
      <c r="C1208" t="str">
        <f>TEXT(Table1[[#This Row],[Order_Date]],"mmmm")</f>
        <v>November</v>
      </c>
      <c r="D1208">
        <f>YEAR(Table1[[#This Row],[Order_Date]])</f>
        <v>2023</v>
      </c>
      <c r="E1208" s="7">
        <v>45252</v>
      </c>
      <c r="F1208" s="2" t="str">
        <f>VLOOKUP(Table1[[#This Row],[Customer_ID]],Customer_Dim!$A$2:$H$501,2,FALSE)</f>
        <v>Nathaniel Hill</v>
      </c>
      <c r="G1208" s="2" t="str">
        <f>_xlfn.XLOOKUP(Table1[[#This Row],[Customer_ID]],Customer_Dim!$A$2:$A$501,Customer_Dim!$E$2:$E$501)</f>
        <v>Lake Mark</v>
      </c>
      <c r="H1208" t="s">
        <v>746</v>
      </c>
      <c r="I1208" t="str">
        <f>VLOOKUP(Table1[[#This Row],[Product_ID]],Product_Dim!$A$2:$G$101,2,FALSE)</f>
        <v>Stainless Steel Cookware Set-Home</v>
      </c>
      <c r="J1208" t="s">
        <v>1721</v>
      </c>
      <c r="K1208" t="str">
        <f>VLOOKUP(Table1[[#This Row],[Store_ID]],Store_Dim!$A$3:$D$22,2,FALSE)</f>
        <v>Moore, Padilla and Butler-South</v>
      </c>
      <c r="L1208" t="s">
        <v>1746</v>
      </c>
      <c r="M1208" t="s">
        <v>3957</v>
      </c>
      <c r="N1208" s="3">
        <v>955.06</v>
      </c>
      <c r="O1208" s="4">
        <v>0.14000000000000001</v>
      </c>
      <c r="P1208" t="s">
        <v>1772</v>
      </c>
      <c r="Q1208" s="4">
        <v>821.35159999999996</v>
      </c>
    </row>
    <row r="1209" spans="1:17" x14ac:dyDescent="0.3">
      <c r="A1209" t="s">
        <v>2981</v>
      </c>
      <c r="B1209" t="str">
        <f t="shared" si="18"/>
        <v>Q1</v>
      </c>
      <c r="C1209" t="str">
        <f>TEXT(Table1[[#This Row],[Order_Date]],"mmmm")</f>
        <v>February</v>
      </c>
      <c r="D1209">
        <f>YEAR(Table1[[#This Row],[Order_Date]])</f>
        <v>2025</v>
      </c>
      <c r="E1209" s="7">
        <v>45693</v>
      </c>
      <c r="F1209" s="2" t="str">
        <f>VLOOKUP(Table1[[#This Row],[Customer_ID]],Customer_Dim!$A$2:$H$501,2,FALSE)</f>
        <v>Michael Greene</v>
      </c>
      <c r="G1209" s="2" t="str">
        <f>_xlfn.XLOOKUP(Table1[[#This Row],[Customer_ID]],Customer_Dim!$A$2:$A$501,Customer_Dim!$E$2:$E$501)</f>
        <v>Port Saramouth</v>
      </c>
      <c r="H1209" t="s">
        <v>1092</v>
      </c>
      <c r="I1209" t="str">
        <f>VLOOKUP(Table1[[#This Row],[Product_ID]],Product_Dim!$A$2:$G$101,2,FALSE)</f>
        <v>Men's Hair Styling Gel-Beauty</v>
      </c>
      <c r="J1209" t="s">
        <v>1641</v>
      </c>
      <c r="K1209" t="str">
        <f>VLOOKUP(Table1[[#This Row],[Store_ID]],Store_Dim!$A$3:$D$22,2,FALSE)</f>
        <v>Shelton PLC-North</v>
      </c>
      <c r="L1209" t="s">
        <v>1755</v>
      </c>
      <c r="M1209" t="s">
        <v>3958</v>
      </c>
      <c r="N1209" s="3">
        <v>597.46</v>
      </c>
      <c r="O1209" s="4">
        <v>0.02</v>
      </c>
      <c r="P1209" t="s">
        <v>1774</v>
      </c>
      <c r="Q1209" s="4">
        <v>1756.5324000000001</v>
      </c>
    </row>
    <row r="1210" spans="1:17" x14ac:dyDescent="0.3">
      <c r="A1210" t="s">
        <v>2982</v>
      </c>
      <c r="B1210" t="str">
        <f t="shared" si="18"/>
        <v>Q2</v>
      </c>
      <c r="C1210" t="str">
        <f>TEXT(Table1[[#This Row],[Order_Date]],"mmmm")</f>
        <v>June</v>
      </c>
      <c r="D1210">
        <f>YEAR(Table1[[#This Row],[Order_Date]])</f>
        <v>2024</v>
      </c>
      <c r="E1210" s="7">
        <v>45446</v>
      </c>
      <c r="F1210" s="2" t="str">
        <f>VLOOKUP(Table1[[#This Row],[Customer_ID]],Customer_Dim!$A$2:$H$501,2,FALSE)</f>
        <v>Tiffany Williams</v>
      </c>
      <c r="G1210" s="2" t="str">
        <f>_xlfn.XLOOKUP(Table1[[#This Row],[Customer_ID]],Customer_Dim!$A$2:$A$501,Customer_Dim!$E$2:$E$501)</f>
        <v>Richardsport</v>
      </c>
      <c r="H1210" t="s">
        <v>989</v>
      </c>
      <c r="I1210" t="str">
        <f>VLOOKUP(Table1[[#This Row],[Product_ID]],Product_Dim!$A$2:$G$101,2,FALSE)</f>
        <v>Wireless Bluetooth Earbuds-Electronics</v>
      </c>
      <c r="J1210" t="s">
        <v>1539</v>
      </c>
      <c r="K1210" t="str">
        <f>VLOOKUP(Table1[[#This Row],[Store_ID]],Store_Dim!$A$3:$D$22,2,FALSE)</f>
        <v>Frederick-Wright-West</v>
      </c>
      <c r="L1210" t="s">
        <v>1757</v>
      </c>
      <c r="M1210" t="s">
        <v>3958</v>
      </c>
      <c r="N1210" s="3">
        <v>581.09</v>
      </c>
      <c r="O1210" s="4">
        <v>0.1</v>
      </c>
      <c r="P1210" t="s">
        <v>1777</v>
      </c>
      <c r="Q1210" s="4">
        <v>1568.943</v>
      </c>
    </row>
    <row r="1211" spans="1:17" x14ac:dyDescent="0.3">
      <c r="A1211" t="s">
        <v>2983</v>
      </c>
      <c r="B1211" t="str">
        <f t="shared" si="18"/>
        <v>Q3</v>
      </c>
      <c r="C1211" t="str">
        <f>TEXT(Table1[[#This Row],[Order_Date]],"mmmm")</f>
        <v>July</v>
      </c>
      <c r="D1211">
        <f>YEAR(Table1[[#This Row],[Order_Date]])</f>
        <v>2025</v>
      </c>
      <c r="E1211" s="7">
        <v>45862</v>
      </c>
      <c r="F1211" s="2" t="str">
        <f>VLOOKUP(Table1[[#This Row],[Customer_ID]],Customer_Dim!$A$2:$H$501,2,FALSE)</f>
        <v>Katherine Dorsey</v>
      </c>
      <c r="G1211" s="2" t="str">
        <f>_xlfn.XLOOKUP(Table1[[#This Row],[Customer_ID]],Customer_Dim!$A$2:$A$501,Customer_Dim!$E$2:$E$501)</f>
        <v>Christopherland</v>
      </c>
      <c r="H1211" t="s">
        <v>202</v>
      </c>
      <c r="I1211" t="str">
        <f>VLOOKUP(Table1[[#This Row],[Product_ID]],Product_Dim!$A$2:$G$101,2,FALSE)</f>
        <v>Stainless Steel Cutlery Set-Home</v>
      </c>
      <c r="J1211" t="s">
        <v>1583</v>
      </c>
      <c r="K1211" t="str">
        <f>VLOOKUP(Table1[[#This Row],[Store_ID]],Store_Dim!$A$3:$D$22,2,FALSE)</f>
        <v>Alexander Group-South</v>
      </c>
      <c r="L1211" t="s">
        <v>1735</v>
      </c>
      <c r="M1211" t="s">
        <v>3959</v>
      </c>
      <c r="N1211" s="3">
        <v>153.94999999999999</v>
      </c>
      <c r="O1211" s="4">
        <v>0.11</v>
      </c>
      <c r="P1211" t="s">
        <v>1774</v>
      </c>
      <c r="Q1211" s="4">
        <v>548.06200000000001</v>
      </c>
    </row>
    <row r="1212" spans="1:17" x14ac:dyDescent="0.3">
      <c r="A1212" t="s">
        <v>2984</v>
      </c>
      <c r="B1212" t="str">
        <f t="shared" si="18"/>
        <v>Q3</v>
      </c>
      <c r="C1212" t="str">
        <f>TEXT(Table1[[#This Row],[Order_Date]],"mmmm")</f>
        <v>August</v>
      </c>
      <c r="D1212">
        <f>YEAR(Table1[[#This Row],[Order_Date]])</f>
        <v>2024</v>
      </c>
      <c r="E1212" s="7">
        <v>45530</v>
      </c>
      <c r="F1212" s="2" t="str">
        <f>VLOOKUP(Table1[[#This Row],[Customer_ID]],Customer_Dim!$A$2:$H$501,2,FALSE)</f>
        <v>Krystal Ford</v>
      </c>
      <c r="G1212" s="2" t="str">
        <f>_xlfn.XLOOKUP(Table1[[#This Row],[Customer_ID]],Customer_Dim!$A$2:$A$501,Customer_Dim!$E$2:$E$501)</f>
        <v>South David</v>
      </c>
      <c r="H1212" t="s">
        <v>292</v>
      </c>
      <c r="I1212" t="str">
        <f>VLOOKUP(Table1[[#This Row],[Product_ID]],Product_Dim!$A$2:$G$101,2,FALSE)</f>
        <v>Women's Summer Dress-Clothing</v>
      </c>
      <c r="J1212" t="s">
        <v>1595</v>
      </c>
      <c r="K1212" t="str">
        <f>VLOOKUP(Table1[[#This Row],[Store_ID]],Store_Dim!$A$3:$D$22,2,FALSE)</f>
        <v>Bean, Jones and Park-West</v>
      </c>
      <c r="L1212" t="s">
        <v>1744</v>
      </c>
      <c r="M1212" t="s">
        <v>3959</v>
      </c>
      <c r="N1212" s="3">
        <v>271.04000000000002</v>
      </c>
      <c r="O1212" s="4">
        <v>0.12</v>
      </c>
      <c r="P1212" t="s">
        <v>1777</v>
      </c>
      <c r="Q1212" s="4">
        <v>954.06080000000009</v>
      </c>
    </row>
    <row r="1213" spans="1:17" x14ac:dyDescent="0.3">
      <c r="A1213" t="s">
        <v>2985</v>
      </c>
      <c r="B1213" t="str">
        <f t="shared" si="18"/>
        <v>Q3</v>
      </c>
      <c r="C1213" t="str">
        <f>TEXT(Table1[[#This Row],[Order_Date]],"mmmm")</f>
        <v>September</v>
      </c>
      <c r="D1213">
        <f>YEAR(Table1[[#This Row],[Order_Date]])</f>
        <v>2024</v>
      </c>
      <c r="E1213" s="7">
        <v>45558</v>
      </c>
      <c r="F1213" s="2" t="str">
        <f>VLOOKUP(Table1[[#This Row],[Customer_ID]],Customer_Dim!$A$2:$H$501,2,FALSE)</f>
        <v>Laura Alvarez</v>
      </c>
      <c r="G1213" s="2" t="str">
        <f>_xlfn.XLOOKUP(Table1[[#This Row],[Customer_ID]],Customer_Dim!$A$2:$A$501,Customer_Dim!$E$2:$E$501)</f>
        <v>Lawsonhaven</v>
      </c>
      <c r="H1213" t="s">
        <v>71</v>
      </c>
      <c r="I1213" t="str">
        <f>VLOOKUP(Table1[[#This Row],[Product_ID]],Product_Dim!$A$2:$G$101,2,FALSE)</f>
        <v>Bedroom Table Lamp-Home</v>
      </c>
      <c r="J1213" t="s">
        <v>1593</v>
      </c>
      <c r="K1213" t="str">
        <f>VLOOKUP(Table1[[#This Row],[Store_ID]],Store_Dim!$A$3:$D$22,2,FALSE)</f>
        <v>Benson-Elliott-East</v>
      </c>
      <c r="L1213" t="s">
        <v>1740</v>
      </c>
      <c r="M1213" t="s">
        <v>3959</v>
      </c>
      <c r="N1213" s="3">
        <v>328.27</v>
      </c>
      <c r="O1213" s="4">
        <v>0.09</v>
      </c>
      <c r="P1213" t="s">
        <v>1774</v>
      </c>
      <c r="Q1213" s="4">
        <v>1194.9028000000001</v>
      </c>
    </row>
    <row r="1214" spans="1:17" x14ac:dyDescent="0.3">
      <c r="A1214" t="s">
        <v>2986</v>
      </c>
      <c r="B1214" t="str">
        <f t="shared" si="18"/>
        <v>Q2</v>
      </c>
      <c r="C1214" t="str">
        <f>TEXT(Table1[[#This Row],[Order_Date]],"mmmm")</f>
        <v>June</v>
      </c>
      <c r="D1214">
        <f>YEAR(Table1[[#This Row],[Order_Date]])</f>
        <v>2024</v>
      </c>
      <c r="E1214" s="7">
        <v>45472</v>
      </c>
      <c r="F1214" s="2" t="str">
        <f>VLOOKUP(Table1[[#This Row],[Customer_ID]],Customer_Dim!$A$2:$H$501,2,FALSE)</f>
        <v>Justin Lopez</v>
      </c>
      <c r="G1214" s="2" t="str">
        <f>_xlfn.XLOOKUP(Table1[[#This Row],[Customer_ID]],Customer_Dim!$A$2:$A$501,Customer_Dim!$E$2:$E$501)</f>
        <v>Port Cheryl</v>
      </c>
      <c r="H1214" t="s">
        <v>1501</v>
      </c>
      <c r="I1214" t="str">
        <f>VLOOKUP(Table1[[#This Row],[Product_ID]],Product_Dim!$A$2:$G$101,2,FALSE)</f>
        <v>Soccer Training Cone Set-Sports</v>
      </c>
      <c r="J1214" t="s">
        <v>1557</v>
      </c>
      <c r="K1214" t="str">
        <f>VLOOKUP(Table1[[#This Row],[Store_ID]],Store_Dim!$A$3:$D$22,2,FALSE)</f>
        <v>Mcdonald Inc-South</v>
      </c>
      <c r="L1214" t="s">
        <v>1754</v>
      </c>
      <c r="M1214" t="s">
        <v>3959</v>
      </c>
      <c r="N1214" s="3">
        <v>884.71</v>
      </c>
      <c r="O1214" s="4">
        <v>0.09</v>
      </c>
      <c r="P1214" t="s">
        <v>1774</v>
      </c>
      <c r="Q1214" s="4">
        <v>3220.3444</v>
      </c>
    </row>
    <row r="1215" spans="1:17" x14ac:dyDescent="0.3">
      <c r="A1215" t="s">
        <v>2987</v>
      </c>
      <c r="B1215" t="str">
        <f t="shared" si="18"/>
        <v>Q2</v>
      </c>
      <c r="C1215" t="str">
        <f>TEXT(Table1[[#This Row],[Order_Date]],"mmmm")</f>
        <v>June</v>
      </c>
      <c r="D1215">
        <f>YEAR(Table1[[#This Row],[Order_Date]])</f>
        <v>2025</v>
      </c>
      <c r="E1215" s="7">
        <v>45809</v>
      </c>
      <c r="F1215" s="2" t="str">
        <f>VLOOKUP(Table1[[#This Row],[Customer_ID]],Customer_Dim!$A$2:$H$501,2,FALSE)</f>
        <v>Lauren George</v>
      </c>
      <c r="G1215" s="2" t="str">
        <f>_xlfn.XLOOKUP(Table1[[#This Row],[Customer_ID]],Customer_Dim!$A$2:$A$501,Customer_Dim!$E$2:$E$501)</f>
        <v>Garciamouth</v>
      </c>
      <c r="H1215" t="s">
        <v>791</v>
      </c>
      <c r="I1215" t="str">
        <f>VLOOKUP(Table1[[#This Row],[Product_ID]],Product_Dim!$A$2:$G$101,2,FALSE)</f>
        <v>Professional Jump Rope-Sports</v>
      </c>
      <c r="J1215" t="s">
        <v>1667</v>
      </c>
      <c r="K1215" t="str">
        <f>VLOOKUP(Table1[[#This Row],[Store_ID]],Store_Dim!$A$3:$D$22,2,FALSE)</f>
        <v>Alexander Group-South</v>
      </c>
      <c r="L1215" t="s">
        <v>1735</v>
      </c>
      <c r="M1215" t="s">
        <v>3957</v>
      </c>
      <c r="N1215" s="3">
        <v>41.39</v>
      </c>
      <c r="O1215" s="4">
        <v>0.01</v>
      </c>
      <c r="P1215" t="s">
        <v>1772</v>
      </c>
      <c r="Q1215" s="4">
        <v>40.976100000000002</v>
      </c>
    </row>
    <row r="1216" spans="1:17" x14ac:dyDescent="0.3">
      <c r="A1216" t="s">
        <v>2988</v>
      </c>
      <c r="B1216" t="str">
        <f t="shared" si="18"/>
        <v>Q2</v>
      </c>
      <c r="C1216" t="str">
        <f>TEXT(Table1[[#This Row],[Order_Date]],"mmmm")</f>
        <v>May</v>
      </c>
      <c r="D1216">
        <f>YEAR(Table1[[#This Row],[Order_Date]])</f>
        <v>2025</v>
      </c>
      <c r="E1216" s="7">
        <v>45783</v>
      </c>
      <c r="F1216" s="2" t="str">
        <f>VLOOKUP(Table1[[#This Row],[Customer_ID]],Customer_Dim!$A$2:$H$501,2,FALSE)</f>
        <v>Jason Wheeler</v>
      </c>
      <c r="G1216" s="2" t="str">
        <f>_xlfn.XLOOKUP(Table1[[#This Row],[Customer_ID]],Customer_Dim!$A$2:$A$501,Customer_Dim!$E$2:$E$501)</f>
        <v>Carolview</v>
      </c>
      <c r="H1216" t="s">
        <v>545</v>
      </c>
      <c r="I1216" t="str">
        <f>VLOOKUP(Table1[[#This Row],[Product_ID]],Product_Dim!$A$2:$G$101,2,FALSE)</f>
        <v>Foam Roller-Sports</v>
      </c>
      <c r="J1216" t="s">
        <v>1637</v>
      </c>
      <c r="K1216" t="str">
        <f>VLOOKUP(Table1[[#This Row],[Store_ID]],Store_Dim!$A$3:$D$22,2,FALSE)</f>
        <v>Moore, Padilla and Butler-South</v>
      </c>
      <c r="L1216" t="s">
        <v>1746</v>
      </c>
      <c r="M1216" t="s">
        <v>3959</v>
      </c>
      <c r="N1216" s="3">
        <v>64.06</v>
      </c>
      <c r="O1216" s="4">
        <v>0.26</v>
      </c>
      <c r="P1216" t="s">
        <v>1772</v>
      </c>
      <c r="Q1216" s="4">
        <v>189.61760000000001</v>
      </c>
    </row>
    <row r="1217" spans="1:17" x14ac:dyDescent="0.3">
      <c r="A1217" t="s">
        <v>2989</v>
      </c>
      <c r="B1217" t="str">
        <f t="shared" si="18"/>
        <v>Q3</v>
      </c>
      <c r="C1217" t="str">
        <f>TEXT(Table1[[#This Row],[Order_Date]],"mmmm")</f>
        <v>July</v>
      </c>
      <c r="D1217">
        <f>YEAR(Table1[[#This Row],[Order_Date]])</f>
        <v>2025</v>
      </c>
      <c r="E1217" s="7">
        <v>45849</v>
      </c>
      <c r="F1217" s="2" t="str">
        <f>VLOOKUP(Table1[[#This Row],[Customer_ID]],Customer_Dim!$A$2:$H$501,2,FALSE)</f>
        <v>John Jordan</v>
      </c>
      <c r="G1217" s="2" t="str">
        <f>_xlfn.XLOOKUP(Table1[[#This Row],[Customer_ID]],Customer_Dim!$A$2:$A$501,Customer_Dim!$E$2:$E$501)</f>
        <v>Port Crystalberg</v>
      </c>
      <c r="H1217" t="s">
        <v>1075</v>
      </c>
      <c r="I1217" t="str">
        <f>VLOOKUP(Table1[[#This Row],[Product_ID]],Product_Dim!$A$2:$G$101,2,FALSE)</f>
        <v>Men's Winter Jacket-Clothing</v>
      </c>
      <c r="J1217" t="s">
        <v>1615</v>
      </c>
      <c r="K1217" t="str">
        <f>VLOOKUP(Table1[[#This Row],[Store_ID]],Store_Dim!$A$3:$D$22,2,FALSE)</f>
        <v>Moore, Padilla and Butler-South</v>
      </c>
      <c r="L1217" t="s">
        <v>1746</v>
      </c>
      <c r="M1217" t="s">
        <v>3960</v>
      </c>
      <c r="N1217" s="3">
        <v>152.25</v>
      </c>
      <c r="O1217" s="4">
        <v>0.13</v>
      </c>
      <c r="P1217" t="s">
        <v>1772</v>
      </c>
      <c r="Q1217" s="4">
        <v>264.91500000000002</v>
      </c>
    </row>
    <row r="1218" spans="1:17" x14ac:dyDescent="0.3">
      <c r="A1218" t="s">
        <v>2990</v>
      </c>
      <c r="B1218" t="str">
        <f t="shared" ref="B1218:B1281" si="19">"Q" &amp;ROUNDUP(MONTH(E1218)/3,0)</f>
        <v>Q4</v>
      </c>
      <c r="C1218" t="str">
        <f>TEXT(Table1[[#This Row],[Order_Date]],"mmmm")</f>
        <v>December</v>
      </c>
      <c r="D1218">
        <f>YEAR(Table1[[#This Row],[Order_Date]])</f>
        <v>2023</v>
      </c>
      <c r="E1218" s="7">
        <v>45281</v>
      </c>
      <c r="F1218" s="2" t="str">
        <f>VLOOKUP(Table1[[#This Row],[Customer_ID]],Customer_Dim!$A$2:$H$501,2,FALSE)</f>
        <v>Diane Watson</v>
      </c>
      <c r="G1218" s="2" t="str">
        <f>_xlfn.XLOOKUP(Table1[[#This Row],[Customer_ID]],Customer_Dim!$A$2:$A$501,Customer_Dim!$E$2:$E$501)</f>
        <v>North Codyport</v>
      </c>
      <c r="H1218" t="s">
        <v>351</v>
      </c>
      <c r="I1218" t="str">
        <f>VLOOKUP(Table1[[#This Row],[Product_ID]],Product_Dim!$A$2:$G$101,2,FALSE)</f>
        <v>USB-C Fast Charger-Electronics</v>
      </c>
      <c r="J1218" t="s">
        <v>1549</v>
      </c>
      <c r="K1218" t="str">
        <f>VLOOKUP(Table1[[#This Row],[Store_ID]],Store_Dim!$A$3:$D$22,2,FALSE)</f>
        <v>Mann-Austin-East</v>
      </c>
      <c r="L1218" t="s">
        <v>1763</v>
      </c>
      <c r="M1218" t="s">
        <v>3960</v>
      </c>
      <c r="N1218" s="3">
        <v>889.04</v>
      </c>
      <c r="O1218" s="4">
        <v>0.23</v>
      </c>
      <c r="P1218" t="s">
        <v>1772</v>
      </c>
      <c r="Q1218" s="4">
        <v>1369.1215999999999</v>
      </c>
    </row>
    <row r="1219" spans="1:17" x14ac:dyDescent="0.3">
      <c r="A1219" t="s">
        <v>2991</v>
      </c>
      <c r="B1219" t="str">
        <f t="shared" si="19"/>
        <v>Q1</v>
      </c>
      <c r="C1219" t="str">
        <f>TEXT(Table1[[#This Row],[Order_Date]],"mmmm")</f>
        <v>January</v>
      </c>
      <c r="D1219">
        <f>YEAR(Table1[[#This Row],[Order_Date]])</f>
        <v>2024</v>
      </c>
      <c r="E1219" s="7">
        <v>45322</v>
      </c>
      <c r="F1219" s="2" t="str">
        <f>VLOOKUP(Table1[[#This Row],[Customer_ID]],Customer_Dim!$A$2:$H$501,2,FALSE)</f>
        <v>Cynthia Morris</v>
      </c>
      <c r="G1219" s="2" t="str">
        <f>_xlfn.XLOOKUP(Table1[[#This Row],[Customer_ID]],Customer_Dim!$A$2:$A$501,Customer_Dim!$E$2:$E$501)</f>
        <v>Hessmouth</v>
      </c>
      <c r="H1219" t="s">
        <v>533</v>
      </c>
      <c r="I1219" t="str">
        <f>VLOOKUP(Table1[[#This Row],[Product_ID]],Product_Dim!$A$2:$G$101,2,FALSE)</f>
        <v>Men's Casual Sneakers-Clothing</v>
      </c>
      <c r="J1219" t="s">
        <v>1597</v>
      </c>
      <c r="K1219" t="str">
        <f>VLOOKUP(Table1[[#This Row],[Store_ID]],Store_Dim!$A$3:$D$22,2,FALSE)</f>
        <v>Hill, Wagner and Ballard-East</v>
      </c>
      <c r="L1219" t="s">
        <v>1748</v>
      </c>
      <c r="M1219" t="s">
        <v>3958</v>
      </c>
      <c r="N1219" s="3">
        <v>145.25</v>
      </c>
      <c r="O1219" s="4">
        <v>0.24</v>
      </c>
      <c r="P1219" t="s">
        <v>1774</v>
      </c>
      <c r="Q1219" s="4">
        <v>331.17</v>
      </c>
    </row>
    <row r="1220" spans="1:17" x14ac:dyDescent="0.3">
      <c r="A1220" t="s">
        <v>2992</v>
      </c>
      <c r="B1220" t="str">
        <f t="shared" si="19"/>
        <v>Q3</v>
      </c>
      <c r="C1220" t="str">
        <f>TEXT(Table1[[#This Row],[Order_Date]],"mmmm")</f>
        <v>September</v>
      </c>
      <c r="D1220">
        <f>YEAR(Table1[[#This Row],[Order_Date]])</f>
        <v>2024</v>
      </c>
      <c r="E1220" s="7">
        <v>45560</v>
      </c>
      <c r="F1220" s="2" t="str">
        <f>VLOOKUP(Table1[[#This Row],[Customer_ID]],Customer_Dim!$A$2:$H$501,2,FALSE)</f>
        <v>Christopher Sutton</v>
      </c>
      <c r="G1220" s="2" t="str">
        <f>_xlfn.XLOOKUP(Table1[[#This Row],[Customer_ID]],Customer_Dim!$A$2:$A$501,Customer_Dim!$E$2:$E$501)</f>
        <v>Deborahberg</v>
      </c>
      <c r="H1220" t="s">
        <v>208</v>
      </c>
      <c r="I1220" t="str">
        <f>VLOOKUP(Table1[[#This Row],[Product_ID]],Product_Dim!$A$2:$G$101,2,FALSE)</f>
        <v>Sports Wrist Sweatbands-Sports</v>
      </c>
      <c r="J1220" t="s">
        <v>1699</v>
      </c>
      <c r="K1220" t="str">
        <f>VLOOKUP(Table1[[#This Row],[Store_ID]],Store_Dim!$A$3:$D$22,2,FALSE)</f>
        <v>Black-Horn-South</v>
      </c>
      <c r="L1220" t="s">
        <v>1730</v>
      </c>
      <c r="M1220" t="s">
        <v>3960</v>
      </c>
      <c r="N1220" s="3">
        <v>898.45</v>
      </c>
      <c r="O1220" s="4">
        <v>0.28999999999999998</v>
      </c>
      <c r="P1220" t="s">
        <v>1777</v>
      </c>
      <c r="Q1220" s="4">
        <v>1275.799</v>
      </c>
    </row>
    <row r="1221" spans="1:17" x14ac:dyDescent="0.3">
      <c r="A1221" t="s">
        <v>2993</v>
      </c>
      <c r="B1221" t="str">
        <f t="shared" si="19"/>
        <v>Q3</v>
      </c>
      <c r="C1221" t="str">
        <f>TEXT(Table1[[#This Row],[Order_Date]],"mmmm")</f>
        <v>September</v>
      </c>
      <c r="D1221">
        <f>YEAR(Table1[[#This Row],[Order_Date]])</f>
        <v>2025</v>
      </c>
      <c r="E1221" s="7">
        <v>45905</v>
      </c>
      <c r="F1221" s="2" t="str">
        <f>VLOOKUP(Table1[[#This Row],[Customer_ID]],Customer_Dim!$A$2:$H$501,2,FALSE)</f>
        <v>Jessica Acevedo</v>
      </c>
      <c r="G1221" s="2" t="str">
        <f>_xlfn.XLOOKUP(Table1[[#This Row],[Customer_ID]],Customer_Dim!$A$2:$A$501,Customer_Dim!$E$2:$E$501)</f>
        <v>Amybury</v>
      </c>
      <c r="H1221" t="s">
        <v>124</v>
      </c>
      <c r="I1221" t="str">
        <f>VLOOKUP(Table1[[#This Row],[Product_ID]],Product_Dim!$A$2:$G$101,2,FALSE)</f>
        <v>Bedroom Table Lamp-Home</v>
      </c>
      <c r="J1221" t="s">
        <v>1593</v>
      </c>
      <c r="K1221" t="str">
        <f>VLOOKUP(Table1[[#This Row],[Store_ID]],Store_Dim!$A$3:$D$22,2,FALSE)</f>
        <v>Shelton PLC-North</v>
      </c>
      <c r="L1221" t="s">
        <v>1755</v>
      </c>
      <c r="M1221" t="s">
        <v>3959</v>
      </c>
      <c r="N1221" s="3">
        <v>642.04999999999995</v>
      </c>
      <c r="O1221" s="4">
        <v>0.25</v>
      </c>
      <c r="P1221" t="s">
        <v>1772</v>
      </c>
      <c r="Q1221" s="4">
        <v>1926.15</v>
      </c>
    </row>
    <row r="1222" spans="1:17" x14ac:dyDescent="0.3">
      <c r="A1222" t="s">
        <v>2994</v>
      </c>
      <c r="B1222" t="str">
        <f t="shared" si="19"/>
        <v>Q3</v>
      </c>
      <c r="C1222" t="str">
        <f>TEXT(Table1[[#This Row],[Order_Date]],"mmmm")</f>
        <v>August</v>
      </c>
      <c r="D1222">
        <f>YEAR(Table1[[#This Row],[Order_Date]])</f>
        <v>2024</v>
      </c>
      <c r="E1222" s="7">
        <v>45531</v>
      </c>
      <c r="F1222" s="2" t="str">
        <f>VLOOKUP(Table1[[#This Row],[Customer_ID]],Customer_Dim!$A$2:$H$501,2,FALSE)</f>
        <v>Elizabeth Jones</v>
      </c>
      <c r="G1222" s="2" t="str">
        <f>_xlfn.XLOOKUP(Table1[[#This Row],[Customer_ID]],Customer_Dim!$A$2:$A$501,Customer_Dim!$E$2:$E$501)</f>
        <v>Brownburgh</v>
      </c>
      <c r="H1222" t="s">
        <v>977</v>
      </c>
      <c r="I1222" t="str">
        <f>VLOOKUP(Table1[[#This Row],[Product_ID]],Product_Dim!$A$2:$G$101,2,FALSE)</f>
        <v>Wooden Bookshelf-Home</v>
      </c>
      <c r="J1222" t="s">
        <v>1691</v>
      </c>
      <c r="K1222" t="str">
        <f>VLOOKUP(Table1[[#This Row],[Store_ID]],Store_Dim!$A$3:$D$22,2,FALSE)</f>
        <v>Martinez-Mullins-South</v>
      </c>
      <c r="L1222" t="s">
        <v>1742</v>
      </c>
      <c r="M1222" t="s">
        <v>3959</v>
      </c>
      <c r="N1222" s="3">
        <v>450.83</v>
      </c>
      <c r="O1222" s="4">
        <v>0.24</v>
      </c>
      <c r="P1222" t="s">
        <v>1772</v>
      </c>
      <c r="Q1222" s="4">
        <v>1370.5232000000001</v>
      </c>
    </row>
    <row r="1223" spans="1:17" x14ac:dyDescent="0.3">
      <c r="A1223" t="s">
        <v>2995</v>
      </c>
      <c r="B1223" t="str">
        <f t="shared" si="19"/>
        <v>Q4</v>
      </c>
      <c r="C1223" t="str">
        <f>TEXT(Table1[[#This Row],[Order_Date]],"mmmm")</f>
        <v>October</v>
      </c>
      <c r="D1223">
        <f>YEAR(Table1[[#This Row],[Order_Date]])</f>
        <v>2023</v>
      </c>
      <c r="E1223" s="7">
        <v>45216</v>
      </c>
      <c r="F1223" s="2" t="str">
        <f>VLOOKUP(Table1[[#This Row],[Customer_ID]],Customer_Dim!$A$2:$H$501,2,FALSE)</f>
        <v>Dominic Page</v>
      </c>
      <c r="G1223" s="2" t="str">
        <f>_xlfn.XLOOKUP(Table1[[#This Row],[Customer_ID]],Customer_Dim!$A$2:$A$501,Customer_Dim!$E$2:$E$501)</f>
        <v>Port Michaelburgh</v>
      </c>
      <c r="H1223" t="s">
        <v>52</v>
      </c>
      <c r="I1223" t="str">
        <f>VLOOKUP(Table1[[#This Row],[Product_ID]],Product_Dim!$A$2:$G$101,2,FALSE)</f>
        <v>Rugby Ball-Sports</v>
      </c>
      <c r="J1223" t="s">
        <v>1627</v>
      </c>
      <c r="K1223" t="str">
        <f>VLOOKUP(Table1[[#This Row],[Store_ID]],Store_Dim!$A$3:$D$22,2,FALSE)</f>
        <v>Mann-Austin-East</v>
      </c>
      <c r="L1223" t="s">
        <v>1763</v>
      </c>
      <c r="M1223" t="s">
        <v>3960</v>
      </c>
      <c r="N1223" s="3">
        <v>441.03</v>
      </c>
      <c r="O1223" s="4">
        <v>0.23</v>
      </c>
      <c r="P1223" t="s">
        <v>1777</v>
      </c>
      <c r="Q1223" s="4">
        <v>679.18619999999999</v>
      </c>
    </row>
    <row r="1224" spans="1:17" x14ac:dyDescent="0.3">
      <c r="A1224" t="s">
        <v>2996</v>
      </c>
      <c r="B1224" t="str">
        <f t="shared" si="19"/>
        <v>Q2</v>
      </c>
      <c r="C1224" t="str">
        <f>TEXT(Table1[[#This Row],[Order_Date]],"mmmm")</f>
        <v>April</v>
      </c>
      <c r="D1224">
        <f>YEAR(Table1[[#This Row],[Order_Date]])</f>
        <v>2024</v>
      </c>
      <c r="E1224" s="7">
        <v>45384</v>
      </c>
      <c r="F1224" s="2" t="str">
        <f>VLOOKUP(Table1[[#This Row],[Customer_ID]],Customer_Dim!$A$2:$H$501,2,FALSE)</f>
        <v>George Rosario</v>
      </c>
      <c r="G1224" s="2" t="str">
        <f>_xlfn.XLOOKUP(Table1[[#This Row],[Customer_ID]],Customer_Dim!$A$2:$A$501,Customer_Dim!$E$2:$E$501)</f>
        <v>Leburgh</v>
      </c>
      <c r="H1224" t="s">
        <v>295</v>
      </c>
      <c r="I1224" t="str">
        <f>VLOOKUP(Table1[[#This Row],[Product_ID]],Product_Dim!$A$2:$G$101,2,FALSE)</f>
        <v>Women's Scarf Set-Clothing</v>
      </c>
      <c r="J1224" t="s">
        <v>1573</v>
      </c>
      <c r="K1224" t="str">
        <f>VLOOKUP(Table1[[#This Row],[Store_ID]],Store_Dim!$A$3:$D$22,2,FALSE)</f>
        <v>Black-Horn-South</v>
      </c>
      <c r="L1224" t="s">
        <v>1730</v>
      </c>
      <c r="M1224" t="s">
        <v>3958</v>
      </c>
      <c r="N1224" s="3">
        <v>377.69</v>
      </c>
      <c r="O1224" s="4">
        <v>7.0000000000000007E-2</v>
      </c>
      <c r="P1224" t="s">
        <v>1774</v>
      </c>
      <c r="Q1224" s="4">
        <v>1053.7551000000001</v>
      </c>
    </row>
    <row r="1225" spans="1:17" x14ac:dyDescent="0.3">
      <c r="A1225" t="s">
        <v>2997</v>
      </c>
      <c r="B1225" t="str">
        <f t="shared" si="19"/>
        <v>Q2</v>
      </c>
      <c r="C1225" t="str">
        <f>TEXT(Table1[[#This Row],[Order_Date]],"mmmm")</f>
        <v>May</v>
      </c>
      <c r="D1225">
        <f>YEAR(Table1[[#This Row],[Order_Date]])</f>
        <v>2024</v>
      </c>
      <c r="E1225" s="7">
        <v>45416</v>
      </c>
      <c r="F1225" s="2" t="str">
        <f>VLOOKUP(Table1[[#This Row],[Customer_ID]],Customer_Dim!$A$2:$H$501,2,FALSE)</f>
        <v>John Lawson</v>
      </c>
      <c r="G1225" s="2" t="str">
        <f>_xlfn.XLOOKUP(Table1[[#This Row],[Customer_ID]],Customer_Dim!$A$2:$A$501,Customer_Dim!$E$2:$E$501)</f>
        <v>New Juliemouth</v>
      </c>
      <c r="H1225" t="s">
        <v>530</v>
      </c>
      <c r="I1225" t="str">
        <f>VLOOKUP(Table1[[#This Row],[Product_ID]],Product_Dim!$A$2:$G$101,2,FALSE)</f>
        <v>Ceramic Kitchen Bowl Set-Home</v>
      </c>
      <c r="J1225" t="s">
        <v>1543</v>
      </c>
      <c r="K1225" t="str">
        <f>VLOOKUP(Table1[[#This Row],[Store_ID]],Store_Dim!$A$3:$D$22,2,FALSE)</f>
        <v>Martinez-Mullins-South</v>
      </c>
      <c r="L1225" t="s">
        <v>1742</v>
      </c>
      <c r="M1225" t="s">
        <v>3957</v>
      </c>
      <c r="N1225" s="3">
        <v>457.33</v>
      </c>
      <c r="O1225" s="4">
        <v>0.27</v>
      </c>
      <c r="P1225" t="s">
        <v>1772</v>
      </c>
      <c r="Q1225" s="4">
        <v>333.85090000000002</v>
      </c>
    </row>
    <row r="1226" spans="1:17" x14ac:dyDescent="0.3">
      <c r="A1226" t="s">
        <v>2998</v>
      </c>
      <c r="B1226" t="str">
        <f t="shared" si="19"/>
        <v>Q3</v>
      </c>
      <c r="C1226" t="str">
        <f>TEXT(Table1[[#This Row],[Order_Date]],"mmmm")</f>
        <v>August</v>
      </c>
      <c r="D1226">
        <f>YEAR(Table1[[#This Row],[Order_Date]])</f>
        <v>2025</v>
      </c>
      <c r="E1226" s="7">
        <v>45880</v>
      </c>
      <c r="F1226" s="2" t="str">
        <f>VLOOKUP(Table1[[#This Row],[Customer_ID]],Customer_Dim!$A$2:$H$501,2,FALSE)</f>
        <v>Nancy Page</v>
      </c>
      <c r="G1226" s="2" t="str">
        <f>_xlfn.XLOOKUP(Table1[[#This Row],[Customer_ID]],Customer_Dim!$A$2:$A$501,Customer_Dim!$E$2:$E$501)</f>
        <v>West Julia</v>
      </c>
      <c r="H1226" t="s">
        <v>776</v>
      </c>
      <c r="I1226" t="str">
        <f>VLOOKUP(Table1[[#This Row],[Product_ID]],Product_Dim!$A$2:$G$101,2,FALSE)</f>
        <v>Wireless Mouse-Electronics</v>
      </c>
      <c r="J1226" t="s">
        <v>1675</v>
      </c>
      <c r="K1226" t="str">
        <f>VLOOKUP(Table1[[#This Row],[Store_ID]],Store_Dim!$A$3:$D$22,2,FALSE)</f>
        <v>Benson-Elliott-East</v>
      </c>
      <c r="L1226" t="s">
        <v>1740</v>
      </c>
      <c r="M1226" t="s">
        <v>3959</v>
      </c>
      <c r="N1226" s="3">
        <v>218.01</v>
      </c>
      <c r="O1226" s="4">
        <v>0.06</v>
      </c>
      <c r="P1226" t="s">
        <v>1772</v>
      </c>
      <c r="Q1226" s="4">
        <v>819.71759999999995</v>
      </c>
    </row>
    <row r="1227" spans="1:17" x14ac:dyDescent="0.3">
      <c r="A1227" t="s">
        <v>2999</v>
      </c>
      <c r="B1227" t="str">
        <f t="shared" si="19"/>
        <v>Q4</v>
      </c>
      <c r="C1227" t="str">
        <f>TEXT(Table1[[#This Row],[Order_Date]],"mmmm")</f>
        <v>October</v>
      </c>
      <c r="D1227">
        <f>YEAR(Table1[[#This Row],[Order_Date]])</f>
        <v>2025</v>
      </c>
      <c r="E1227" s="7">
        <v>45933</v>
      </c>
      <c r="F1227" s="2" t="str">
        <f>VLOOKUP(Table1[[#This Row],[Customer_ID]],Customer_Dim!$A$2:$H$501,2,FALSE)</f>
        <v>Julia Jackson</v>
      </c>
      <c r="G1227" s="2" t="str">
        <f>_xlfn.XLOOKUP(Table1[[#This Row],[Customer_ID]],Customer_Dim!$A$2:$A$501,Customer_Dim!$E$2:$E$501)</f>
        <v>Edwardland</v>
      </c>
      <c r="H1227" t="s">
        <v>702</v>
      </c>
      <c r="I1227" t="str">
        <f>VLOOKUP(Table1[[#This Row],[Product_ID]],Product_Dim!$A$2:$G$101,2,FALSE)</f>
        <v>Microwave Oven-Home</v>
      </c>
      <c r="J1227" t="s">
        <v>1707</v>
      </c>
      <c r="K1227" t="str">
        <f>VLOOKUP(Table1[[#This Row],[Store_ID]],Store_Dim!$A$3:$D$22,2,FALSE)</f>
        <v>Guerrero-Schmitt-East</v>
      </c>
      <c r="L1227" t="s">
        <v>1761</v>
      </c>
      <c r="M1227" t="s">
        <v>3960</v>
      </c>
      <c r="N1227" s="3">
        <v>682.7</v>
      </c>
      <c r="O1227" s="4">
        <v>0.13</v>
      </c>
      <c r="P1227" t="s">
        <v>1772</v>
      </c>
      <c r="Q1227" s="4">
        <v>1187.8979999999999</v>
      </c>
    </row>
    <row r="1228" spans="1:17" x14ac:dyDescent="0.3">
      <c r="A1228" t="s">
        <v>3000</v>
      </c>
      <c r="B1228" t="str">
        <f t="shared" si="19"/>
        <v>Q1</v>
      </c>
      <c r="C1228" t="str">
        <f>TEXT(Table1[[#This Row],[Order_Date]],"mmmm")</f>
        <v>February</v>
      </c>
      <c r="D1228">
        <f>YEAR(Table1[[#This Row],[Order_Date]])</f>
        <v>2024</v>
      </c>
      <c r="E1228" s="7">
        <v>45345</v>
      </c>
      <c r="F1228" s="2" t="str">
        <f>VLOOKUP(Table1[[#This Row],[Customer_ID]],Customer_Dim!$A$2:$H$501,2,FALSE)</f>
        <v>Kristy Dunlap</v>
      </c>
      <c r="G1228" s="2" t="str">
        <f>_xlfn.XLOOKUP(Table1[[#This Row],[Customer_ID]],Customer_Dim!$A$2:$A$501,Customer_Dim!$E$2:$E$501)</f>
        <v>Whiteport</v>
      </c>
      <c r="H1228" t="s">
        <v>1007</v>
      </c>
      <c r="I1228" t="str">
        <f>VLOOKUP(Table1[[#This Row],[Product_ID]],Product_Dim!$A$2:$G$101,2,FALSE)</f>
        <v>Knee Support Brace-Sports</v>
      </c>
      <c r="J1228" t="s">
        <v>1561</v>
      </c>
      <c r="K1228" t="str">
        <f>VLOOKUP(Table1[[#This Row],[Store_ID]],Store_Dim!$A$3:$D$22,2,FALSE)</f>
        <v>Guerrero-Schmitt-East</v>
      </c>
      <c r="L1228" t="s">
        <v>1761</v>
      </c>
      <c r="M1228" t="s">
        <v>3958</v>
      </c>
      <c r="N1228" s="3">
        <v>726.97</v>
      </c>
      <c r="O1228" s="4">
        <v>0.04</v>
      </c>
      <c r="P1228" t="s">
        <v>1774</v>
      </c>
      <c r="Q1228" s="4">
        <v>2093.6736000000001</v>
      </c>
    </row>
    <row r="1229" spans="1:17" x14ac:dyDescent="0.3">
      <c r="A1229" t="s">
        <v>3001</v>
      </c>
      <c r="B1229" t="str">
        <f t="shared" si="19"/>
        <v>Q1</v>
      </c>
      <c r="C1229" t="str">
        <f>TEXT(Table1[[#This Row],[Order_Date]],"mmmm")</f>
        <v>January</v>
      </c>
      <c r="D1229">
        <f>YEAR(Table1[[#This Row],[Order_Date]])</f>
        <v>2025</v>
      </c>
      <c r="E1229" s="7">
        <v>45681</v>
      </c>
      <c r="F1229" s="2" t="str">
        <f>VLOOKUP(Table1[[#This Row],[Customer_ID]],Customer_Dim!$A$2:$H$501,2,FALSE)</f>
        <v>Isabel Foster</v>
      </c>
      <c r="G1229" s="2" t="str">
        <f>_xlfn.XLOOKUP(Table1[[#This Row],[Customer_ID]],Customer_Dim!$A$2:$A$501,Customer_Dim!$E$2:$E$501)</f>
        <v>Port Joshuaville</v>
      </c>
      <c r="H1229" t="s">
        <v>1255</v>
      </c>
      <c r="I1229" t="str">
        <f>VLOOKUP(Table1[[#This Row],[Product_ID]],Product_Dim!$A$2:$G$101,2,FALSE)</f>
        <v>Men's Hair Styling Gel-Beauty</v>
      </c>
      <c r="J1229" t="s">
        <v>1641</v>
      </c>
      <c r="K1229" t="str">
        <f>VLOOKUP(Table1[[#This Row],[Store_ID]],Store_Dim!$A$3:$D$22,2,FALSE)</f>
        <v>Moore, Padilla and Butler-South</v>
      </c>
      <c r="L1229" t="s">
        <v>1746</v>
      </c>
      <c r="M1229" t="s">
        <v>3960</v>
      </c>
      <c r="N1229" s="3">
        <v>107.97</v>
      </c>
      <c r="O1229" s="4">
        <v>0.06</v>
      </c>
      <c r="P1229" t="s">
        <v>1772</v>
      </c>
      <c r="Q1229" s="4">
        <v>202.9836</v>
      </c>
    </row>
    <row r="1230" spans="1:17" x14ac:dyDescent="0.3">
      <c r="A1230" t="s">
        <v>3002</v>
      </c>
      <c r="B1230" t="str">
        <f t="shared" si="19"/>
        <v>Q2</v>
      </c>
      <c r="C1230" t="str">
        <f>TEXT(Table1[[#This Row],[Order_Date]],"mmmm")</f>
        <v>May</v>
      </c>
      <c r="D1230">
        <f>YEAR(Table1[[#This Row],[Order_Date]])</f>
        <v>2025</v>
      </c>
      <c r="E1230" s="7">
        <v>45785</v>
      </c>
      <c r="F1230" s="2" t="str">
        <f>VLOOKUP(Table1[[#This Row],[Customer_ID]],Customer_Dim!$A$2:$H$501,2,FALSE)</f>
        <v>Daniel Boyd</v>
      </c>
      <c r="G1230" s="2" t="str">
        <f>_xlfn.XLOOKUP(Table1[[#This Row],[Customer_ID]],Customer_Dim!$A$2:$A$501,Customer_Dim!$E$2:$E$501)</f>
        <v>West Pamelafurt</v>
      </c>
      <c r="H1230" t="s">
        <v>40</v>
      </c>
      <c r="I1230" t="str">
        <f>VLOOKUP(Table1[[#This Row],[Product_ID]],Product_Dim!$A$2:$G$101,2,FALSE)</f>
        <v>Men's Leather Belt-Clothing</v>
      </c>
      <c r="J1230" t="s">
        <v>1533</v>
      </c>
      <c r="K1230" t="str">
        <f>VLOOKUP(Table1[[#This Row],[Store_ID]],Store_Dim!$A$3:$D$22,2,FALSE)</f>
        <v>Mcdonald Inc-South</v>
      </c>
      <c r="L1230" t="s">
        <v>1754</v>
      </c>
      <c r="M1230" t="s">
        <v>3957</v>
      </c>
      <c r="N1230" s="3">
        <v>38.880000000000003</v>
      </c>
      <c r="O1230" s="4">
        <v>0.16</v>
      </c>
      <c r="P1230" t="s">
        <v>1777</v>
      </c>
      <c r="Q1230" s="4">
        <v>32.659199999999998</v>
      </c>
    </row>
    <row r="1231" spans="1:17" x14ac:dyDescent="0.3">
      <c r="A1231" t="s">
        <v>3003</v>
      </c>
      <c r="B1231" t="str">
        <f t="shared" si="19"/>
        <v>Q2</v>
      </c>
      <c r="C1231" t="str">
        <f>TEXT(Table1[[#This Row],[Order_Date]],"mmmm")</f>
        <v>June</v>
      </c>
      <c r="D1231">
        <f>YEAR(Table1[[#This Row],[Order_Date]])</f>
        <v>2025</v>
      </c>
      <c r="E1231" s="7">
        <v>45823</v>
      </c>
      <c r="F1231" s="2" t="str">
        <f>VLOOKUP(Table1[[#This Row],[Customer_ID]],Customer_Dim!$A$2:$H$501,2,FALSE)</f>
        <v>Cody Blake</v>
      </c>
      <c r="G1231" s="2" t="str">
        <f>_xlfn.XLOOKUP(Table1[[#This Row],[Customer_ID]],Customer_Dim!$A$2:$A$501,Customer_Dim!$E$2:$E$501)</f>
        <v>North Scottport</v>
      </c>
      <c r="H1231" t="s">
        <v>281</v>
      </c>
      <c r="I1231" t="str">
        <f>VLOOKUP(Table1[[#This Row],[Product_ID]],Product_Dim!$A$2:$G$101,2,FALSE)</f>
        <v>Beard Grooming Kit-Beauty</v>
      </c>
      <c r="J1231" t="s">
        <v>1555</v>
      </c>
      <c r="K1231" t="str">
        <f>VLOOKUP(Table1[[#This Row],[Store_ID]],Store_Dim!$A$3:$D$22,2,FALSE)</f>
        <v>Holloway Ltd-North</v>
      </c>
      <c r="L1231" t="s">
        <v>1759</v>
      </c>
      <c r="M1231" t="s">
        <v>3958</v>
      </c>
      <c r="N1231" s="3">
        <v>484.39</v>
      </c>
      <c r="O1231" s="4">
        <v>0.28999999999999998</v>
      </c>
      <c r="P1231" t="s">
        <v>1777</v>
      </c>
      <c r="Q1231" s="4">
        <v>1031.7507000000001</v>
      </c>
    </row>
    <row r="1232" spans="1:17" x14ac:dyDescent="0.3">
      <c r="A1232" t="s">
        <v>3004</v>
      </c>
      <c r="B1232" t="str">
        <f t="shared" si="19"/>
        <v>Q4</v>
      </c>
      <c r="C1232" t="str">
        <f>TEXT(Table1[[#This Row],[Order_Date]],"mmmm")</f>
        <v>October</v>
      </c>
      <c r="D1232">
        <f>YEAR(Table1[[#This Row],[Order_Date]])</f>
        <v>2024</v>
      </c>
      <c r="E1232" s="7">
        <v>45572</v>
      </c>
      <c r="F1232" s="2" t="str">
        <f>VLOOKUP(Table1[[#This Row],[Customer_ID]],Customer_Dim!$A$2:$H$501,2,FALSE)</f>
        <v>Rhonda Moss</v>
      </c>
      <c r="G1232" s="2" t="str">
        <f>_xlfn.XLOOKUP(Table1[[#This Row],[Customer_ID]],Customer_Dim!$A$2:$A$501,Customer_Dim!$E$2:$E$501)</f>
        <v>South William</v>
      </c>
      <c r="H1232" t="s">
        <v>82</v>
      </c>
      <c r="I1232" t="str">
        <f>VLOOKUP(Table1[[#This Row],[Product_ID]],Product_Dim!$A$2:$G$101,2,FALSE)</f>
        <v>Wall-Mounted Spice Rack-Home</v>
      </c>
      <c r="J1232" t="s">
        <v>1683</v>
      </c>
      <c r="K1232" t="str">
        <f>VLOOKUP(Table1[[#This Row],[Store_ID]],Store_Dim!$A$3:$D$22,2,FALSE)</f>
        <v>Shelton PLC-North</v>
      </c>
      <c r="L1232" t="s">
        <v>1755</v>
      </c>
      <c r="M1232" t="s">
        <v>3960</v>
      </c>
      <c r="N1232" s="3">
        <v>949.3</v>
      </c>
      <c r="O1232" s="4">
        <v>0.08</v>
      </c>
      <c r="P1232" t="s">
        <v>1777</v>
      </c>
      <c r="Q1232" s="4">
        <v>1746.712</v>
      </c>
    </row>
    <row r="1233" spans="1:17" x14ac:dyDescent="0.3">
      <c r="A1233" t="s">
        <v>3005</v>
      </c>
      <c r="B1233" t="str">
        <f t="shared" si="19"/>
        <v>Q4</v>
      </c>
      <c r="C1233" t="str">
        <f>TEXT(Table1[[#This Row],[Order_Date]],"mmmm")</f>
        <v>November</v>
      </c>
      <c r="D1233">
        <f>YEAR(Table1[[#This Row],[Order_Date]])</f>
        <v>2023</v>
      </c>
      <c r="E1233" s="7">
        <v>45259</v>
      </c>
      <c r="F1233" s="2" t="str">
        <f>VLOOKUP(Table1[[#This Row],[Customer_ID]],Customer_Dim!$A$2:$H$501,2,FALSE)</f>
        <v>Thomas Moore</v>
      </c>
      <c r="G1233" s="2" t="str">
        <f>_xlfn.XLOOKUP(Table1[[#This Row],[Customer_ID]],Customer_Dim!$A$2:$A$501,Customer_Dim!$E$2:$E$501)</f>
        <v>Williamsberg</v>
      </c>
      <c r="H1233" t="s">
        <v>1327</v>
      </c>
      <c r="I1233" t="str">
        <f>VLOOKUP(Table1[[#This Row],[Product_ID]],Product_Dim!$A$2:$G$101,2,FALSE)</f>
        <v>Hair Repair Oil Treatment-Beauty</v>
      </c>
      <c r="J1233" t="s">
        <v>1665</v>
      </c>
      <c r="K1233" t="str">
        <f>VLOOKUP(Table1[[#This Row],[Store_ID]],Store_Dim!$A$3:$D$22,2,FALSE)</f>
        <v>Benson-Elliott-East</v>
      </c>
      <c r="L1233" t="s">
        <v>1740</v>
      </c>
      <c r="M1233" t="s">
        <v>3958</v>
      </c>
      <c r="N1233" s="3">
        <v>664.75</v>
      </c>
      <c r="O1233" s="4">
        <v>0.12</v>
      </c>
      <c r="P1233" t="s">
        <v>1772</v>
      </c>
      <c r="Q1233" s="4">
        <v>1754.94</v>
      </c>
    </row>
    <row r="1234" spans="1:17" x14ac:dyDescent="0.3">
      <c r="A1234" t="s">
        <v>3006</v>
      </c>
      <c r="B1234" t="str">
        <f t="shared" si="19"/>
        <v>Q1</v>
      </c>
      <c r="C1234" t="str">
        <f>TEXT(Table1[[#This Row],[Order_Date]],"mmmm")</f>
        <v>March</v>
      </c>
      <c r="D1234">
        <f>YEAR(Table1[[#This Row],[Order_Date]])</f>
        <v>2025</v>
      </c>
      <c r="E1234" s="7">
        <v>45740</v>
      </c>
      <c r="F1234" s="2" t="str">
        <f>VLOOKUP(Table1[[#This Row],[Customer_ID]],Customer_Dim!$A$2:$H$501,2,FALSE)</f>
        <v>Kristi Lopez</v>
      </c>
      <c r="G1234" s="2" t="str">
        <f>_xlfn.XLOOKUP(Table1[[#This Row],[Customer_ID]],Customer_Dim!$A$2:$A$501,Customer_Dim!$E$2:$E$501)</f>
        <v>Spencermouth</v>
      </c>
      <c r="H1234" t="s">
        <v>888</v>
      </c>
      <c r="I1234" t="str">
        <f>VLOOKUP(Table1[[#This Row],[Product_ID]],Product_Dim!$A$2:$G$101,2,FALSE)</f>
        <v>Kitchen Storage Rack-Home</v>
      </c>
      <c r="J1234" t="s">
        <v>1663</v>
      </c>
      <c r="K1234" t="str">
        <f>VLOOKUP(Table1[[#This Row],[Store_ID]],Store_Dim!$A$3:$D$22,2,FALSE)</f>
        <v>Holloway Ltd-North</v>
      </c>
      <c r="L1234" t="s">
        <v>1759</v>
      </c>
      <c r="M1234" t="s">
        <v>3958</v>
      </c>
      <c r="N1234" s="3">
        <v>190.04</v>
      </c>
      <c r="O1234" s="4">
        <v>7.0000000000000007E-2</v>
      </c>
      <c r="P1234" t="s">
        <v>1774</v>
      </c>
      <c r="Q1234" s="4">
        <v>530.21159999999998</v>
      </c>
    </row>
    <row r="1235" spans="1:17" x14ac:dyDescent="0.3">
      <c r="A1235" t="s">
        <v>3007</v>
      </c>
      <c r="B1235" t="str">
        <f t="shared" si="19"/>
        <v>Q3</v>
      </c>
      <c r="C1235" t="str">
        <f>TEXT(Table1[[#This Row],[Order_Date]],"mmmm")</f>
        <v>July</v>
      </c>
      <c r="D1235">
        <f>YEAR(Table1[[#This Row],[Order_Date]])</f>
        <v>2025</v>
      </c>
      <c r="E1235" s="7">
        <v>45869</v>
      </c>
      <c r="F1235" s="2" t="str">
        <f>VLOOKUP(Table1[[#This Row],[Customer_ID]],Customer_Dim!$A$2:$H$501,2,FALSE)</f>
        <v>Jeffrey Gomez</v>
      </c>
      <c r="G1235" s="2" t="str">
        <f>_xlfn.XLOOKUP(Table1[[#This Row],[Customer_ID]],Customer_Dim!$A$2:$A$501,Customer_Dim!$E$2:$E$501)</f>
        <v>Lake Nicole</v>
      </c>
      <c r="H1235" t="s">
        <v>873</v>
      </c>
      <c r="I1235" t="str">
        <f>VLOOKUP(Table1[[#This Row],[Product_ID]],Product_Dim!$A$2:$G$101,2,FALSE)</f>
        <v>LED Table Lamp-Home</v>
      </c>
      <c r="J1235" t="s">
        <v>1537</v>
      </c>
      <c r="K1235" t="str">
        <f>VLOOKUP(Table1[[#This Row],[Store_ID]],Store_Dim!$A$3:$D$22,2,FALSE)</f>
        <v>Shelton PLC-North</v>
      </c>
      <c r="L1235" t="s">
        <v>1755</v>
      </c>
      <c r="M1235" t="s">
        <v>3958</v>
      </c>
      <c r="N1235" s="3">
        <v>754.02</v>
      </c>
      <c r="O1235" s="4">
        <v>0.1</v>
      </c>
      <c r="P1235" t="s">
        <v>1777</v>
      </c>
      <c r="Q1235" s="4">
        <v>2035.854</v>
      </c>
    </row>
    <row r="1236" spans="1:17" x14ac:dyDescent="0.3">
      <c r="A1236" t="s">
        <v>3008</v>
      </c>
      <c r="B1236" t="str">
        <f t="shared" si="19"/>
        <v>Q3</v>
      </c>
      <c r="C1236" t="str">
        <f>TEXT(Table1[[#This Row],[Order_Date]],"mmmm")</f>
        <v>August</v>
      </c>
      <c r="D1236">
        <f>YEAR(Table1[[#This Row],[Order_Date]])</f>
        <v>2024</v>
      </c>
      <c r="E1236" s="7">
        <v>45526</v>
      </c>
      <c r="F1236" s="2" t="str">
        <f>VLOOKUP(Table1[[#This Row],[Customer_ID]],Customer_Dim!$A$2:$H$501,2,FALSE)</f>
        <v>Andrew Mason</v>
      </c>
      <c r="G1236" s="2" t="str">
        <f>_xlfn.XLOOKUP(Table1[[#This Row],[Customer_ID]],Customer_Dim!$A$2:$A$501,Customer_Dim!$E$2:$E$501)</f>
        <v>North Michael</v>
      </c>
      <c r="H1236" t="s">
        <v>1186</v>
      </c>
      <c r="I1236" t="str">
        <f>VLOOKUP(Table1[[#This Row],[Product_ID]],Product_Dim!$A$2:$G$101,2,FALSE)</f>
        <v>Gaming Mechanical Keyboard-Electronics</v>
      </c>
      <c r="J1236" t="s">
        <v>1591</v>
      </c>
      <c r="K1236" t="str">
        <f>VLOOKUP(Table1[[#This Row],[Store_ID]],Store_Dim!$A$3:$D$22,2,FALSE)</f>
        <v>Thomas, Bridges and Harris-North</v>
      </c>
      <c r="L1236" t="s">
        <v>1751</v>
      </c>
      <c r="M1236" t="s">
        <v>3959</v>
      </c>
      <c r="N1236" s="3">
        <v>94.13</v>
      </c>
      <c r="O1236" s="4">
        <v>0.04</v>
      </c>
      <c r="P1236" t="s">
        <v>1777</v>
      </c>
      <c r="Q1236" s="4">
        <v>361.45920000000001</v>
      </c>
    </row>
    <row r="1237" spans="1:17" x14ac:dyDescent="0.3">
      <c r="A1237" t="s">
        <v>3009</v>
      </c>
      <c r="B1237" t="str">
        <f t="shared" si="19"/>
        <v>Q3</v>
      </c>
      <c r="C1237" t="str">
        <f>TEXT(Table1[[#This Row],[Order_Date]],"mmmm")</f>
        <v>July</v>
      </c>
      <c r="D1237">
        <f>YEAR(Table1[[#This Row],[Order_Date]])</f>
        <v>2024</v>
      </c>
      <c r="E1237" s="7">
        <v>45489</v>
      </c>
      <c r="F1237" s="2" t="str">
        <f>VLOOKUP(Table1[[#This Row],[Customer_ID]],Customer_Dim!$A$2:$H$501,2,FALSE)</f>
        <v>Gregory Curtis</v>
      </c>
      <c r="G1237" s="2" t="str">
        <f>_xlfn.XLOOKUP(Table1[[#This Row],[Customer_ID]],Customer_Dim!$A$2:$A$501,Customer_Dim!$E$2:$E$501)</f>
        <v>Bergermouth</v>
      </c>
      <c r="H1237" t="s">
        <v>1427</v>
      </c>
      <c r="I1237" t="str">
        <f>VLOOKUP(Table1[[#This Row],[Product_ID]],Product_Dim!$A$2:$G$101,2,FALSE)</f>
        <v>Men's Graphic T-Shirt-Clothing</v>
      </c>
      <c r="J1237" t="s">
        <v>1525</v>
      </c>
      <c r="K1237" t="str">
        <f>VLOOKUP(Table1[[#This Row],[Store_ID]],Store_Dim!$A$3:$D$22,2,FALSE)</f>
        <v>Shelton PLC-North</v>
      </c>
      <c r="L1237" t="s">
        <v>1755</v>
      </c>
      <c r="M1237" t="s">
        <v>3958</v>
      </c>
      <c r="N1237" s="3">
        <v>402.3</v>
      </c>
      <c r="O1237" s="4">
        <v>0.21</v>
      </c>
      <c r="P1237" t="s">
        <v>1774</v>
      </c>
      <c r="Q1237" s="4">
        <v>953.45100000000014</v>
      </c>
    </row>
    <row r="1238" spans="1:17" x14ac:dyDescent="0.3">
      <c r="A1238" t="s">
        <v>3010</v>
      </c>
      <c r="B1238" t="str">
        <f t="shared" si="19"/>
        <v>Q3</v>
      </c>
      <c r="C1238" t="str">
        <f>TEXT(Table1[[#This Row],[Order_Date]],"mmmm")</f>
        <v>September</v>
      </c>
      <c r="D1238">
        <f>YEAR(Table1[[#This Row],[Order_Date]])</f>
        <v>2025</v>
      </c>
      <c r="E1238" s="7">
        <v>45908</v>
      </c>
      <c r="F1238" s="2" t="str">
        <f>VLOOKUP(Table1[[#This Row],[Customer_ID]],Customer_Dim!$A$2:$H$501,2,FALSE)</f>
        <v>Maria Hill</v>
      </c>
      <c r="G1238" s="2" t="str">
        <f>_xlfn.XLOOKUP(Table1[[#This Row],[Customer_ID]],Customer_Dim!$A$2:$A$501,Customer_Dim!$E$2:$E$501)</f>
        <v>Zamoraborough</v>
      </c>
      <c r="H1238" t="s">
        <v>761</v>
      </c>
      <c r="I1238" t="str">
        <f>VLOOKUP(Table1[[#This Row],[Product_ID]],Product_Dim!$A$2:$G$101,2,FALSE)</f>
        <v>Kitchen Cutting Board-Home</v>
      </c>
      <c r="J1238" t="s">
        <v>1695</v>
      </c>
      <c r="K1238" t="str">
        <f>VLOOKUP(Table1[[#This Row],[Store_ID]],Store_Dim!$A$3:$D$22,2,FALSE)</f>
        <v>Martinez-Mullins-South</v>
      </c>
      <c r="L1238" t="s">
        <v>1742</v>
      </c>
      <c r="M1238" t="s">
        <v>3957</v>
      </c>
      <c r="N1238" s="3">
        <v>729.05</v>
      </c>
      <c r="O1238" s="4">
        <v>0.06</v>
      </c>
      <c r="P1238" t="s">
        <v>1777</v>
      </c>
      <c r="Q1238" s="4">
        <v>685.3069999999999</v>
      </c>
    </row>
    <row r="1239" spans="1:17" x14ac:dyDescent="0.3">
      <c r="A1239" t="s">
        <v>3011</v>
      </c>
      <c r="B1239" t="str">
        <f t="shared" si="19"/>
        <v>Q3</v>
      </c>
      <c r="C1239" t="str">
        <f>TEXT(Table1[[#This Row],[Order_Date]],"mmmm")</f>
        <v>September</v>
      </c>
      <c r="D1239">
        <f>YEAR(Table1[[#This Row],[Order_Date]])</f>
        <v>2025</v>
      </c>
      <c r="E1239" s="7">
        <v>45912</v>
      </c>
      <c r="F1239" s="2" t="str">
        <f>VLOOKUP(Table1[[#This Row],[Customer_ID]],Customer_Dim!$A$2:$H$501,2,FALSE)</f>
        <v>Morgan Bowen</v>
      </c>
      <c r="G1239" s="2" t="str">
        <f>_xlfn.XLOOKUP(Table1[[#This Row],[Customer_ID]],Customer_Dim!$A$2:$A$501,Customer_Dim!$E$2:$E$501)</f>
        <v>Parksfort</v>
      </c>
      <c r="H1239" t="s">
        <v>453</v>
      </c>
      <c r="I1239" t="str">
        <f>VLOOKUP(Table1[[#This Row],[Product_ID]],Product_Dim!$A$2:$G$101,2,FALSE)</f>
        <v>Gaming Mouse Pad XL-Electronics</v>
      </c>
      <c r="J1239" t="s">
        <v>1703</v>
      </c>
      <c r="K1239" t="str">
        <f>VLOOKUP(Table1[[#This Row],[Store_ID]],Store_Dim!$A$3:$D$22,2,FALSE)</f>
        <v>Gardner, Humphrey and Contreras-East</v>
      </c>
      <c r="L1239" t="s">
        <v>1753</v>
      </c>
      <c r="M1239" t="s">
        <v>3957</v>
      </c>
      <c r="N1239" s="3">
        <v>822.6</v>
      </c>
      <c r="O1239" s="4">
        <v>0.28999999999999998</v>
      </c>
      <c r="P1239" t="s">
        <v>1774</v>
      </c>
      <c r="Q1239" s="4">
        <v>584.04599999999994</v>
      </c>
    </row>
    <row r="1240" spans="1:17" x14ac:dyDescent="0.3">
      <c r="A1240" t="s">
        <v>3012</v>
      </c>
      <c r="B1240" t="str">
        <f t="shared" si="19"/>
        <v>Q2</v>
      </c>
      <c r="C1240" t="str">
        <f>TEXT(Table1[[#This Row],[Order_Date]],"mmmm")</f>
        <v>April</v>
      </c>
      <c r="D1240">
        <f>YEAR(Table1[[#This Row],[Order_Date]])</f>
        <v>2025</v>
      </c>
      <c r="E1240" s="7">
        <v>45771</v>
      </c>
      <c r="F1240" s="2" t="str">
        <f>VLOOKUP(Table1[[#This Row],[Customer_ID]],Customer_Dim!$A$2:$H$501,2,FALSE)</f>
        <v>David Roberts</v>
      </c>
      <c r="G1240" s="2" t="str">
        <f>_xlfn.XLOOKUP(Table1[[#This Row],[Customer_ID]],Customer_Dim!$A$2:$A$501,Customer_Dim!$E$2:$E$501)</f>
        <v>Port Amanda</v>
      </c>
      <c r="H1240" t="s">
        <v>628</v>
      </c>
      <c r="I1240" t="str">
        <f>VLOOKUP(Table1[[#This Row],[Product_ID]],Product_Dim!$A$2:$G$101,2,FALSE)</f>
        <v>Hydrating Face Cleanser-Beauty</v>
      </c>
      <c r="J1240" t="s">
        <v>1689</v>
      </c>
      <c r="K1240" t="str">
        <f>VLOOKUP(Table1[[#This Row],[Store_ID]],Store_Dim!$A$3:$D$22,2,FALSE)</f>
        <v>Bean, Jones and Park-West</v>
      </c>
      <c r="L1240" t="s">
        <v>1744</v>
      </c>
      <c r="M1240" t="s">
        <v>3960</v>
      </c>
      <c r="N1240" s="3">
        <v>327.25</v>
      </c>
      <c r="O1240" s="4">
        <v>0.19</v>
      </c>
      <c r="P1240" t="s">
        <v>1774</v>
      </c>
      <c r="Q1240" s="4">
        <v>530.14499999999998</v>
      </c>
    </row>
    <row r="1241" spans="1:17" x14ac:dyDescent="0.3">
      <c r="A1241" t="s">
        <v>3013</v>
      </c>
      <c r="B1241" t="str">
        <f t="shared" si="19"/>
        <v>Q4</v>
      </c>
      <c r="C1241" t="str">
        <f>TEXT(Table1[[#This Row],[Order_Date]],"mmmm")</f>
        <v>November</v>
      </c>
      <c r="D1241">
        <f>YEAR(Table1[[#This Row],[Order_Date]])</f>
        <v>2024</v>
      </c>
      <c r="E1241" s="7">
        <v>45619</v>
      </c>
      <c r="F1241" s="2" t="str">
        <f>VLOOKUP(Table1[[#This Row],[Customer_ID]],Customer_Dim!$A$2:$H$501,2,FALSE)</f>
        <v>Christy Hoffman</v>
      </c>
      <c r="G1241" s="2" t="str">
        <f>_xlfn.XLOOKUP(Table1[[#This Row],[Customer_ID]],Customer_Dim!$A$2:$A$501,Customer_Dim!$E$2:$E$501)</f>
        <v>Garyberg</v>
      </c>
      <c r="H1241" t="s">
        <v>301</v>
      </c>
      <c r="I1241" t="str">
        <f>VLOOKUP(Table1[[#This Row],[Product_ID]],Product_Dim!$A$2:$G$101,2,FALSE)</f>
        <v>Kitchen Storage Rack-Home</v>
      </c>
      <c r="J1241" t="s">
        <v>1663</v>
      </c>
      <c r="K1241" t="str">
        <f>VLOOKUP(Table1[[#This Row],[Store_ID]],Store_Dim!$A$3:$D$22,2,FALSE)</f>
        <v>Moore, Padilla and Butler-South</v>
      </c>
      <c r="L1241" t="s">
        <v>1746</v>
      </c>
      <c r="M1241" t="s">
        <v>3959</v>
      </c>
      <c r="N1241" s="3">
        <v>930.38</v>
      </c>
      <c r="O1241" s="4">
        <v>0.15336010709504694</v>
      </c>
      <c r="P1241" t="s">
        <v>1777</v>
      </c>
      <c r="Q1241" s="4">
        <v>3721.52</v>
      </c>
    </row>
    <row r="1242" spans="1:17" x14ac:dyDescent="0.3">
      <c r="A1242" t="s">
        <v>3014</v>
      </c>
      <c r="B1242" t="str">
        <f t="shared" si="19"/>
        <v>Q2</v>
      </c>
      <c r="C1242" t="str">
        <f>TEXT(Table1[[#This Row],[Order_Date]],"mmmm")</f>
        <v>April</v>
      </c>
      <c r="D1242">
        <f>YEAR(Table1[[#This Row],[Order_Date]])</f>
        <v>2024</v>
      </c>
      <c r="E1242" s="7">
        <v>45394</v>
      </c>
      <c r="F1242" s="2" t="str">
        <f>VLOOKUP(Table1[[#This Row],[Customer_ID]],Customer_Dim!$A$2:$H$501,2,FALSE)</f>
        <v>Justin Cross</v>
      </c>
      <c r="G1242" s="2" t="str">
        <f>_xlfn.XLOOKUP(Table1[[#This Row],[Customer_ID]],Customer_Dim!$A$2:$A$501,Customer_Dim!$E$2:$E$501)</f>
        <v>North Anthonychester</v>
      </c>
      <c r="H1242" t="s">
        <v>482</v>
      </c>
      <c r="I1242" t="str">
        <f>VLOOKUP(Table1[[#This Row],[Product_ID]],Product_Dim!$A$2:$G$101,2,FALSE)</f>
        <v>Decorative Floor Vase-Home</v>
      </c>
      <c r="J1242" t="s">
        <v>1577</v>
      </c>
      <c r="K1242" t="str">
        <f>VLOOKUP(Table1[[#This Row],[Store_ID]],Store_Dim!$A$3:$D$22,2,FALSE)</f>
        <v>Gray Ltd-North</v>
      </c>
      <c r="L1242" t="s">
        <v>1738</v>
      </c>
      <c r="M1242" t="s">
        <v>3960</v>
      </c>
      <c r="N1242" s="3">
        <v>437.84</v>
      </c>
      <c r="O1242" s="4">
        <v>0.24</v>
      </c>
      <c r="P1242" t="s">
        <v>1772</v>
      </c>
      <c r="Q1242" s="4">
        <v>665.51679999999999</v>
      </c>
    </row>
    <row r="1243" spans="1:17" x14ac:dyDescent="0.3">
      <c r="A1243" t="s">
        <v>3015</v>
      </c>
      <c r="B1243" t="str">
        <f t="shared" si="19"/>
        <v>Q2</v>
      </c>
      <c r="C1243" t="str">
        <f>TEXT(Table1[[#This Row],[Order_Date]],"mmmm")</f>
        <v>May</v>
      </c>
      <c r="D1243">
        <f>YEAR(Table1[[#This Row],[Order_Date]])</f>
        <v>2025</v>
      </c>
      <c r="E1243" s="7">
        <v>45786</v>
      </c>
      <c r="F1243" s="2" t="str">
        <f>VLOOKUP(Table1[[#This Row],[Customer_ID]],Customer_Dim!$A$2:$H$501,2,FALSE)</f>
        <v>Eric Singh</v>
      </c>
      <c r="G1243" s="2" t="str">
        <f>_xlfn.XLOOKUP(Table1[[#This Row],[Customer_ID]],Customer_Dim!$A$2:$A$501,Customer_Dim!$E$2:$E$501)</f>
        <v>Port Lisa</v>
      </c>
      <c r="H1243" t="s">
        <v>255</v>
      </c>
      <c r="I1243" t="str">
        <f>VLOOKUP(Table1[[#This Row],[Product_ID]],Product_Dim!$A$2:$G$101,2,FALSE)</f>
        <v>Beard Grooming Kit-Beauty</v>
      </c>
      <c r="J1243" t="s">
        <v>1555</v>
      </c>
      <c r="K1243" t="str">
        <f>VLOOKUP(Table1[[#This Row],[Store_ID]],Store_Dim!$A$3:$D$22,2,FALSE)</f>
        <v>Frederick-Wright-West</v>
      </c>
      <c r="L1243" t="s">
        <v>1757</v>
      </c>
      <c r="M1243" t="s">
        <v>3960</v>
      </c>
      <c r="N1243" s="3">
        <v>126.02</v>
      </c>
      <c r="O1243" s="4">
        <v>0.09</v>
      </c>
      <c r="P1243" t="s">
        <v>1777</v>
      </c>
      <c r="Q1243" s="4">
        <v>229.35640000000001</v>
      </c>
    </row>
    <row r="1244" spans="1:17" x14ac:dyDescent="0.3">
      <c r="A1244" t="s">
        <v>3016</v>
      </c>
      <c r="B1244" t="str">
        <f t="shared" si="19"/>
        <v>Q1</v>
      </c>
      <c r="C1244" t="str">
        <f>TEXT(Table1[[#This Row],[Order_Date]],"mmmm")</f>
        <v>February</v>
      </c>
      <c r="D1244">
        <f>YEAR(Table1[[#This Row],[Order_Date]])</f>
        <v>2025</v>
      </c>
      <c r="E1244" s="7">
        <v>45692</v>
      </c>
      <c r="F1244" s="2" t="str">
        <f>VLOOKUP(Table1[[#This Row],[Customer_ID]],Customer_Dim!$A$2:$H$501,2,FALSE)</f>
        <v>Melinda Rivera</v>
      </c>
      <c r="G1244" s="2" t="str">
        <f>_xlfn.XLOOKUP(Table1[[#This Row],[Customer_ID]],Customer_Dim!$A$2:$A$501,Customer_Dim!$E$2:$E$501)</f>
        <v>East Davidmouth</v>
      </c>
      <c r="H1244" t="s">
        <v>1339</v>
      </c>
      <c r="I1244" t="str">
        <f>VLOOKUP(Table1[[#This Row],[Product_ID]],Product_Dim!$A$2:$G$101,2,FALSE)</f>
        <v>Hydrating Face Cleanser-Beauty</v>
      </c>
      <c r="J1244" t="s">
        <v>1689</v>
      </c>
      <c r="K1244" t="str">
        <f>VLOOKUP(Table1[[#This Row],[Store_ID]],Store_Dim!$A$3:$D$22,2,FALSE)</f>
        <v>Shelton PLC-North</v>
      </c>
      <c r="L1244" t="s">
        <v>1755</v>
      </c>
      <c r="M1244" t="s">
        <v>3957</v>
      </c>
      <c r="N1244" s="3">
        <v>860.84</v>
      </c>
      <c r="O1244" s="4">
        <v>7.0000000000000007E-2</v>
      </c>
      <c r="P1244" t="s">
        <v>1774</v>
      </c>
      <c r="Q1244" s="4">
        <v>800.58119999999997</v>
      </c>
    </row>
    <row r="1245" spans="1:17" x14ac:dyDescent="0.3">
      <c r="A1245" t="s">
        <v>3017</v>
      </c>
      <c r="B1245" t="str">
        <f t="shared" si="19"/>
        <v>Q1</v>
      </c>
      <c r="C1245" t="str">
        <f>TEXT(Table1[[#This Row],[Order_Date]],"mmmm")</f>
        <v>January</v>
      </c>
      <c r="D1245">
        <f>YEAR(Table1[[#This Row],[Order_Date]])</f>
        <v>2025</v>
      </c>
      <c r="E1245" s="7">
        <v>45677</v>
      </c>
      <c r="F1245" s="2" t="str">
        <f>VLOOKUP(Table1[[#This Row],[Customer_ID]],Customer_Dim!$A$2:$H$501,2,FALSE)</f>
        <v>Christy Vasquez</v>
      </c>
      <c r="G1245" s="2" t="str">
        <f>_xlfn.XLOOKUP(Table1[[#This Row],[Customer_ID]],Customer_Dim!$A$2:$A$501,Customer_Dim!$E$2:$E$501)</f>
        <v>Port Travisstad</v>
      </c>
      <c r="H1245" t="s">
        <v>330</v>
      </c>
      <c r="I1245" t="str">
        <f>VLOOKUP(Table1[[#This Row],[Product_ID]],Product_Dim!$A$2:$G$101,2,FALSE)</f>
        <v>Car Dashboard Phone Holder-Electronics</v>
      </c>
      <c r="J1245" t="s">
        <v>1619</v>
      </c>
      <c r="K1245" t="str">
        <f>VLOOKUP(Table1[[#This Row],[Store_ID]],Store_Dim!$A$3:$D$22,2,FALSE)</f>
        <v>Gardner, Humphrey and Contreras-East</v>
      </c>
      <c r="L1245" t="s">
        <v>1753</v>
      </c>
      <c r="M1245" t="s">
        <v>3957</v>
      </c>
      <c r="N1245" s="3">
        <v>161.80000000000001</v>
      </c>
      <c r="O1245" s="4">
        <v>0.24</v>
      </c>
      <c r="P1245" t="s">
        <v>1774</v>
      </c>
      <c r="Q1245" s="4">
        <v>122.968</v>
      </c>
    </row>
    <row r="1246" spans="1:17" x14ac:dyDescent="0.3">
      <c r="A1246" t="s">
        <v>3018</v>
      </c>
      <c r="B1246" t="str">
        <f t="shared" si="19"/>
        <v>Q1</v>
      </c>
      <c r="C1246" t="str">
        <f>TEXT(Table1[[#This Row],[Order_Date]],"mmmm")</f>
        <v>January</v>
      </c>
      <c r="D1246">
        <f>YEAR(Table1[[#This Row],[Order_Date]])</f>
        <v>2025</v>
      </c>
      <c r="E1246" s="7">
        <v>45669</v>
      </c>
      <c r="F1246" s="2" t="str">
        <f>VLOOKUP(Table1[[#This Row],[Customer_ID]],Customer_Dim!$A$2:$H$501,2,FALSE)</f>
        <v>Tammy Brennan</v>
      </c>
      <c r="G1246" s="2" t="str">
        <f>_xlfn.XLOOKUP(Table1[[#This Row],[Customer_ID]],Customer_Dim!$A$2:$A$501,Customer_Dim!$E$2:$E$501)</f>
        <v>Lake Brandontown</v>
      </c>
      <c r="H1246" t="s">
        <v>1189</v>
      </c>
      <c r="I1246" t="str">
        <f>VLOOKUP(Table1[[#This Row],[Product_ID]],Product_Dim!$A$2:$G$101,2,FALSE)</f>
        <v>Sports Water Hydration Pack-Sports</v>
      </c>
      <c r="J1246" t="s">
        <v>1599</v>
      </c>
      <c r="K1246" t="str">
        <f>VLOOKUP(Table1[[#This Row],[Store_ID]],Store_Dim!$A$3:$D$22,2,FALSE)</f>
        <v>Holloway Ltd-North</v>
      </c>
      <c r="L1246" t="s">
        <v>1759</v>
      </c>
      <c r="M1246" t="s">
        <v>3959</v>
      </c>
      <c r="N1246" s="3">
        <v>347.82</v>
      </c>
      <c r="O1246" s="4">
        <v>0.02</v>
      </c>
      <c r="P1246" t="s">
        <v>1777</v>
      </c>
      <c r="Q1246" s="4">
        <v>1363.4544000000001</v>
      </c>
    </row>
    <row r="1247" spans="1:17" x14ac:dyDescent="0.3">
      <c r="A1247" t="s">
        <v>3019</v>
      </c>
      <c r="B1247" t="str">
        <f t="shared" si="19"/>
        <v>Q1</v>
      </c>
      <c r="C1247" t="str">
        <f>TEXT(Table1[[#This Row],[Order_Date]],"mmmm")</f>
        <v>January</v>
      </c>
      <c r="D1247">
        <f>YEAR(Table1[[#This Row],[Order_Date]])</f>
        <v>2024</v>
      </c>
      <c r="E1247" s="7">
        <v>45299</v>
      </c>
      <c r="F1247" s="2" t="str">
        <f>VLOOKUP(Table1[[#This Row],[Customer_ID]],Customer_Dim!$A$2:$H$501,2,FALSE)</f>
        <v>April Phillips</v>
      </c>
      <c r="G1247" s="2" t="str">
        <f>_xlfn.XLOOKUP(Table1[[#This Row],[Customer_ID]],Customer_Dim!$A$2:$A$501,Customer_Dim!$E$2:$E$501)</f>
        <v>Lake Carolyn</v>
      </c>
      <c r="H1247" t="s">
        <v>1384</v>
      </c>
      <c r="I1247" t="str">
        <f>VLOOKUP(Table1[[#This Row],[Product_ID]],Product_Dim!$A$2:$G$101,2,FALSE)</f>
        <v>Women's Beanie Hat-Clothing</v>
      </c>
      <c r="J1247" t="s">
        <v>1693</v>
      </c>
      <c r="K1247" t="str">
        <f>VLOOKUP(Table1[[#This Row],[Store_ID]],Store_Dim!$A$3:$D$22,2,FALSE)</f>
        <v>Frederick-Wright-West</v>
      </c>
      <c r="L1247" t="s">
        <v>1757</v>
      </c>
      <c r="M1247" t="s">
        <v>3958</v>
      </c>
      <c r="N1247" s="3">
        <v>416.44</v>
      </c>
      <c r="O1247" s="4">
        <v>0.27</v>
      </c>
      <c r="P1247" t="s">
        <v>1772</v>
      </c>
      <c r="Q1247" s="4">
        <v>912.00359999999989</v>
      </c>
    </row>
    <row r="1248" spans="1:17" x14ac:dyDescent="0.3">
      <c r="A1248" t="s">
        <v>3020</v>
      </c>
      <c r="B1248" t="str">
        <f t="shared" si="19"/>
        <v>Q3</v>
      </c>
      <c r="C1248" t="str">
        <f>TEXT(Table1[[#This Row],[Order_Date]],"mmmm")</f>
        <v>August</v>
      </c>
      <c r="D1248">
        <f>YEAR(Table1[[#This Row],[Order_Date]])</f>
        <v>2025</v>
      </c>
      <c r="E1248" s="7">
        <v>45893</v>
      </c>
      <c r="F1248" s="2" t="str">
        <f>VLOOKUP(Table1[[#This Row],[Customer_ID]],Customer_Dim!$A$2:$H$501,2,FALSE)</f>
        <v>Christine Vaughn</v>
      </c>
      <c r="G1248" s="2" t="str">
        <f>_xlfn.XLOOKUP(Table1[[#This Row],[Customer_ID]],Customer_Dim!$A$2:$A$501,Customer_Dim!$E$2:$E$501)</f>
        <v>East Amandamouth</v>
      </c>
      <c r="H1248" t="s">
        <v>32</v>
      </c>
      <c r="I1248" t="str">
        <f>VLOOKUP(Table1[[#This Row],[Product_ID]],Product_Dim!$A$2:$G$101,2,FALSE)</f>
        <v>Laptop Cooling Pad-Electronics</v>
      </c>
      <c r="J1248" t="s">
        <v>1647</v>
      </c>
      <c r="K1248" t="str">
        <f>VLOOKUP(Table1[[#This Row],[Store_ID]],Store_Dim!$A$3:$D$22,2,FALSE)</f>
        <v>Rivera-Warner-East</v>
      </c>
      <c r="L1248" t="s">
        <v>1725</v>
      </c>
      <c r="M1248" t="s">
        <v>3957</v>
      </c>
      <c r="N1248" s="3">
        <v>147.96</v>
      </c>
      <c r="O1248" s="4">
        <v>0.24</v>
      </c>
      <c r="P1248" t="s">
        <v>1777</v>
      </c>
      <c r="Q1248" s="4">
        <v>112.4496</v>
      </c>
    </row>
    <row r="1249" spans="1:17" x14ac:dyDescent="0.3">
      <c r="A1249" t="s">
        <v>3021</v>
      </c>
      <c r="B1249" t="str">
        <f t="shared" si="19"/>
        <v>Q3</v>
      </c>
      <c r="C1249" t="str">
        <f>TEXT(Table1[[#This Row],[Order_Date]],"mmmm")</f>
        <v>September</v>
      </c>
      <c r="D1249">
        <f>YEAR(Table1[[#This Row],[Order_Date]])</f>
        <v>2024</v>
      </c>
      <c r="E1249" s="7">
        <v>45560</v>
      </c>
      <c r="F1249" s="2" t="str">
        <f>VLOOKUP(Table1[[#This Row],[Customer_ID]],Customer_Dim!$A$2:$H$501,2,FALSE)</f>
        <v>Gene Lee</v>
      </c>
      <c r="G1249" s="2" t="str">
        <f>_xlfn.XLOOKUP(Table1[[#This Row],[Customer_ID]],Customer_Dim!$A$2:$A$501,Customer_Dim!$E$2:$E$501)</f>
        <v>Mcfarlandmouth</v>
      </c>
      <c r="H1249" t="s">
        <v>1361</v>
      </c>
      <c r="I1249" t="str">
        <f>VLOOKUP(Table1[[#This Row],[Product_ID]],Product_Dim!$A$2:$G$101,2,FALSE)</f>
        <v>Women's Denim Jeans-Clothing</v>
      </c>
      <c r="J1249" t="s">
        <v>1559</v>
      </c>
      <c r="K1249" t="str">
        <f>VLOOKUP(Table1[[#This Row],[Store_ID]],Store_Dim!$A$3:$D$22,2,FALSE)</f>
        <v>Bean, Jones and Park-West</v>
      </c>
      <c r="L1249" t="s">
        <v>1744</v>
      </c>
      <c r="M1249" t="s">
        <v>3958</v>
      </c>
      <c r="N1249" s="3">
        <v>550.26</v>
      </c>
      <c r="O1249" s="4">
        <v>0.22</v>
      </c>
      <c r="P1249" t="s">
        <v>1772</v>
      </c>
      <c r="Q1249" s="4">
        <v>1287.6084000000001</v>
      </c>
    </row>
    <row r="1250" spans="1:17" x14ac:dyDescent="0.3">
      <c r="A1250" t="s">
        <v>3022</v>
      </c>
      <c r="B1250" t="str">
        <f t="shared" si="19"/>
        <v>Q4</v>
      </c>
      <c r="C1250" t="str">
        <f>TEXT(Table1[[#This Row],[Order_Date]],"mmmm")</f>
        <v>December</v>
      </c>
      <c r="D1250">
        <f>YEAR(Table1[[#This Row],[Order_Date]])</f>
        <v>2023</v>
      </c>
      <c r="E1250" s="7">
        <v>45267</v>
      </c>
      <c r="F1250" s="2" t="str">
        <f>VLOOKUP(Table1[[#This Row],[Customer_ID]],Customer_Dim!$A$2:$H$501,2,FALSE)</f>
        <v>Michael Garner</v>
      </c>
      <c r="G1250" s="2" t="str">
        <f>_xlfn.XLOOKUP(Table1[[#This Row],[Customer_ID]],Customer_Dim!$A$2:$A$501,Customer_Dim!$E$2:$E$501)</f>
        <v>Port Crystal</v>
      </c>
      <c r="H1250" t="s">
        <v>1147</v>
      </c>
      <c r="I1250" t="str">
        <f>VLOOKUP(Table1[[#This Row],[Product_ID]],Product_Dim!$A$2:$G$101,2,FALSE)</f>
        <v>Cricket Bat-Sports</v>
      </c>
      <c r="J1250" t="s">
        <v>1717</v>
      </c>
      <c r="K1250" t="str">
        <f>VLOOKUP(Table1[[#This Row],[Store_ID]],Store_Dim!$A$3:$D$22,2,FALSE)</f>
        <v>Martinez-Mullins-South</v>
      </c>
      <c r="L1250" t="s">
        <v>1742</v>
      </c>
      <c r="M1250" t="s">
        <v>3959</v>
      </c>
      <c r="N1250" s="3">
        <v>938.21</v>
      </c>
      <c r="O1250" s="4">
        <v>0.04</v>
      </c>
      <c r="P1250" t="s">
        <v>1774</v>
      </c>
      <c r="Q1250" s="4">
        <v>3602.7264</v>
      </c>
    </row>
    <row r="1251" spans="1:17" x14ac:dyDescent="0.3">
      <c r="A1251" t="s">
        <v>3023</v>
      </c>
      <c r="B1251" t="str">
        <f t="shared" si="19"/>
        <v>Q2</v>
      </c>
      <c r="C1251" t="str">
        <f>TEXT(Table1[[#This Row],[Order_Date]],"mmmm")</f>
        <v>June</v>
      </c>
      <c r="D1251">
        <f>YEAR(Table1[[#This Row],[Order_Date]])</f>
        <v>2024</v>
      </c>
      <c r="E1251" s="7">
        <v>45467</v>
      </c>
      <c r="F1251" s="2" t="str">
        <f>VLOOKUP(Table1[[#This Row],[Customer_ID]],Customer_Dim!$A$2:$H$501,2,FALSE)</f>
        <v>Morgan Bowen</v>
      </c>
      <c r="G1251" s="2" t="str">
        <f>_xlfn.XLOOKUP(Table1[[#This Row],[Customer_ID]],Customer_Dim!$A$2:$A$501,Customer_Dim!$E$2:$E$501)</f>
        <v>Parksfort</v>
      </c>
      <c r="H1251" t="s">
        <v>453</v>
      </c>
      <c r="I1251" t="str">
        <f>VLOOKUP(Table1[[#This Row],[Product_ID]],Product_Dim!$A$2:$G$101,2,FALSE)</f>
        <v>Vitamin E Body Lotion-Beauty</v>
      </c>
      <c r="J1251" t="s">
        <v>1711</v>
      </c>
      <c r="K1251" t="str">
        <f>VLOOKUP(Table1[[#This Row],[Store_ID]],Store_Dim!$A$3:$D$22,2,FALSE)</f>
        <v>Frederick-Wright-West</v>
      </c>
      <c r="L1251" t="s">
        <v>1757</v>
      </c>
      <c r="M1251" t="s">
        <v>3958</v>
      </c>
      <c r="N1251" s="3">
        <v>517.98</v>
      </c>
      <c r="O1251" s="4">
        <v>0.01</v>
      </c>
      <c r="P1251" t="s">
        <v>1774</v>
      </c>
      <c r="Q1251" s="4">
        <v>1538.4005999999999</v>
      </c>
    </row>
    <row r="1252" spans="1:17" x14ac:dyDescent="0.3">
      <c r="A1252" t="s">
        <v>3024</v>
      </c>
      <c r="B1252" t="str">
        <f t="shared" si="19"/>
        <v>Q3</v>
      </c>
      <c r="C1252" t="str">
        <f>TEXT(Table1[[#This Row],[Order_Date]],"mmmm")</f>
        <v>July</v>
      </c>
      <c r="D1252">
        <f>YEAR(Table1[[#This Row],[Order_Date]])</f>
        <v>2025</v>
      </c>
      <c r="E1252" s="7">
        <v>45847</v>
      </c>
      <c r="F1252" s="2" t="str">
        <f>VLOOKUP(Table1[[#This Row],[Customer_ID]],Customer_Dim!$A$2:$H$501,2,FALSE)</f>
        <v>Thomas Phillips</v>
      </c>
      <c r="G1252" s="2" t="str">
        <f>_xlfn.XLOOKUP(Table1[[#This Row],[Customer_ID]],Customer_Dim!$A$2:$A$501,Customer_Dim!$E$2:$E$501)</f>
        <v>Luisfurt</v>
      </c>
      <c r="H1252" t="s">
        <v>143</v>
      </c>
      <c r="I1252" t="str">
        <f>VLOOKUP(Table1[[#This Row],[Product_ID]],Product_Dim!$A$2:$G$101,2,FALSE)</f>
        <v>Herbal Face Moisturizer-Beauty</v>
      </c>
      <c r="J1252" t="s">
        <v>1535</v>
      </c>
      <c r="K1252" t="str">
        <f>VLOOKUP(Table1[[#This Row],[Store_ID]],Store_Dim!$A$3:$D$22,2,FALSE)</f>
        <v>Bean, Jones and Park-West</v>
      </c>
      <c r="L1252" t="s">
        <v>1744</v>
      </c>
      <c r="M1252" t="s">
        <v>3957</v>
      </c>
      <c r="N1252" s="3">
        <v>98.27</v>
      </c>
      <c r="O1252" s="4">
        <v>0.16</v>
      </c>
      <c r="P1252" t="s">
        <v>1774</v>
      </c>
      <c r="Q1252" s="4">
        <v>82.54679999999999</v>
      </c>
    </row>
    <row r="1253" spans="1:17" x14ac:dyDescent="0.3">
      <c r="A1253" t="s">
        <v>3025</v>
      </c>
      <c r="B1253" t="str">
        <f t="shared" si="19"/>
        <v>Q3</v>
      </c>
      <c r="C1253" t="str">
        <f>TEXT(Table1[[#This Row],[Order_Date]],"mmmm")</f>
        <v>July</v>
      </c>
      <c r="D1253">
        <f>YEAR(Table1[[#This Row],[Order_Date]])</f>
        <v>2024</v>
      </c>
      <c r="E1253" s="7">
        <v>45480</v>
      </c>
      <c r="F1253" s="2" t="str">
        <f>VLOOKUP(Table1[[#This Row],[Customer_ID]],Customer_Dim!$A$2:$H$501,2,FALSE)</f>
        <v>Tyler Garner</v>
      </c>
      <c r="G1253" s="2" t="str">
        <f>_xlfn.XLOOKUP(Table1[[#This Row],[Customer_ID]],Customer_Dim!$A$2:$A$501,Customer_Dim!$E$2:$E$501)</f>
        <v>Port Coreyfort</v>
      </c>
      <c r="H1253" t="s">
        <v>797</v>
      </c>
      <c r="I1253" t="str">
        <f>VLOOKUP(Table1[[#This Row],[Product_ID]],Product_Dim!$A$2:$G$101,2,FALSE)</f>
        <v>Car Dashboard Phone Holder-Electronics</v>
      </c>
      <c r="J1253" t="s">
        <v>1619</v>
      </c>
      <c r="K1253" t="str">
        <f>VLOOKUP(Table1[[#This Row],[Store_ID]],Store_Dim!$A$3:$D$22,2,FALSE)</f>
        <v>Aguirre-Keller-South</v>
      </c>
      <c r="L1253" t="s">
        <v>1750</v>
      </c>
      <c r="M1253" t="s">
        <v>3960</v>
      </c>
      <c r="N1253" s="3">
        <v>875.2</v>
      </c>
      <c r="O1253" s="4">
        <v>0.19</v>
      </c>
      <c r="P1253" t="s">
        <v>1772</v>
      </c>
      <c r="Q1253" s="4">
        <v>1417.8240000000001</v>
      </c>
    </row>
    <row r="1254" spans="1:17" x14ac:dyDescent="0.3">
      <c r="A1254" t="s">
        <v>3026</v>
      </c>
      <c r="B1254" t="str">
        <f t="shared" si="19"/>
        <v>Q1</v>
      </c>
      <c r="C1254" t="str">
        <f>TEXT(Table1[[#This Row],[Order_Date]],"mmmm")</f>
        <v>February</v>
      </c>
      <c r="D1254">
        <f>YEAR(Table1[[#This Row],[Order_Date]])</f>
        <v>2024</v>
      </c>
      <c r="E1254" s="7">
        <v>45345</v>
      </c>
      <c r="F1254" s="2" t="str">
        <f>VLOOKUP(Table1[[#This Row],[Customer_ID]],Customer_Dim!$A$2:$H$501,2,FALSE)</f>
        <v>Roberta Green</v>
      </c>
      <c r="G1254" s="2" t="str">
        <f>_xlfn.XLOOKUP(Table1[[#This Row],[Customer_ID]],Customer_Dim!$A$2:$A$501,Customer_Dim!$E$2:$E$501)</f>
        <v>West Joseph</v>
      </c>
      <c r="H1254" t="s">
        <v>953</v>
      </c>
      <c r="I1254" t="str">
        <f>VLOOKUP(Table1[[#This Row],[Product_ID]],Product_Dim!$A$2:$G$101,2,FALSE)</f>
        <v>Kitchen Cutting Board-Home</v>
      </c>
      <c r="J1254" t="s">
        <v>1695</v>
      </c>
      <c r="K1254" t="str">
        <f>VLOOKUP(Table1[[#This Row],[Store_ID]],Store_Dim!$A$3:$D$22,2,FALSE)</f>
        <v>Rivera-Warner-East</v>
      </c>
      <c r="L1254" t="s">
        <v>1725</v>
      </c>
      <c r="M1254" t="s">
        <v>3957</v>
      </c>
      <c r="N1254" s="3">
        <v>227.35</v>
      </c>
      <c r="O1254" s="4">
        <v>0.06</v>
      </c>
      <c r="P1254" t="s">
        <v>1777</v>
      </c>
      <c r="Q1254" s="4">
        <v>213.709</v>
      </c>
    </row>
    <row r="1255" spans="1:17" x14ac:dyDescent="0.3">
      <c r="A1255" t="s">
        <v>3027</v>
      </c>
      <c r="B1255" t="str">
        <f t="shared" si="19"/>
        <v>Q4</v>
      </c>
      <c r="C1255" t="str">
        <f>TEXT(Table1[[#This Row],[Order_Date]],"mmmm")</f>
        <v>November</v>
      </c>
      <c r="D1255">
        <f>YEAR(Table1[[#This Row],[Order_Date]])</f>
        <v>2023</v>
      </c>
      <c r="E1255" s="7">
        <v>45235</v>
      </c>
      <c r="F1255" s="2" t="str">
        <f>VLOOKUP(Table1[[#This Row],[Customer_ID]],Customer_Dim!$A$2:$H$501,2,FALSE)</f>
        <v>Antonio Jones</v>
      </c>
      <c r="G1255" s="2" t="str">
        <f>_xlfn.XLOOKUP(Table1[[#This Row],[Customer_ID]],Customer_Dim!$A$2:$A$501,Customer_Dim!$E$2:$E$501)</f>
        <v>Matthewborough</v>
      </c>
      <c r="H1255" t="s">
        <v>678</v>
      </c>
      <c r="I1255" t="str">
        <f>VLOOKUP(Table1[[#This Row],[Product_ID]],Product_Dim!$A$2:$G$101,2,FALSE)</f>
        <v>Bluetooth Car Audio System-Electronics</v>
      </c>
      <c r="J1255" t="s">
        <v>1671</v>
      </c>
      <c r="K1255" t="str">
        <f>VLOOKUP(Table1[[#This Row],[Store_ID]],Store_Dim!$A$3:$D$22,2,FALSE)</f>
        <v>Martinez, Adkins and Johnson-North</v>
      </c>
      <c r="L1255" t="s">
        <v>1728</v>
      </c>
      <c r="M1255" t="s">
        <v>3957</v>
      </c>
      <c r="N1255" s="3">
        <v>842.46</v>
      </c>
      <c r="O1255" s="4">
        <v>0.05</v>
      </c>
      <c r="P1255" t="s">
        <v>1777</v>
      </c>
      <c r="Q1255" s="4">
        <v>800.33699999999999</v>
      </c>
    </row>
    <row r="1256" spans="1:17" x14ac:dyDescent="0.3">
      <c r="A1256" t="s">
        <v>3028</v>
      </c>
      <c r="B1256" t="str">
        <f t="shared" si="19"/>
        <v>Q3</v>
      </c>
      <c r="C1256" t="str">
        <f>TEXT(Table1[[#This Row],[Order_Date]],"mmmm")</f>
        <v>September</v>
      </c>
      <c r="D1256">
        <f>YEAR(Table1[[#This Row],[Order_Date]])</f>
        <v>2024</v>
      </c>
      <c r="E1256" s="7">
        <v>45543</v>
      </c>
      <c r="F1256" s="2" t="str">
        <f>VLOOKUP(Table1[[#This Row],[Customer_ID]],Customer_Dim!$A$2:$H$501,2,FALSE)</f>
        <v>Blake Harrison</v>
      </c>
      <c r="G1256" s="2" t="str">
        <f>_xlfn.XLOOKUP(Table1[[#This Row],[Customer_ID]],Customer_Dim!$A$2:$A$501,Customer_Dim!$E$2:$E$501)</f>
        <v>Lyonsfort</v>
      </c>
      <c r="H1256" t="s">
        <v>684</v>
      </c>
      <c r="I1256" t="str">
        <f>VLOOKUP(Table1[[#This Row],[Product_ID]],Product_Dim!$A$2:$G$101,2,FALSE)</f>
        <v>Women's Summer Dress-Clothing</v>
      </c>
      <c r="J1256" t="s">
        <v>1595</v>
      </c>
      <c r="K1256" t="str">
        <f>VLOOKUP(Table1[[#This Row],[Store_ID]],Store_Dim!$A$3:$D$22,2,FALSE)</f>
        <v>Aguirre-Keller-South</v>
      </c>
      <c r="L1256" t="s">
        <v>1750</v>
      </c>
      <c r="M1256" t="s">
        <v>3958</v>
      </c>
      <c r="N1256" s="3">
        <v>120.67</v>
      </c>
      <c r="O1256" s="4">
        <v>0.08</v>
      </c>
      <c r="P1256" t="s">
        <v>1777</v>
      </c>
      <c r="Q1256" s="4">
        <v>333.04919999999998</v>
      </c>
    </row>
    <row r="1257" spans="1:17" x14ac:dyDescent="0.3">
      <c r="A1257" t="s">
        <v>3029</v>
      </c>
      <c r="B1257" t="str">
        <f t="shared" si="19"/>
        <v>Q2</v>
      </c>
      <c r="C1257" t="str">
        <f>TEXT(Table1[[#This Row],[Order_Date]],"mmmm")</f>
        <v>April</v>
      </c>
      <c r="D1257">
        <f>YEAR(Table1[[#This Row],[Order_Date]])</f>
        <v>2024</v>
      </c>
      <c r="E1257" s="7">
        <v>45402</v>
      </c>
      <c r="F1257" s="2" t="str">
        <f>VLOOKUP(Table1[[#This Row],[Customer_ID]],Customer_Dim!$A$2:$H$501,2,FALSE)</f>
        <v>Sarah Marsh</v>
      </c>
      <c r="G1257" s="2" t="str">
        <f>_xlfn.XLOOKUP(Table1[[#This Row],[Customer_ID]],Customer_Dim!$A$2:$A$501,Customer_Dim!$E$2:$E$501)</f>
        <v>Port William</v>
      </c>
      <c r="H1257" t="s">
        <v>1510</v>
      </c>
      <c r="I1257" t="str">
        <f>VLOOKUP(Table1[[#This Row],[Product_ID]],Product_Dim!$A$2:$G$101,2,FALSE)</f>
        <v>Outdoor Sports Water Bottle-Sports</v>
      </c>
      <c r="J1257" t="s">
        <v>1563</v>
      </c>
      <c r="K1257" t="str">
        <f>VLOOKUP(Table1[[#This Row],[Store_ID]],Store_Dim!$A$3:$D$22,2,FALSE)</f>
        <v>Johnson-Wright-North</v>
      </c>
      <c r="L1257" t="s">
        <v>1733</v>
      </c>
      <c r="M1257" t="s">
        <v>3959</v>
      </c>
      <c r="N1257" s="3">
        <v>176.13</v>
      </c>
      <c r="O1257" s="4">
        <v>0.27</v>
      </c>
      <c r="P1257" t="s">
        <v>1774</v>
      </c>
      <c r="Q1257" s="4">
        <v>514.29959999999994</v>
      </c>
    </row>
    <row r="1258" spans="1:17" x14ac:dyDescent="0.3">
      <c r="A1258" t="s">
        <v>3030</v>
      </c>
      <c r="B1258" t="str">
        <f t="shared" si="19"/>
        <v>Q1</v>
      </c>
      <c r="C1258" t="str">
        <f>TEXT(Table1[[#This Row],[Order_Date]],"mmmm")</f>
        <v>January</v>
      </c>
      <c r="D1258">
        <f>YEAR(Table1[[#This Row],[Order_Date]])</f>
        <v>2025</v>
      </c>
      <c r="E1258" s="7">
        <v>45671</v>
      </c>
      <c r="F1258" s="2" t="str">
        <f>VLOOKUP(Table1[[#This Row],[Customer_ID]],Customer_Dim!$A$2:$H$501,2,FALSE)</f>
        <v>Shane Mills</v>
      </c>
      <c r="G1258" s="2" t="str">
        <f>_xlfn.XLOOKUP(Table1[[#This Row],[Customer_ID]],Customer_Dim!$A$2:$A$501,Customer_Dim!$E$2:$E$501)</f>
        <v>Lake Meganstad</v>
      </c>
      <c r="H1258" t="s">
        <v>1376</v>
      </c>
      <c r="I1258" t="str">
        <f>VLOOKUP(Table1[[#This Row],[Product_ID]],Product_Dim!$A$2:$G$101,2,FALSE)</f>
        <v>Organic Sunscreen Lotion-Beauty</v>
      </c>
      <c r="J1258" t="s">
        <v>1649</v>
      </c>
      <c r="K1258" t="str">
        <f>VLOOKUP(Table1[[#This Row],[Store_ID]],Store_Dim!$A$3:$D$22,2,FALSE)</f>
        <v>Aguirre-Keller-South</v>
      </c>
      <c r="L1258" t="s">
        <v>1750</v>
      </c>
      <c r="M1258" t="s">
        <v>3959</v>
      </c>
      <c r="N1258" s="3">
        <v>592.67999999999995</v>
      </c>
      <c r="O1258" s="4">
        <v>0.03</v>
      </c>
      <c r="P1258" t="s">
        <v>1772</v>
      </c>
      <c r="Q1258" s="4">
        <v>2299.5983999999999</v>
      </c>
    </row>
    <row r="1259" spans="1:17" x14ac:dyDescent="0.3">
      <c r="A1259" t="s">
        <v>3031</v>
      </c>
      <c r="B1259" t="str">
        <f t="shared" si="19"/>
        <v>Q1</v>
      </c>
      <c r="C1259" t="str">
        <f>TEXT(Table1[[#This Row],[Order_Date]],"mmmm")</f>
        <v>March</v>
      </c>
      <c r="D1259">
        <f>YEAR(Table1[[#This Row],[Order_Date]])</f>
        <v>2024</v>
      </c>
      <c r="E1259" s="7">
        <v>45367</v>
      </c>
      <c r="F1259" s="2" t="str">
        <f>VLOOKUP(Table1[[#This Row],[Customer_ID]],Customer_Dim!$A$2:$H$501,2,FALSE)</f>
        <v>John Bradford</v>
      </c>
      <c r="G1259" s="2" t="str">
        <f>_xlfn.XLOOKUP(Table1[[#This Row],[Customer_ID]],Customer_Dim!$A$2:$A$501,Customer_Dim!$E$2:$E$501)</f>
        <v>Anabury</v>
      </c>
      <c r="H1259" t="s">
        <v>576</v>
      </c>
      <c r="I1259" t="str">
        <f>VLOOKUP(Table1[[#This Row],[Product_ID]],Product_Dim!$A$2:$G$101,2,FALSE)</f>
        <v>Kitchen Storage Rack-Home</v>
      </c>
      <c r="J1259" t="s">
        <v>1663</v>
      </c>
      <c r="K1259" t="str">
        <f>VLOOKUP(Table1[[#This Row],[Store_ID]],Store_Dim!$A$3:$D$22,2,FALSE)</f>
        <v>Alexander Group-South</v>
      </c>
      <c r="L1259" t="s">
        <v>1735</v>
      </c>
      <c r="M1259" t="s">
        <v>3959</v>
      </c>
      <c r="N1259" s="3">
        <v>662.43</v>
      </c>
      <c r="O1259" s="4">
        <v>0.24</v>
      </c>
      <c r="P1259" t="s">
        <v>1774</v>
      </c>
      <c r="Q1259" s="4">
        <v>2013.7872</v>
      </c>
    </row>
    <row r="1260" spans="1:17" x14ac:dyDescent="0.3">
      <c r="A1260" t="s">
        <v>3032</v>
      </c>
      <c r="B1260" t="str">
        <f t="shared" si="19"/>
        <v>Q3</v>
      </c>
      <c r="C1260" t="str">
        <f>TEXT(Table1[[#This Row],[Order_Date]],"mmmm")</f>
        <v>July</v>
      </c>
      <c r="D1260">
        <f>YEAR(Table1[[#This Row],[Order_Date]])</f>
        <v>2024</v>
      </c>
      <c r="E1260" s="7">
        <v>45488</v>
      </c>
      <c r="F1260" s="2" t="str">
        <f>VLOOKUP(Table1[[#This Row],[Customer_ID]],Customer_Dim!$A$2:$H$501,2,FALSE)</f>
        <v>Susan Mcdonald</v>
      </c>
      <c r="G1260" s="2" t="str">
        <f>_xlfn.XLOOKUP(Table1[[#This Row],[Customer_ID]],Customer_Dim!$A$2:$A$501,Customer_Dim!$E$2:$E$501)</f>
        <v>East Ellen</v>
      </c>
      <c r="H1260" t="s">
        <v>436</v>
      </c>
      <c r="I1260" t="str">
        <f>VLOOKUP(Table1[[#This Row],[Product_ID]],Product_Dim!$A$2:$G$101,2,FALSE)</f>
        <v>USB External Hard Drive-Electronics</v>
      </c>
      <c r="J1260" t="s">
        <v>1609</v>
      </c>
      <c r="K1260" t="str">
        <f>VLOOKUP(Table1[[#This Row],[Store_ID]],Store_Dim!$A$3:$D$22,2,FALSE)</f>
        <v>Bean, Jones and Park-West</v>
      </c>
      <c r="L1260" t="s">
        <v>1744</v>
      </c>
      <c r="M1260" t="s">
        <v>3958</v>
      </c>
      <c r="N1260" s="3">
        <v>518.35</v>
      </c>
      <c r="O1260" s="4">
        <v>0.21</v>
      </c>
      <c r="P1260" t="s">
        <v>1777</v>
      </c>
      <c r="Q1260" s="4">
        <v>1228.4894999999999</v>
      </c>
    </row>
    <row r="1261" spans="1:17" x14ac:dyDescent="0.3">
      <c r="A1261" t="s">
        <v>3033</v>
      </c>
      <c r="B1261" t="str">
        <f t="shared" si="19"/>
        <v>Q3</v>
      </c>
      <c r="C1261" t="str">
        <f>TEXT(Table1[[#This Row],[Order_Date]],"mmmm")</f>
        <v>August</v>
      </c>
      <c r="D1261">
        <f>YEAR(Table1[[#This Row],[Order_Date]])</f>
        <v>2024</v>
      </c>
      <c r="E1261" s="7">
        <v>45509</v>
      </c>
      <c r="F1261" s="2" t="str">
        <f>VLOOKUP(Table1[[#This Row],[Customer_ID]],Customer_Dim!$A$2:$H$501,2,FALSE)</f>
        <v>Kara Dodson</v>
      </c>
      <c r="G1261" s="2" t="str">
        <f>_xlfn.XLOOKUP(Table1[[#This Row],[Customer_ID]],Customer_Dim!$A$2:$A$501,Customer_Dim!$E$2:$E$501)</f>
        <v>Joelside</v>
      </c>
      <c r="H1261" t="s">
        <v>968</v>
      </c>
      <c r="I1261" t="str">
        <f>VLOOKUP(Table1[[#This Row],[Product_ID]],Product_Dim!$A$2:$G$101,2,FALSE)</f>
        <v>Tennis Ball 3-Pack-Sports</v>
      </c>
      <c r="J1261" t="s">
        <v>1645</v>
      </c>
      <c r="K1261" t="str">
        <f>VLOOKUP(Table1[[#This Row],[Store_ID]],Store_Dim!$A$3:$D$22,2,FALSE)</f>
        <v>Gray Ltd-North</v>
      </c>
      <c r="L1261" t="s">
        <v>1738</v>
      </c>
      <c r="M1261" t="s">
        <v>3957</v>
      </c>
      <c r="N1261" s="3">
        <v>85.58</v>
      </c>
      <c r="O1261" s="4">
        <v>0.1</v>
      </c>
      <c r="P1261" t="s">
        <v>1777</v>
      </c>
      <c r="Q1261" s="4">
        <v>77.022000000000006</v>
      </c>
    </row>
    <row r="1262" spans="1:17" x14ac:dyDescent="0.3">
      <c r="A1262" t="s">
        <v>3034</v>
      </c>
      <c r="B1262" t="str">
        <f t="shared" si="19"/>
        <v>Q1</v>
      </c>
      <c r="C1262" t="str">
        <f>TEXT(Table1[[#This Row],[Order_Date]],"mmmm")</f>
        <v>February</v>
      </c>
      <c r="D1262">
        <f>YEAR(Table1[[#This Row],[Order_Date]])</f>
        <v>2024</v>
      </c>
      <c r="E1262" s="7">
        <v>45323</v>
      </c>
      <c r="F1262" s="2" t="str">
        <f>VLOOKUP(Table1[[#This Row],[Customer_ID]],Customer_Dim!$A$2:$H$501,2,FALSE)</f>
        <v>Elizabeth Smith</v>
      </c>
      <c r="G1262" s="2" t="str">
        <f>_xlfn.XLOOKUP(Table1[[#This Row],[Customer_ID]],Customer_Dim!$A$2:$A$501,Customer_Dim!$E$2:$E$501)</f>
        <v>Murphytown</v>
      </c>
      <c r="H1262" t="s">
        <v>1123</v>
      </c>
      <c r="I1262" t="str">
        <f>VLOOKUP(Table1[[#This Row],[Product_ID]],Product_Dim!$A$2:$G$101,2,FALSE)</f>
        <v>LED Bedside Lamp-Home</v>
      </c>
      <c r="J1262" t="s">
        <v>1697</v>
      </c>
      <c r="K1262" t="str">
        <f>VLOOKUP(Table1[[#This Row],[Store_ID]],Store_Dim!$A$3:$D$22,2,FALSE)</f>
        <v>Martinez, Adkins and Johnson-North</v>
      </c>
      <c r="L1262" t="s">
        <v>1728</v>
      </c>
      <c r="M1262" t="s">
        <v>3959</v>
      </c>
      <c r="N1262" s="3">
        <v>800</v>
      </c>
      <c r="O1262" s="4">
        <v>0.2</v>
      </c>
      <c r="P1262" t="s">
        <v>1772</v>
      </c>
      <c r="Q1262" s="4">
        <v>2560</v>
      </c>
    </row>
    <row r="1263" spans="1:17" x14ac:dyDescent="0.3">
      <c r="A1263" t="s">
        <v>3035</v>
      </c>
      <c r="B1263" t="str">
        <f t="shared" si="19"/>
        <v>Q3</v>
      </c>
      <c r="C1263" t="str">
        <f>TEXT(Table1[[#This Row],[Order_Date]],"mmmm")</f>
        <v>August</v>
      </c>
      <c r="D1263">
        <f>YEAR(Table1[[#This Row],[Order_Date]])</f>
        <v>2025</v>
      </c>
      <c r="E1263" s="7">
        <v>45889</v>
      </c>
      <c r="F1263" s="2" t="str">
        <f>VLOOKUP(Table1[[#This Row],[Customer_ID]],Customer_Dim!$A$2:$H$501,2,FALSE)</f>
        <v>Curtis Haynes</v>
      </c>
      <c r="G1263" s="2" t="str">
        <f>_xlfn.XLOOKUP(Table1[[#This Row],[Customer_ID]],Customer_Dim!$A$2:$A$501,Customer_Dim!$E$2:$E$501)</f>
        <v>Estradaside</v>
      </c>
      <c r="H1263" t="s">
        <v>515</v>
      </c>
      <c r="I1263" t="str">
        <f>VLOOKUP(Table1[[#This Row],[Product_ID]],Product_Dim!$A$2:$G$101,2,FALSE)</f>
        <v>Luxury Perfume Spray-Beauty</v>
      </c>
      <c r="J1263" t="s">
        <v>1643</v>
      </c>
      <c r="K1263" t="str">
        <f>VLOOKUP(Table1[[#This Row],[Store_ID]],Store_Dim!$A$3:$D$22,2,FALSE)</f>
        <v>Hill, Wagner and Ballard-East</v>
      </c>
      <c r="L1263" t="s">
        <v>1748</v>
      </c>
      <c r="M1263" t="s">
        <v>3958</v>
      </c>
      <c r="N1263" s="3">
        <v>118.25</v>
      </c>
      <c r="O1263" s="4">
        <v>0.26</v>
      </c>
      <c r="P1263" t="s">
        <v>1774</v>
      </c>
      <c r="Q1263" s="4">
        <v>262.51499999999999</v>
      </c>
    </row>
    <row r="1264" spans="1:17" x14ac:dyDescent="0.3">
      <c r="A1264" t="s">
        <v>3036</v>
      </c>
      <c r="B1264" t="str">
        <f t="shared" si="19"/>
        <v>Q4</v>
      </c>
      <c r="C1264" t="str">
        <f>TEXT(Table1[[#This Row],[Order_Date]],"mmmm")</f>
        <v>November</v>
      </c>
      <c r="D1264">
        <f>YEAR(Table1[[#This Row],[Order_Date]])</f>
        <v>2023</v>
      </c>
      <c r="E1264" s="7">
        <v>45253</v>
      </c>
      <c r="F1264" s="2" t="str">
        <f>VLOOKUP(Table1[[#This Row],[Customer_ID]],Customer_Dim!$A$2:$H$501,2,FALSE)</f>
        <v>Holly Robinson</v>
      </c>
      <c r="G1264" s="2" t="str">
        <f>_xlfn.XLOOKUP(Table1[[#This Row],[Customer_ID]],Customer_Dim!$A$2:$A$501,Customer_Dim!$E$2:$E$501)</f>
        <v>East Amy</v>
      </c>
      <c r="H1264" t="s">
        <v>1292</v>
      </c>
      <c r="I1264" t="str">
        <f>VLOOKUP(Table1[[#This Row],[Product_ID]],Product_Dim!$A$2:$G$101,2,FALSE)</f>
        <v>Vitamin C Face Serum-Beauty</v>
      </c>
      <c r="J1264" t="s">
        <v>1587</v>
      </c>
      <c r="K1264" t="str">
        <f>VLOOKUP(Table1[[#This Row],[Store_ID]],Store_Dim!$A$3:$D$22,2,FALSE)</f>
        <v>Shelton PLC-North</v>
      </c>
      <c r="L1264" t="s">
        <v>1755</v>
      </c>
      <c r="M1264" t="s">
        <v>3957</v>
      </c>
      <c r="N1264" s="3">
        <v>223.25</v>
      </c>
      <c r="O1264" s="4">
        <v>0.28999999999999998</v>
      </c>
      <c r="P1264" t="s">
        <v>1772</v>
      </c>
      <c r="Q1264" s="4">
        <v>158.50749999999999</v>
      </c>
    </row>
    <row r="1265" spans="1:17" x14ac:dyDescent="0.3">
      <c r="A1265" t="s">
        <v>3037</v>
      </c>
      <c r="B1265" t="str">
        <f t="shared" si="19"/>
        <v>Q3</v>
      </c>
      <c r="C1265" t="str">
        <f>TEXT(Table1[[#This Row],[Order_Date]],"mmmm")</f>
        <v>August</v>
      </c>
      <c r="D1265">
        <f>YEAR(Table1[[#This Row],[Order_Date]])</f>
        <v>2024</v>
      </c>
      <c r="E1265" s="7">
        <v>45530</v>
      </c>
      <c r="F1265" s="2" t="str">
        <f>VLOOKUP(Table1[[#This Row],[Customer_ID]],Customer_Dim!$A$2:$H$501,2,FALSE)</f>
        <v>Jose Stewart</v>
      </c>
      <c r="G1265" s="2" t="str">
        <f>_xlfn.XLOOKUP(Table1[[#This Row],[Customer_ID]],Customer_Dim!$A$2:$A$501,Customer_Dim!$E$2:$E$501)</f>
        <v>South Robert</v>
      </c>
      <c r="H1265" t="s">
        <v>1309</v>
      </c>
      <c r="I1265" t="str">
        <f>VLOOKUP(Table1[[#This Row],[Product_ID]],Product_Dim!$A$2:$G$101,2,FALSE)</f>
        <v>Vitamin C Face Serum-Beauty</v>
      </c>
      <c r="J1265" t="s">
        <v>1587</v>
      </c>
      <c r="K1265" t="str">
        <f>VLOOKUP(Table1[[#This Row],[Store_ID]],Store_Dim!$A$3:$D$22,2,FALSE)</f>
        <v>Alexander Group-South</v>
      </c>
      <c r="L1265" t="s">
        <v>1735</v>
      </c>
      <c r="M1265" t="s">
        <v>3958</v>
      </c>
      <c r="N1265" s="3">
        <v>918.76</v>
      </c>
      <c r="O1265" s="4">
        <v>0.2</v>
      </c>
      <c r="P1265" t="s">
        <v>1774</v>
      </c>
      <c r="Q1265" s="4">
        <v>2205.0239999999999</v>
      </c>
    </row>
    <row r="1266" spans="1:17" x14ac:dyDescent="0.3">
      <c r="A1266" t="s">
        <v>3038</v>
      </c>
      <c r="B1266" t="str">
        <f t="shared" si="19"/>
        <v>Q3</v>
      </c>
      <c r="C1266" t="str">
        <f>TEXT(Table1[[#This Row],[Order_Date]],"mmmm")</f>
        <v>July</v>
      </c>
      <c r="D1266">
        <f>YEAR(Table1[[#This Row],[Order_Date]])</f>
        <v>2024</v>
      </c>
      <c r="E1266" s="7">
        <v>45491</v>
      </c>
      <c r="F1266" s="2" t="str">
        <f>VLOOKUP(Table1[[#This Row],[Customer_ID]],Customer_Dim!$A$2:$H$501,2,FALSE)</f>
        <v>Antonio Leon</v>
      </c>
      <c r="G1266" s="2" t="str">
        <f>_xlfn.XLOOKUP(Table1[[#This Row],[Customer_ID]],Customer_Dim!$A$2:$A$501,Customer_Dim!$E$2:$E$501)</f>
        <v>Morrisville</v>
      </c>
      <c r="H1266" t="s">
        <v>882</v>
      </c>
      <c r="I1266" t="str">
        <f>VLOOKUP(Table1[[#This Row],[Product_ID]],Product_Dim!$A$2:$G$101,2,FALSE)</f>
        <v>Wooden Bookshelf-Home</v>
      </c>
      <c r="J1266" t="s">
        <v>1691</v>
      </c>
      <c r="K1266" t="str">
        <f>VLOOKUP(Table1[[#This Row],[Store_ID]],Store_Dim!$A$3:$D$22,2,FALSE)</f>
        <v>Gardner, Humphrey and Contreras-East</v>
      </c>
      <c r="L1266" t="s">
        <v>1753</v>
      </c>
      <c r="M1266" t="s">
        <v>3960</v>
      </c>
      <c r="N1266" s="3">
        <v>905.26</v>
      </c>
      <c r="O1266" s="4">
        <v>0.15</v>
      </c>
      <c r="P1266" t="s">
        <v>1777</v>
      </c>
      <c r="Q1266" s="4">
        <v>1538.942</v>
      </c>
    </row>
    <row r="1267" spans="1:17" x14ac:dyDescent="0.3">
      <c r="A1267" t="s">
        <v>3039</v>
      </c>
      <c r="B1267" t="str">
        <f t="shared" si="19"/>
        <v>Q4</v>
      </c>
      <c r="C1267" t="str">
        <f>TEXT(Table1[[#This Row],[Order_Date]],"mmmm")</f>
        <v>December</v>
      </c>
      <c r="D1267">
        <f>YEAR(Table1[[#This Row],[Order_Date]])</f>
        <v>2024</v>
      </c>
      <c r="E1267" s="7">
        <v>45628</v>
      </c>
      <c r="F1267" s="2" t="str">
        <f>VLOOKUP(Table1[[#This Row],[Customer_ID]],Customer_Dim!$A$2:$H$501,2,FALSE)</f>
        <v>Jason Mullins</v>
      </c>
      <c r="G1267" s="2" t="str">
        <f>_xlfn.XLOOKUP(Table1[[#This Row],[Customer_ID]],Customer_Dim!$A$2:$A$501,Customer_Dim!$E$2:$E$501)</f>
        <v>Brianchester</v>
      </c>
      <c r="H1267" t="s">
        <v>974</v>
      </c>
      <c r="I1267" t="str">
        <f>VLOOKUP(Table1[[#This Row],[Product_ID]],Product_Dim!$A$2:$G$101,2,FALSE)</f>
        <v>Beard Grooming Kit-Beauty</v>
      </c>
      <c r="J1267" t="s">
        <v>1555</v>
      </c>
      <c r="K1267" t="str">
        <f>VLOOKUP(Table1[[#This Row],[Store_ID]],Store_Dim!$A$3:$D$22,2,FALSE)</f>
        <v>Mann-Austin-East</v>
      </c>
      <c r="L1267" t="s">
        <v>1763</v>
      </c>
      <c r="M1267" t="s">
        <v>3959</v>
      </c>
      <c r="N1267" s="3">
        <v>295.39999999999998</v>
      </c>
      <c r="O1267" s="4">
        <v>0.23</v>
      </c>
      <c r="P1267" t="s">
        <v>1774</v>
      </c>
      <c r="Q1267" s="4">
        <v>909.83199999999999</v>
      </c>
    </row>
    <row r="1268" spans="1:17" x14ac:dyDescent="0.3">
      <c r="A1268" t="s">
        <v>3040</v>
      </c>
      <c r="B1268" t="str">
        <f t="shared" si="19"/>
        <v>Q3</v>
      </c>
      <c r="C1268" t="str">
        <f>TEXT(Table1[[#This Row],[Order_Date]],"mmmm")</f>
        <v>July</v>
      </c>
      <c r="D1268">
        <f>YEAR(Table1[[#This Row],[Order_Date]])</f>
        <v>2025</v>
      </c>
      <c r="E1268" s="7">
        <v>45861</v>
      </c>
      <c r="F1268" s="2" t="str">
        <f>VLOOKUP(Table1[[#This Row],[Customer_ID]],Customer_Dim!$A$2:$H$501,2,FALSE)</f>
        <v>Melissa Duffy Md</v>
      </c>
      <c r="G1268" s="2" t="str">
        <f>_xlfn.XLOOKUP(Table1[[#This Row],[Customer_ID]],Customer_Dim!$A$2:$A$501,Customer_Dim!$E$2:$E$501)</f>
        <v>East Jenna</v>
      </c>
      <c r="H1268" t="s">
        <v>310</v>
      </c>
      <c r="I1268" t="str">
        <f>VLOOKUP(Table1[[#This Row],[Product_ID]],Product_Dim!$A$2:$G$101,2,FALSE)</f>
        <v>Vitamin E Body Lotion-Beauty</v>
      </c>
      <c r="J1268" t="s">
        <v>1711</v>
      </c>
      <c r="K1268" t="str">
        <f>VLOOKUP(Table1[[#This Row],[Store_ID]],Store_Dim!$A$3:$D$22,2,FALSE)</f>
        <v>Gray Ltd-North</v>
      </c>
      <c r="L1268" t="s">
        <v>1738</v>
      </c>
      <c r="M1268" t="s">
        <v>3957</v>
      </c>
      <c r="N1268" s="3">
        <v>252.18</v>
      </c>
      <c r="O1268" s="4">
        <v>0.23</v>
      </c>
      <c r="P1268" t="s">
        <v>1774</v>
      </c>
      <c r="Q1268" s="4">
        <v>194.17859999999999</v>
      </c>
    </row>
    <row r="1269" spans="1:17" x14ac:dyDescent="0.3">
      <c r="A1269" t="s">
        <v>3041</v>
      </c>
      <c r="B1269" t="str">
        <f t="shared" si="19"/>
        <v>Q3</v>
      </c>
      <c r="C1269" t="str">
        <f>TEXT(Table1[[#This Row],[Order_Date]],"mmmm")</f>
        <v>August</v>
      </c>
      <c r="D1269">
        <f>YEAR(Table1[[#This Row],[Order_Date]])</f>
        <v>2025</v>
      </c>
      <c r="E1269" s="7">
        <v>45878</v>
      </c>
      <c r="F1269" s="2" t="str">
        <f>VLOOKUP(Table1[[#This Row],[Customer_ID]],Customer_Dim!$A$2:$H$501,2,FALSE)</f>
        <v>Patrick Roberts</v>
      </c>
      <c r="G1269" s="2" t="str">
        <f>_xlfn.XLOOKUP(Table1[[#This Row],[Customer_ID]],Customer_Dim!$A$2:$A$501,Customer_Dim!$E$2:$E$501)</f>
        <v>Jaredville</v>
      </c>
      <c r="H1269" t="s">
        <v>506</v>
      </c>
      <c r="I1269" t="str">
        <f>VLOOKUP(Table1[[#This Row],[Product_ID]],Product_Dim!$A$2:$G$101,2,FALSE)</f>
        <v>Cricket Bat-Sports</v>
      </c>
      <c r="J1269" t="s">
        <v>1717</v>
      </c>
      <c r="K1269" t="str">
        <f>VLOOKUP(Table1[[#This Row],[Store_ID]],Store_Dim!$A$3:$D$22,2,FALSE)</f>
        <v>Thomas, Bridges and Harris-North</v>
      </c>
      <c r="L1269" t="s">
        <v>1751</v>
      </c>
      <c r="M1269" t="s">
        <v>3959</v>
      </c>
      <c r="N1269" s="3">
        <v>792.1</v>
      </c>
      <c r="O1269" s="4">
        <v>0.19</v>
      </c>
      <c r="P1269" t="s">
        <v>1777</v>
      </c>
      <c r="Q1269" s="4">
        <v>2566.404</v>
      </c>
    </row>
    <row r="1270" spans="1:17" x14ac:dyDescent="0.3">
      <c r="A1270" t="s">
        <v>3042</v>
      </c>
      <c r="B1270" t="str">
        <f t="shared" si="19"/>
        <v>Q2</v>
      </c>
      <c r="C1270" t="str">
        <f>TEXT(Table1[[#This Row],[Order_Date]],"mmmm")</f>
        <v>May</v>
      </c>
      <c r="D1270">
        <f>YEAR(Table1[[#This Row],[Order_Date]])</f>
        <v>2024</v>
      </c>
      <c r="E1270" s="7">
        <v>45426</v>
      </c>
      <c r="F1270" s="2" t="str">
        <f>VLOOKUP(Table1[[#This Row],[Customer_ID]],Customer_Dim!$A$2:$H$501,2,FALSE)</f>
        <v>Nathan Campbell</v>
      </c>
      <c r="G1270" s="2" t="str">
        <f>_xlfn.XLOOKUP(Table1[[#This Row],[Customer_ID]],Customer_Dim!$A$2:$A$501,Customer_Dim!$E$2:$E$501)</f>
        <v>Rodrigueztown</v>
      </c>
      <c r="H1270" t="s">
        <v>275</v>
      </c>
      <c r="I1270" t="str">
        <f>VLOOKUP(Table1[[#This Row],[Product_ID]],Product_Dim!$A$2:$G$101,2,FALSE)</f>
        <v>Sports Wrist Sweatbands-Sports</v>
      </c>
      <c r="J1270" t="s">
        <v>1699</v>
      </c>
      <c r="K1270" t="str">
        <f>VLOOKUP(Table1[[#This Row],[Store_ID]],Store_Dim!$A$3:$D$22,2,FALSE)</f>
        <v>Mcdonald Inc-South</v>
      </c>
      <c r="L1270" t="s">
        <v>1754</v>
      </c>
      <c r="M1270" t="s">
        <v>3957</v>
      </c>
      <c r="N1270" s="3">
        <v>883.36</v>
      </c>
      <c r="O1270" s="4">
        <v>0.11</v>
      </c>
      <c r="P1270" t="s">
        <v>1774</v>
      </c>
      <c r="Q1270" s="4">
        <v>786.19040000000007</v>
      </c>
    </row>
    <row r="1271" spans="1:17" x14ac:dyDescent="0.3">
      <c r="A1271" t="s">
        <v>3043</v>
      </c>
      <c r="B1271" t="str">
        <f t="shared" si="19"/>
        <v>Q4</v>
      </c>
      <c r="C1271" t="str">
        <f>TEXT(Table1[[#This Row],[Order_Date]],"mmmm")</f>
        <v>November</v>
      </c>
      <c r="D1271">
        <f>YEAR(Table1[[#This Row],[Order_Date]])</f>
        <v>2023</v>
      </c>
      <c r="E1271" s="7">
        <v>45231</v>
      </c>
      <c r="F1271" s="2" t="str">
        <f>VLOOKUP(Table1[[#This Row],[Customer_ID]],Customer_Dim!$A$2:$H$501,2,FALSE)</f>
        <v>Arthur Warren</v>
      </c>
      <c r="G1271" s="2" t="str">
        <f>_xlfn.XLOOKUP(Table1[[#This Row],[Customer_ID]],Customer_Dim!$A$2:$A$501,Customer_Dim!$E$2:$E$501)</f>
        <v>Ericshire</v>
      </c>
      <c r="H1271" t="s">
        <v>870</v>
      </c>
      <c r="I1271" t="str">
        <f>VLOOKUP(Table1[[#This Row],[Product_ID]],Product_Dim!$A$2:$G$101,2,FALSE)</f>
        <v>Men's Sports Shorts-Clothing</v>
      </c>
      <c r="J1271" t="s">
        <v>1661</v>
      </c>
      <c r="K1271" t="str">
        <f>VLOOKUP(Table1[[#This Row],[Store_ID]],Store_Dim!$A$3:$D$22,2,FALSE)</f>
        <v>Rivera-Warner-East</v>
      </c>
      <c r="L1271" t="s">
        <v>1725</v>
      </c>
      <c r="M1271" t="s">
        <v>3959</v>
      </c>
      <c r="N1271" s="3">
        <v>305.95</v>
      </c>
      <c r="O1271" s="4">
        <v>0.08</v>
      </c>
      <c r="P1271" t="s">
        <v>1774</v>
      </c>
      <c r="Q1271" s="4">
        <v>1125.896</v>
      </c>
    </row>
    <row r="1272" spans="1:17" x14ac:dyDescent="0.3">
      <c r="A1272" t="s">
        <v>3044</v>
      </c>
      <c r="B1272" t="str">
        <f t="shared" si="19"/>
        <v>Q4</v>
      </c>
      <c r="C1272" t="str">
        <f>TEXT(Table1[[#This Row],[Order_Date]],"mmmm")</f>
        <v>November</v>
      </c>
      <c r="D1272">
        <f>YEAR(Table1[[#This Row],[Order_Date]])</f>
        <v>2024</v>
      </c>
      <c r="E1272" s="7">
        <v>45609</v>
      </c>
      <c r="F1272" s="2" t="str">
        <f>VLOOKUP(Table1[[#This Row],[Customer_ID]],Customer_Dim!$A$2:$H$501,2,FALSE)</f>
        <v>Terry Moses</v>
      </c>
      <c r="G1272" s="2" t="str">
        <f>_xlfn.XLOOKUP(Table1[[#This Row],[Customer_ID]],Customer_Dim!$A$2:$A$501,Customer_Dim!$E$2:$E$501)</f>
        <v>Leahmouth</v>
      </c>
      <c r="H1272" t="s">
        <v>1235</v>
      </c>
      <c r="I1272" t="str">
        <f>VLOOKUP(Table1[[#This Row],[Product_ID]],Product_Dim!$A$2:$G$101,2,FALSE)</f>
        <v>Womens Cotton Scarf-Clothing</v>
      </c>
      <c r="J1272" t="s">
        <v>1639</v>
      </c>
      <c r="K1272" t="str">
        <f>VLOOKUP(Table1[[#This Row],[Store_ID]],Store_Dim!$A$3:$D$22,2,FALSE)</f>
        <v>Martinez-Mullins-South</v>
      </c>
      <c r="L1272" t="s">
        <v>1742</v>
      </c>
      <c r="M1272" t="s">
        <v>3958</v>
      </c>
      <c r="N1272" s="3">
        <v>742.45</v>
      </c>
      <c r="O1272" s="4">
        <v>0.23</v>
      </c>
      <c r="P1272" t="s">
        <v>1777</v>
      </c>
      <c r="Q1272" s="4">
        <v>1715.0595000000001</v>
      </c>
    </row>
    <row r="1273" spans="1:17" x14ac:dyDescent="0.3">
      <c r="A1273" t="s">
        <v>3045</v>
      </c>
      <c r="B1273" t="str">
        <f t="shared" si="19"/>
        <v>Q2</v>
      </c>
      <c r="C1273" t="str">
        <f>TEXT(Table1[[#This Row],[Order_Date]],"mmmm")</f>
        <v>April</v>
      </c>
      <c r="D1273">
        <f>YEAR(Table1[[#This Row],[Order_Date]])</f>
        <v>2024</v>
      </c>
      <c r="E1273" s="7">
        <v>45392</v>
      </c>
      <c r="F1273" s="2" t="str">
        <f>VLOOKUP(Table1[[#This Row],[Customer_ID]],Customer_Dim!$A$2:$H$501,2,FALSE)</f>
        <v>Carlos Flores</v>
      </c>
      <c r="G1273" s="2" t="str">
        <f>_xlfn.XLOOKUP(Table1[[#This Row],[Customer_ID]],Customer_Dim!$A$2:$A$501,Customer_Dim!$E$2:$E$501)</f>
        <v>North Johnfurt</v>
      </c>
      <c r="H1273" t="s">
        <v>1100</v>
      </c>
      <c r="I1273" t="str">
        <f>VLOOKUP(Table1[[#This Row],[Product_ID]],Product_Dim!$A$2:$G$101,2,FALSE)</f>
        <v>Women's Scarf Set-Clothing</v>
      </c>
      <c r="J1273" t="s">
        <v>1573</v>
      </c>
      <c r="K1273" t="str">
        <f>VLOOKUP(Table1[[#This Row],[Store_ID]],Store_Dim!$A$3:$D$22,2,FALSE)</f>
        <v>Guerrero-Schmitt-East</v>
      </c>
      <c r="L1273" t="s">
        <v>1761</v>
      </c>
      <c r="M1273" t="s">
        <v>3958</v>
      </c>
      <c r="N1273" s="3">
        <v>336.1</v>
      </c>
      <c r="O1273" s="4">
        <v>0.12</v>
      </c>
      <c r="P1273" t="s">
        <v>1777</v>
      </c>
      <c r="Q1273" s="4">
        <v>887.30400000000009</v>
      </c>
    </row>
    <row r="1274" spans="1:17" x14ac:dyDescent="0.3">
      <c r="A1274" t="s">
        <v>3046</v>
      </c>
      <c r="B1274" t="str">
        <f t="shared" si="19"/>
        <v>Q3</v>
      </c>
      <c r="C1274" t="str">
        <f>TEXT(Table1[[#This Row],[Order_Date]],"mmmm")</f>
        <v>August</v>
      </c>
      <c r="D1274">
        <f>YEAR(Table1[[#This Row],[Order_Date]])</f>
        <v>2025</v>
      </c>
      <c r="E1274" s="7">
        <v>45876</v>
      </c>
      <c r="F1274" s="2" t="str">
        <f>VLOOKUP(Table1[[#This Row],[Customer_ID]],Customer_Dim!$A$2:$H$501,2,FALSE)</f>
        <v>Shane Brown</v>
      </c>
      <c r="G1274" s="2" t="str">
        <f>_xlfn.XLOOKUP(Table1[[#This Row],[Customer_ID]],Customer_Dim!$A$2:$A$501,Customer_Dim!$E$2:$E$501)</f>
        <v>East Andrea</v>
      </c>
      <c r="H1274" t="s">
        <v>1267</v>
      </c>
      <c r="I1274" t="str">
        <f>VLOOKUP(Table1[[#This Row],[Product_ID]],Product_Dim!$A$2:$G$101,2,FALSE)</f>
        <v>Fabric Sofa Throw Blanket-Home</v>
      </c>
      <c r="J1274" t="s">
        <v>1581</v>
      </c>
      <c r="K1274" t="str">
        <f>VLOOKUP(Table1[[#This Row],[Store_ID]],Store_Dim!$A$3:$D$22,2,FALSE)</f>
        <v>Martinez-Mullins-South</v>
      </c>
      <c r="L1274" t="s">
        <v>1742</v>
      </c>
      <c r="M1274" t="s">
        <v>3958</v>
      </c>
      <c r="N1274" s="3">
        <v>310.36</v>
      </c>
      <c r="O1274" s="4">
        <v>0.14000000000000001</v>
      </c>
      <c r="P1274" t="s">
        <v>1777</v>
      </c>
      <c r="Q1274" s="4">
        <v>800.72879999999998</v>
      </c>
    </row>
    <row r="1275" spans="1:17" x14ac:dyDescent="0.3">
      <c r="A1275" t="s">
        <v>3047</v>
      </c>
      <c r="B1275" t="str">
        <f t="shared" si="19"/>
        <v>Q2</v>
      </c>
      <c r="C1275" t="str">
        <f>TEXT(Table1[[#This Row],[Order_Date]],"mmmm")</f>
        <v>April</v>
      </c>
      <c r="D1275">
        <f>YEAR(Table1[[#This Row],[Order_Date]])</f>
        <v>2025</v>
      </c>
      <c r="E1275" s="7">
        <v>45772</v>
      </c>
      <c r="F1275" s="2" t="str">
        <f>VLOOKUP(Table1[[#This Row],[Customer_ID]],Customer_Dim!$A$2:$H$501,2,FALSE)</f>
        <v>Aaron Luna</v>
      </c>
      <c r="G1275" s="2" t="str">
        <f>_xlfn.XLOOKUP(Table1[[#This Row],[Customer_ID]],Customer_Dim!$A$2:$A$501,Customer_Dim!$E$2:$E$501)</f>
        <v>Gilltown</v>
      </c>
      <c r="H1275" t="s">
        <v>879</v>
      </c>
      <c r="I1275" t="str">
        <f>VLOOKUP(Table1[[#This Row],[Product_ID]],Product_Dim!$A$2:$G$101,2,FALSE)</f>
        <v>Portable Bluetooth Speaker-Electronics</v>
      </c>
      <c r="J1275" t="s">
        <v>1719</v>
      </c>
      <c r="K1275" t="str">
        <f>VLOOKUP(Table1[[#This Row],[Store_ID]],Store_Dim!$A$3:$D$22,2,FALSE)</f>
        <v>Bean, Jones and Park-West</v>
      </c>
      <c r="L1275" t="s">
        <v>1744</v>
      </c>
      <c r="M1275" t="s">
        <v>3958</v>
      </c>
      <c r="N1275" s="3">
        <v>992.81</v>
      </c>
      <c r="O1275" s="4">
        <v>0.04</v>
      </c>
      <c r="P1275" t="s">
        <v>1774</v>
      </c>
      <c r="Q1275" s="4">
        <v>2859.2928000000002</v>
      </c>
    </row>
    <row r="1276" spans="1:17" x14ac:dyDescent="0.3">
      <c r="A1276" t="s">
        <v>3048</v>
      </c>
      <c r="B1276" t="str">
        <f t="shared" si="19"/>
        <v>Q4</v>
      </c>
      <c r="C1276" t="str">
        <f>TEXT(Table1[[#This Row],[Order_Date]],"mmmm")</f>
        <v>October</v>
      </c>
      <c r="D1276">
        <f>YEAR(Table1[[#This Row],[Order_Date]])</f>
        <v>2023</v>
      </c>
      <c r="E1276" s="7">
        <v>45217</v>
      </c>
      <c r="F1276" s="2" t="str">
        <f>VLOOKUP(Table1[[#This Row],[Customer_ID]],Customer_Dim!$A$2:$H$501,2,FALSE)</f>
        <v>Wanda Snyder</v>
      </c>
      <c r="G1276" s="2" t="str">
        <f>_xlfn.XLOOKUP(Table1[[#This Row],[Customer_ID]],Customer_Dim!$A$2:$A$501,Customer_Dim!$E$2:$E$501)</f>
        <v>Frostmouth</v>
      </c>
      <c r="H1276" t="s">
        <v>642</v>
      </c>
      <c r="I1276" t="str">
        <f>VLOOKUP(Table1[[#This Row],[Product_ID]],Product_Dim!$A$2:$G$101,2,FALSE)</f>
        <v>Luxury Perfume Spray-Beauty</v>
      </c>
      <c r="J1276" t="s">
        <v>1643</v>
      </c>
      <c r="K1276" t="str">
        <f>VLOOKUP(Table1[[#This Row],[Store_ID]],Store_Dim!$A$3:$D$22,2,FALSE)</f>
        <v>Aguirre-Keller-South</v>
      </c>
      <c r="L1276" t="s">
        <v>1750</v>
      </c>
      <c r="M1276" t="s">
        <v>3958</v>
      </c>
      <c r="N1276" s="3">
        <v>257.11</v>
      </c>
      <c r="O1276" s="4">
        <v>0.26</v>
      </c>
      <c r="P1276" t="s">
        <v>1777</v>
      </c>
      <c r="Q1276" s="4">
        <v>570.78420000000006</v>
      </c>
    </row>
    <row r="1277" spans="1:17" x14ac:dyDescent="0.3">
      <c r="A1277" t="s">
        <v>3049</v>
      </c>
      <c r="B1277" t="str">
        <f t="shared" si="19"/>
        <v>Q1</v>
      </c>
      <c r="C1277" t="str">
        <f>TEXT(Table1[[#This Row],[Order_Date]],"mmmm")</f>
        <v>March</v>
      </c>
      <c r="D1277">
        <f>YEAR(Table1[[#This Row],[Order_Date]])</f>
        <v>2025</v>
      </c>
      <c r="E1277" s="7">
        <v>45739</v>
      </c>
      <c r="F1277" s="2" t="str">
        <f>VLOOKUP(Table1[[#This Row],[Customer_ID]],Customer_Dim!$A$2:$H$501,2,FALSE)</f>
        <v>George Davis</v>
      </c>
      <c r="G1277" s="2" t="str">
        <f>_xlfn.XLOOKUP(Table1[[#This Row],[Customer_ID]],Customer_Dim!$A$2:$A$501,Customer_Dim!$E$2:$E$501)</f>
        <v xml:space="preserve">    lake lisa</v>
      </c>
      <c r="H1277" t="s">
        <v>707</v>
      </c>
      <c r="I1277" t="str">
        <f>VLOOKUP(Table1[[#This Row],[Product_ID]],Product_Dim!$A$2:$G$101,2,FALSE)</f>
        <v>Sports Stopwatch Basic-Sports</v>
      </c>
      <c r="J1277" t="s">
        <v>1713</v>
      </c>
      <c r="K1277" t="str">
        <f>VLOOKUP(Table1[[#This Row],[Store_ID]],Store_Dim!$A$3:$D$22,2,FALSE)</f>
        <v>Thomas, Bridges and Harris-North</v>
      </c>
      <c r="L1277" t="s">
        <v>1751</v>
      </c>
      <c r="M1277" t="s">
        <v>3959</v>
      </c>
      <c r="N1277" s="3">
        <v>816.29</v>
      </c>
      <c r="O1277" s="4">
        <v>0.24</v>
      </c>
      <c r="P1277" t="s">
        <v>1774</v>
      </c>
      <c r="Q1277" s="4">
        <v>2481.5216</v>
      </c>
    </row>
    <row r="1278" spans="1:17" x14ac:dyDescent="0.3">
      <c r="A1278" t="s">
        <v>3050</v>
      </c>
      <c r="B1278" t="str">
        <f t="shared" si="19"/>
        <v>Q4</v>
      </c>
      <c r="C1278" t="str">
        <f>TEXT(Table1[[#This Row],[Order_Date]],"mmmm")</f>
        <v>December</v>
      </c>
      <c r="D1278">
        <f>YEAR(Table1[[#This Row],[Order_Date]])</f>
        <v>2023</v>
      </c>
      <c r="E1278" s="7">
        <v>45272</v>
      </c>
      <c r="F1278" s="2" t="str">
        <f>VLOOKUP(Table1[[#This Row],[Customer_ID]],Customer_Dim!$A$2:$H$501,2,FALSE)</f>
        <v>Michael Chang</v>
      </c>
      <c r="G1278" s="2" t="str">
        <f>_xlfn.XLOOKUP(Table1[[#This Row],[Customer_ID]],Customer_Dim!$A$2:$A$501,Customer_Dim!$E$2:$E$501)</f>
        <v>Kathrynport</v>
      </c>
      <c r="H1278" t="s">
        <v>417</v>
      </c>
      <c r="I1278" t="str">
        <f>VLOOKUP(Table1[[#This Row],[Product_ID]],Product_Dim!$A$2:$G$101,2,FALSE)</f>
        <v>Luxury Perfume Spray-Beauty</v>
      </c>
      <c r="J1278" t="s">
        <v>1643</v>
      </c>
      <c r="K1278" t="str">
        <f>VLOOKUP(Table1[[#This Row],[Store_ID]],Store_Dim!$A$3:$D$22,2,FALSE)</f>
        <v>Thomas, Bridges and Harris-North</v>
      </c>
      <c r="L1278" t="s">
        <v>1751</v>
      </c>
      <c r="M1278" t="s">
        <v>3959</v>
      </c>
      <c r="N1278" s="3">
        <v>755.82</v>
      </c>
      <c r="O1278" s="4">
        <v>0.22</v>
      </c>
      <c r="P1278" t="s">
        <v>1777</v>
      </c>
      <c r="Q1278" s="4">
        <v>2358.1583999999998</v>
      </c>
    </row>
    <row r="1279" spans="1:17" x14ac:dyDescent="0.3">
      <c r="A1279" t="s">
        <v>3051</v>
      </c>
      <c r="B1279" t="str">
        <f t="shared" si="19"/>
        <v>Q3</v>
      </c>
      <c r="C1279" t="str">
        <f>TEXT(Table1[[#This Row],[Order_Date]],"mmmm")</f>
        <v>August</v>
      </c>
      <c r="D1279">
        <f>YEAR(Table1[[#This Row],[Order_Date]])</f>
        <v>2024</v>
      </c>
      <c r="E1279" s="7">
        <v>45524</v>
      </c>
      <c r="F1279" s="2" t="str">
        <f>VLOOKUP(Table1[[#This Row],[Customer_ID]],Customer_Dim!$A$2:$H$501,2,FALSE)</f>
        <v>Jeremy Harris</v>
      </c>
      <c r="G1279" s="2" t="str">
        <f>_xlfn.XLOOKUP(Table1[[#This Row],[Customer_ID]],Customer_Dim!$A$2:$A$501,Customer_Dim!$E$2:$E$501)</f>
        <v>Thomastown</v>
      </c>
      <c r="H1279" t="s">
        <v>23</v>
      </c>
      <c r="I1279" t="str">
        <f>VLOOKUP(Table1[[#This Row],[Product_ID]],Product_Dim!$A$2:$G$101,2,FALSE)</f>
        <v>Brother Laser Printer-Electronics</v>
      </c>
      <c r="J1279" t="s">
        <v>1523</v>
      </c>
      <c r="K1279" t="str">
        <f>VLOOKUP(Table1[[#This Row],[Store_ID]],Store_Dim!$A$3:$D$22,2,FALSE)</f>
        <v>Mcdonald Inc-South</v>
      </c>
      <c r="L1279" t="s">
        <v>1754</v>
      </c>
      <c r="M1279" t="s">
        <v>3957</v>
      </c>
      <c r="N1279" s="3">
        <v>449.6</v>
      </c>
      <c r="O1279" s="4">
        <v>0.01</v>
      </c>
      <c r="P1279" t="s">
        <v>1774</v>
      </c>
      <c r="Q1279" s="4">
        <v>445.10399999999998</v>
      </c>
    </row>
    <row r="1280" spans="1:17" x14ac:dyDescent="0.3">
      <c r="A1280" t="s">
        <v>3052</v>
      </c>
      <c r="B1280" t="str">
        <f t="shared" si="19"/>
        <v>Q3</v>
      </c>
      <c r="C1280" t="str">
        <f>TEXT(Table1[[#This Row],[Order_Date]],"mmmm")</f>
        <v>July</v>
      </c>
      <c r="D1280">
        <f>YEAR(Table1[[#This Row],[Order_Date]])</f>
        <v>2024</v>
      </c>
      <c r="E1280" s="7">
        <v>45481</v>
      </c>
      <c r="F1280" s="2" t="str">
        <f>VLOOKUP(Table1[[#This Row],[Customer_ID]],Customer_Dim!$A$2:$H$501,2,FALSE)</f>
        <v>Jeffrey Mccarthy</v>
      </c>
      <c r="G1280" s="2" t="str">
        <f>_xlfn.XLOOKUP(Table1[[#This Row],[Customer_ID]],Customer_Dim!$A$2:$A$501,Customer_Dim!$E$2:$E$501)</f>
        <v>North Samuel</v>
      </c>
      <c r="H1280" t="s">
        <v>1089</v>
      </c>
      <c r="I1280" t="str">
        <f>VLOOKUP(Table1[[#This Row],[Product_ID]],Product_Dim!$A$2:$G$101,2,FALSE)</f>
        <v>Decorative Wall Mirror-Home</v>
      </c>
      <c r="J1280" t="s">
        <v>1551</v>
      </c>
      <c r="K1280" t="str">
        <f>VLOOKUP(Table1[[#This Row],[Store_ID]],Store_Dim!$A$3:$D$22,2,FALSE)</f>
        <v>Rivera-Warner-East</v>
      </c>
      <c r="L1280" t="s">
        <v>1725</v>
      </c>
      <c r="M1280" t="s">
        <v>3960</v>
      </c>
      <c r="N1280" s="3">
        <v>779.29</v>
      </c>
      <c r="O1280" s="4">
        <v>0.12</v>
      </c>
      <c r="P1280" t="s">
        <v>1777</v>
      </c>
      <c r="Q1280" s="4">
        <v>1371.5504000000001</v>
      </c>
    </row>
    <row r="1281" spans="1:17" x14ac:dyDescent="0.3">
      <c r="A1281" t="s">
        <v>3053</v>
      </c>
      <c r="B1281" t="str">
        <f t="shared" si="19"/>
        <v>Q4</v>
      </c>
      <c r="C1281" t="str">
        <f>TEXT(Table1[[#This Row],[Order_Date]],"mmmm")</f>
        <v>December</v>
      </c>
      <c r="D1281">
        <f>YEAR(Table1[[#This Row],[Order_Date]])</f>
        <v>2023</v>
      </c>
      <c r="E1281" s="7">
        <v>45267</v>
      </c>
      <c r="F1281" s="2" t="s">
        <v>3826</v>
      </c>
      <c r="G1281" s="2" t="s">
        <v>3826</v>
      </c>
      <c r="H1281" t="s">
        <v>1415</v>
      </c>
      <c r="I1281" t="str">
        <f>VLOOKUP(Table1[[#This Row],[Product_ID]],Product_Dim!$A$2:$G$101,2,FALSE)</f>
        <v>WiFi Mesh Router-Electronics</v>
      </c>
      <c r="J1281" t="s">
        <v>1677</v>
      </c>
      <c r="K1281" t="str">
        <f>VLOOKUP(Table1[[#This Row],[Store_ID]],Store_Dim!$A$3:$D$22,2,FALSE)</f>
        <v>Holloway Ltd-North</v>
      </c>
      <c r="L1281" t="s">
        <v>1759</v>
      </c>
      <c r="M1281" t="s">
        <v>3957</v>
      </c>
      <c r="N1281" s="3">
        <v>748.75</v>
      </c>
      <c r="O1281" s="4">
        <v>0.1</v>
      </c>
      <c r="P1281" t="s">
        <v>1777</v>
      </c>
      <c r="Q1281" s="4">
        <v>673.875</v>
      </c>
    </row>
    <row r="1282" spans="1:17" x14ac:dyDescent="0.3">
      <c r="A1282" t="s">
        <v>3054</v>
      </c>
      <c r="B1282" t="str">
        <f t="shared" ref="B1282:B1345" si="20">"Q" &amp;ROUNDUP(MONTH(E1282)/3,0)</f>
        <v>Q1</v>
      </c>
      <c r="C1282" t="str">
        <f>TEXT(Table1[[#This Row],[Order_Date]],"mmmm")</f>
        <v>February</v>
      </c>
      <c r="D1282">
        <f>YEAR(Table1[[#This Row],[Order_Date]])</f>
        <v>2024</v>
      </c>
      <c r="E1282" s="7">
        <v>45328</v>
      </c>
      <c r="F1282" s="2" t="str">
        <f>VLOOKUP(Table1[[#This Row],[Customer_ID]],Customer_Dim!$A$2:$H$501,2,FALSE)</f>
        <v>Erin Ward</v>
      </c>
      <c r="G1282" s="2" t="str">
        <f>_xlfn.XLOOKUP(Table1[[#This Row],[Customer_ID]],Customer_Dim!$A$2:$A$501,Customer_Dim!$E$2:$E$501)</f>
        <v>New Brianchester</v>
      </c>
      <c r="H1282" t="s">
        <v>592</v>
      </c>
      <c r="I1282" t="str">
        <f>VLOOKUP(Table1[[#This Row],[Product_ID]],Product_Dim!$A$2:$G$101,2,FALSE)</f>
        <v>Face Foundation Kit-Beauty</v>
      </c>
      <c r="J1282" t="s">
        <v>1701</v>
      </c>
      <c r="K1282" t="str">
        <f>VLOOKUP(Table1[[#This Row],[Store_ID]],Store_Dim!$A$3:$D$22,2,FALSE)</f>
        <v>Rivera-Warner-East</v>
      </c>
      <c r="L1282" t="s">
        <v>1725</v>
      </c>
      <c r="M1282" t="s">
        <v>3960</v>
      </c>
      <c r="N1282" s="3">
        <v>121.67</v>
      </c>
      <c r="O1282" s="4">
        <v>0.08</v>
      </c>
      <c r="P1282" t="s">
        <v>1777</v>
      </c>
      <c r="Q1282" s="4">
        <v>223.87280000000001</v>
      </c>
    </row>
    <row r="1283" spans="1:17" x14ac:dyDescent="0.3">
      <c r="A1283" t="s">
        <v>3055</v>
      </c>
      <c r="B1283" t="str">
        <f t="shared" si="20"/>
        <v>Q2</v>
      </c>
      <c r="C1283" t="str">
        <f>TEXT(Table1[[#This Row],[Order_Date]],"mmmm")</f>
        <v>May</v>
      </c>
      <c r="D1283">
        <f>YEAR(Table1[[#This Row],[Order_Date]])</f>
        <v>2025</v>
      </c>
      <c r="E1283" s="7">
        <v>45787</v>
      </c>
      <c r="F1283" s="2" t="str">
        <f>VLOOKUP(Table1[[#This Row],[Customer_ID]],Customer_Dim!$A$2:$H$501,2,FALSE)</f>
        <v>Darrell Miller</v>
      </c>
      <c r="G1283" s="2" t="str">
        <f>_xlfn.XLOOKUP(Table1[[#This Row],[Customer_ID]],Customer_Dim!$A$2:$A$501,Customer_Dim!$E$2:$E$501)</f>
        <v>Port Carol</v>
      </c>
      <c r="H1283" t="s">
        <v>1496</v>
      </c>
      <c r="I1283" t="str">
        <f>VLOOKUP(Table1[[#This Row],[Product_ID]],Product_Dim!$A$2:$G$101,2,FALSE)</f>
        <v>Men's Roll-On Perfume-Beauty</v>
      </c>
      <c r="J1283" t="s">
        <v>1621</v>
      </c>
      <c r="K1283" t="str">
        <f>VLOOKUP(Table1[[#This Row],[Store_ID]],Store_Dim!$A$3:$D$22,2,FALSE)</f>
        <v>Shelton PLC-North</v>
      </c>
      <c r="L1283" t="s">
        <v>1755</v>
      </c>
      <c r="M1283" t="s">
        <v>3958</v>
      </c>
      <c r="N1283" s="3">
        <v>225.14</v>
      </c>
      <c r="O1283" s="4">
        <v>0.15</v>
      </c>
      <c r="P1283" t="s">
        <v>1777</v>
      </c>
      <c r="Q1283" s="4">
        <v>574.10699999999997</v>
      </c>
    </row>
    <row r="1284" spans="1:17" x14ac:dyDescent="0.3">
      <c r="A1284" t="s">
        <v>3056</v>
      </c>
      <c r="B1284" t="str">
        <f t="shared" si="20"/>
        <v>Q3</v>
      </c>
      <c r="C1284" t="str">
        <f>TEXT(Table1[[#This Row],[Order_Date]],"mmmm")</f>
        <v>August</v>
      </c>
      <c r="D1284">
        <f>YEAR(Table1[[#This Row],[Order_Date]])</f>
        <v>2025</v>
      </c>
      <c r="E1284" s="7">
        <v>45876</v>
      </c>
      <c r="F1284" s="2" t="str">
        <f>VLOOKUP(Table1[[#This Row],[Customer_ID]],Customer_Dim!$A$2:$H$501,2,FALSE)</f>
        <v>Darren Burton</v>
      </c>
      <c r="G1284" s="2" t="str">
        <f>_xlfn.XLOOKUP(Table1[[#This Row],[Customer_ID]],Customer_Dim!$A$2:$A$501,Customer_Dim!$E$2:$E$501)</f>
        <v>Lake Alice</v>
      </c>
      <c r="H1284" t="s">
        <v>1001</v>
      </c>
      <c r="I1284" t="str">
        <f>VLOOKUP(Table1[[#This Row],[Product_ID]],Product_Dim!$A$2:$G$101,2,FALSE)</f>
        <v>Fabric Sofa Throw Blanket-Home</v>
      </c>
      <c r="J1284" t="s">
        <v>1581</v>
      </c>
      <c r="K1284" t="str">
        <f>VLOOKUP(Table1[[#This Row],[Store_ID]],Store_Dim!$A$3:$D$22,2,FALSE)</f>
        <v>Mann-Austin-East</v>
      </c>
      <c r="L1284" t="s">
        <v>1763</v>
      </c>
      <c r="M1284" t="s">
        <v>3957</v>
      </c>
      <c r="N1284" s="3">
        <v>654.17999999999995</v>
      </c>
      <c r="O1284" s="4">
        <v>0.19</v>
      </c>
      <c r="P1284" t="s">
        <v>1774</v>
      </c>
      <c r="Q1284" s="4">
        <v>529.88580000000002</v>
      </c>
    </row>
    <row r="1285" spans="1:17" x14ac:dyDescent="0.3">
      <c r="A1285" t="s">
        <v>3057</v>
      </c>
      <c r="B1285" t="str">
        <f t="shared" si="20"/>
        <v>Q3</v>
      </c>
      <c r="C1285" t="str">
        <f>TEXT(Table1[[#This Row],[Order_Date]],"mmmm")</f>
        <v>September</v>
      </c>
      <c r="D1285">
        <f>YEAR(Table1[[#This Row],[Order_Date]])</f>
        <v>2024</v>
      </c>
      <c r="E1285" s="7">
        <v>45552</v>
      </c>
      <c r="F1285" s="2" t="str">
        <f>VLOOKUP(Table1[[#This Row],[Customer_ID]],Customer_Dim!$A$2:$H$501,2,FALSE)</f>
        <v>Cheryl Copeland</v>
      </c>
      <c r="G1285" s="2" t="str">
        <f>_xlfn.XLOOKUP(Table1[[#This Row],[Customer_ID]],Customer_Dim!$A$2:$A$501,Customer_Dim!$E$2:$E$501)</f>
        <v>Snowmouth</v>
      </c>
      <c r="H1285" t="s">
        <v>215</v>
      </c>
      <c r="I1285" t="str">
        <f>VLOOKUP(Table1[[#This Row],[Product_ID]],Product_Dim!$A$2:$G$101,2,FALSE)</f>
        <v>Hair Repair Oil Treatment-Beauty</v>
      </c>
      <c r="J1285" t="s">
        <v>1665</v>
      </c>
      <c r="K1285" t="str">
        <f>VLOOKUP(Table1[[#This Row],[Store_ID]],Store_Dim!$A$3:$D$22,2,FALSE)</f>
        <v>Gray Ltd-North</v>
      </c>
      <c r="L1285" t="s">
        <v>1738</v>
      </c>
      <c r="M1285" t="s">
        <v>3960</v>
      </c>
      <c r="N1285" s="3">
        <v>504.98</v>
      </c>
      <c r="O1285" s="4">
        <v>0.08</v>
      </c>
      <c r="P1285" t="s">
        <v>1777</v>
      </c>
      <c r="Q1285" s="4">
        <v>929.16320000000007</v>
      </c>
    </row>
    <row r="1286" spans="1:17" x14ac:dyDescent="0.3">
      <c r="A1286" t="s">
        <v>3058</v>
      </c>
      <c r="B1286" t="str">
        <f t="shared" si="20"/>
        <v>Q2</v>
      </c>
      <c r="C1286" t="str">
        <f>TEXT(Table1[[#This Row],[Order_Date]],"mmmm")</f>
        <v>June</v>
      </c>
      <c r="D1286">
        <f>YEAR(Table1[[#This Row],[Order_Date]])</f>
        <v>2025</v>
      </c>
      <c r="E1286" s="7">
        <v>45823</v>
      </c>
      <c r="F1286" s="2" t="str">
        <f>VLOOKUP(Table1[[#This Row],[Customer_ID]],Customer_Dim!$A$2:$H$501,2,FALSE)</f>
        <v>Frank Stewart</v>
      </c>
      <c r="G1286" s="2" t="str">
        <f>_xlfn.XLOOKUP(Table1[[#This Row],[Customer_ID]],Customer_Dim!$A$2:$A$501,Customer_Dim!$E$2:$E$501)</f>
        <v>Fischerborough</v>
      </c>
      <c r="H1286" t="s">
        <v>1168</v>
      </c>
      <c r="I1286" t="str">
        <f>VLOOKUP(Table1[[#This Row],[Product_ID]],Product_Dim!$A$2:$G$101,2,FALSE)</f>
        <v>Sports Stopwatch Pro-Sports</v>
      </c>
      <c r="J1286" t="s">
        <v>1631</v>
      </c>
      <c r="K1286" t="str">
        <f>VLOOKUP(Table1[[#This Row],[Store_ID]],Store_Dim!$A$3:$D$22,2,FALSE)</f>
        <v>Bean, Jones and Park-West</v>
      </c>
      <c r="L1286" t="s">
        <v>1744</v>
      </c>
      <c r="M1286" t="s">
        <v>3960</v>
      </c>
      <c r="N1286" s="3">
        <v>623.20000000000005</v>
      </c>
      <c r="O1286" s="4">
        <v>0.14000000000000001</v>
      </c>
      <c r="P1286" t="s">
        <v>1777</v>
      </c>
      <c r="Q1286" s="4">
        <v>1071.904</v>
      </c>
    </row>
    <row r="1287" spans="1:17" x14ac:dyDescent="0.3">
      <c r="A1287" t="s">
        <v>3059</v>
      </c>
      <c r="B1287" t="str">
        <f t="shared" si="20"/>
        <v>Q4</v>
      </c>
      <c r="C1287" t="str">
        <f>TEXT(Table1[[#This Row],[Order_Date]],"mmmm")</f>
        <v>November</v>
      </c>
      <c r="D1287">
        <f>YEAR(Table1[[#This Row],[Order_Date]])</f>
        <v>2024</v>
      </c>
      <c r="E1287" s="7">
        <v>45622</v>
      </c>
      <c r="F1287" s="2" t="str">
        <f>VLOOKUP(Table1[[#This Row],[Customer_ID]],Customer_Dim!$A$2:$H$501,2,FALSE)</f>
        <v>Andrew Smith</v>
      </c>
      <c r="G1287" s="2" t="str">
        <f>_xlfn.XLOOKUP(Table1[[#This Row],[Customer_ID]],Customer_Dim!$A$2:$A$501,Customer_Dim!$E$2:$E$501)</f>
        <v>East Matthew</v>
      </c>
      <c r="H1287" t="s">
        <v>1012</v>
      </c>
      <c r="I1287" t="str">
        <f>VLOOKUP(Table1[[#This Row],[Product_ID]],Product_Dim!$A$2:$G$101,2,FALSE)</f>
        <v>Men's Leather Belt-Clothing</v>
      </c>
      <c r="J1287" t="s">
        <v>1533</v>
      </c>
      <c r="K1287" t="str">
        <f>VLOOKUP(Table1[[#This Row],[Store_ID]],Store_Dim!$A$3:$D$22,2,FALSE)</f>
        <v>Frederick-Wright-West</v>
      </c>
      <c r="L1287" t="s">
        <v>1757</v>
      </c>
      <c r="M1287" t="s">
        <v>3960</v>
      </c>
      <c r="N1287" s="3">
        <v>530.54</v>
      </c>
      <c r="O1287" s="4">
        <v>0.28000000000000003</v>
      </c>
      <c r="P1287" t="s">
        <v>1777</v>
      </c>
      <c r="Q1287" s="4">
        <v>763.97759999999994</v>
      </c>
    </row>
    <row r="1288" spans="1:17" x14ac:dyDescent="0.3">
      <c r="A1288" t="s">
        <v>3060</v>
      </c>
      <c r="B1288" t="str">
        <f t="shared" si="20"/>
        <v>Q2</v>
      </c>
      <c r="C1288" t="str">
        <f>TEXT(Table1[[#This Row],[Order_Date]],"mmmm")</f>
        <v>June</v>
      </c>
      <c r="D1288">
        <f>YEAR(Table1[[#This Row],[Order_Date]])</f>
        <v>2025</v>
      </c>
      <c r="E1288" s="7">
        <v>45810</v>
      </c>
      <c r="F1288" s="2" t="str">
        <f>VLOOKUP(Table1[[#This Row],[Customer_ID]],Customer_Dim!$A$2:$H$501,2,FALSE)</f>
        <v>Brandon Mcbride</v>
      </c>
      <c r="G1288" s="2" t="str">
        <f>_xlfn.XLOOKUP(Table1[[#This Row],[Customer_ID]],Customer_Dim!$A$2:$A$501,Customer_Dim!$E$2:$E$501)</f>
        <v>Kellyside</v>
      </c>
      <c r="H1288" t="s">
        <v>1129</v>
      </c>
      <c r="I1288" t="str">
        <f>VLOOKUP(Table1[[#This Row],[Product_ID]],Product_Dim!$A$2:$G$101,2,FALSE)</f>
        <v>Brother Laser Printer-Electronics</v>
      </c>
      <c r="J1288" t="s">
        <v>1523</v>
      </c>
      <c r="K1288" t="str">
        <f>VLOOKUP(Table1[[#This Row],[Store_ID]],Store_Dim!$A$3:$D$22,2,FALSE)</f>
        <v>Frederick-Wright-West</v>
      </c>
      <c r="L1288" t="s">
        <v>1757</v>
      </c>
      <c r="M1288" t="s">
        <v>3958</v>
      </c>
      <c r="N1288" s="3">
        <v>279.45</v>
      </c>
      <c r="O1288" s="4">
        <v>0.15</v>
      </c>
      <c r="P1288" t="s">
        <v>1777</v>
      </c>
      <c r="Q1288" s="4">
        <v>712.59749999999985</v>
      </c>
    </row>
    <row r="1289" spans="1:17" x14ac:dyDescent="0.3">
      <c r="A1289" t="s">
        <v>3061</v>
      </c>
      <c r="B1289" t="str">
        <f t="shared" si="20"/>
        <v>Q4</v>
      </c>
      <c r="C1289" t="str">
        <f>TEXT(Table1[[#This Row],[Order_Date]],"mmmm")</f>
        <v>December</v>
      </c>
      <c r="D1289">
        <f>YEAR(Table1[[#This Row],[Order_Date]])</f>
        <v>2024</v>
      </c>
      <c r="E1289" s="7">
        <v>45645</v>
      </c>
      <c r="F1289" s="2" t="str">
        <f>VLOOKUP(Table1[[#This Row],[Customer_ID]],Customer_Dim!$A$2:$H$501,2,FALSE)</f>
        <v>Cynthia Payne</v>
      </c>
      <c r="G1289" s="2" t="str">
        <f>_xlfn.XLOOKUP(Table1[[#This Row],[Customer_ID]],Customer_Dim!$A$2:$A$501,Customer_Dim!$E$2:$E$501)</f>
        <v>South Gina</v>
      </c>
      <c r="H1289" t="s">
        <v>842</v>
      </c>
      <c r="I1289" t="str">
        <f>VLOOKUP(Table1[[#This Row],[Product_ID]],Product_Dim!$A$2:$G$101,2,FALSE)</f>
        <v>Hair Strengthening Shampoo-Beauty</v>
      </c>
      <c r="J1289" t="s">
        <v>1547</v>
      </c>
      <c r="K1289" t="str">
        <f>VLOOKUP(Table1[[#This Row],[Store_ID]],Store_Dim!$A$3:$D$22,2,FALSE)</f>
        <v>Bean, Jones and Park-West</v>
      </c>
      <c r="L1289" t="s">
        <v>1744</v>
      </c>
      <c r="M1289" t="s">
        <v>3958</v>
      </c>
      <c r="N1289" s="3">
        <v>906.99</v>
      </c>
      <c r="O1289" s="4">
        <v>0.26</v>
      </c>
      <c r="P1289" t="s">
        <v>1777</v>
      </c>
      <c r="Q1289" s="4">
        <v>2013.5178000000001</v>
      </c>
    </row>
    <row r="1290" spans="1:17" x14ac:dyDescent="0.3">
      <c r="A1290" t="s">
        <v>3062</v>
      </c>
      <c r="B1290" t="str">
        <f t="shared" si="20"/>
        <v>Q2</v>
      </c>
      <c r="C1290" t="str">
        <f>TEXT(Table1[[#This Row],[Order_Date]],"mmmm")</f>
        <v>April</v>
      </c>
      <c r="D1290">
        <f>YEAR(Table1[[#This Row],[Order_Date]])</f>
        <v>2025</v>
      </c>
      <c r="E1290" s="7">
        <v>45749</v>
      </c>
      <c r="F1290" s="2" t="str">
        <f>VLOOKUP(Table1[[#This Row],[Customer_ID]],Customer_Dim!$A$2:$H$501,2,FALSE)</f>
        <v>Eric Singh</v>
      </c>
      <c r="G1290" s="2" t="str">
        <f>_xlfn.XLOOKUP(Table1[[#This Row],[Customer_ID]],Customer_Dim!$A$2:$A$501,Customer_Dim!$E$2:$E$501)</f>
        <v>Port Lisa</v>
      </c>
      <c r="H1290" t="s">
        <v>255</v>
      </c>
      <c r="I1290" t="str">
        <f>VLOOKUP(Table1[[#This Row],[Product_ID]],Product_Dim!$A$2:$G$101,2,FALSE)</f>
        <v>Wall-Mounted Spice Rack-Home</v>
      </c>
      <c r="J1290" t="s">
        <v>1683</v>
      </c>
      <c r="K1290" t="str">
        <f>VLOOKUP(Table1[[#This Row],[Store_ID]],Store_Dim!$A$3:$D$22,2,FALSE)</f>
        <v>Holloway Ltd-North</v>
      </c>
      <c r="L1290" t="s">
        <v>1759</v>
      </c>
      <c r="M1290" t="s">
        <v>3959</v>
      </c>
      <c r="N1290" s="3">
        <v>408.76</v>
      </c>
      <c r="O1290" s="4">
        <v>0.12</v>
      </c>
      <c r="P1290" t="s">
        <v>1777</v>
      </c>
      <c r="Q1290" s="4">
        <v>1438.8352</v>
      </c>
    </row>
    <row r="1291" spans="1:17" x14ac:dyDescent="0.3">
      <c r="A1291" t="s">
        <v>3063</v>
      </c>
      <c r="B1291" t="str">
        <f t="shared" si="20"/>
        <v>Q3</v>
      </c>
      <c r="C1291" t="str">
        <f>TEXT(Table1[[#This Row],[Order_Date]],"mmmm")</f>
        <v>September</v>
      </c>
      <c r="D1291">
        <f>YEAR(Table1[[#This Row],[Order_Date]])</f>
        <v>2024</v>
      </c>
      <c r="E1291" s="7">
        <v>45537</v>
      </c>
      <c r="F1291" s="2" t="str">
        <f>VLOOKUP(Table1[[#This Row],[Customer_ID]],Customer_Dim!$A$2:$H$501,2,FALSE)</f>
        <v>Curtis Lam</v>
      </c>
      <c r="G1291" s="2" t="str">
        <f>_xlfn.XLOOKUP(Table1[[#This Row],[Customer_ID]],Customer_Dim!$A$2:$A$501,Customer_Dim!$E$2:$E$501)</f>
        <v>Butlerberg</v>
      </c>
      <c r="H1291" t="s">
        <v>579</v>
      </c>
      <c r="I1291" t="str">
        <f>VLOOKUP(Table1[[#This Row],[Product_ID]],Product_Dim!$A$2:$G$101,2,FALSE)</f>
        <v>Women's Summer Dress-Clothing</v>
      </c>
      <c r="J1291" t="s">
        <v>1595</v>
      </c>
      <c r="K1291" t="str">
        <f>VLOOKUP(Table1[[#This Row],[Store_ID]],Store_Dim!$A$3:$D$22,2,FALSE)</f>
        <v>Moore, Padilla and Butler-South</v>
      </c>
      <c r="L1291" t="s">
        <v>1746</v>
      </c>
      <c r="M1291" t="s">
        <v>3960</v>
      </c>
      <c r="N1291" s="3">
        <v>117.34</v>
      </c>
      <c r="O1291" s="4">
        <v>0.09</v>
      </c>
      <c r="P1291" t="s">
        <v>1774</v>
      </c>
      <c r="Q1291" s="4">
        <v>213.55879999999999</v>
      </c>
    </row>
    <row r="1292" spans="1:17" x14ac:dyDescent="0.3">
      <c r="A1292" t="s">
        <v>3064</v>
      </c>
      <c r="B1292" t="str">
        <f t="shared" si="20"/>
        <v>Q1</v>
      </c>
      <c r="C1292" t="str">
        <f>TEXT(Table1[[#This Row],[Order_Date]],"mmmm")</f>
        <v>March</v>
      </c>
      <c r="D1292">
        <f>YEAR(Table1[[#This Row],[Order_Date]])</f>
        <v>2024</v>
      </c>
      <c r="E1292" s="7">
        <v>45376</v>
      </c>
      <c r="F1292" s="2" t="str">
        <f>VLOOKUP(Table1[[#This Row],[Customer_ID]],Customer_Dim!$A$2:$H$501,2,FALSE)</f>
        <v>Daniel Contreras</v>
      </c>
      <c r="G1292" s="2" t="str">
        <f>_xlfn.XLOOKUP(Table1[[#This Row],[Customer_ID]],Customer_Dim!$A$2:$A$501,Customer_Dim!$E$2:$E$501)</f>
        <v>Robertview</v>
      </c>
      <c r="H1292" t="s">
        <v>554</v>
      </c>
      <c r="I1292" t="str">
        <f>VLOOKUP(Table1[[#This Row],[Product_ID]],Product_Dim!$A$2:$G$101,2,FALSE)</f>
        <v>Women's High Heels-Clothing</v>
      </c>
      <c r="J1292" t="s">
        <v>1705</v>
      </c>
      <c r="K1292" t="str">
        <f>VLOOKUP(Table1[[#This Row],[Store_ID]],Store_Dim!$A$3:$D$22,2,FALSE)</f>
        <v>Mcdonald Inc-South</v>
      </c>
      <c r="L1292" t="s">
        <v>1754</v>
      </c>
      <c r="M1292" t="s">
        <v>3958</v>
      </c>
      <c r="N1292" s="3">
        <v>690.27</v>
      </c>
      <c r="O1292" s="4">
        <v>7.0000000000000007E-2</v>
      </c>
      <c r="P1292" t="s">
        <v>1774</v>
      </c>
      <c r="Q1292" s="4">
        <v>1925.8533</v>
      </c>
    </row>
    <row r="1293" spans="1:17" x14ac:dyDescent="0.3">
      <c r="A1293" t="s">
        <v>3065</v>
      </c>
      <c r="B1293" t="str">
        <f t="shared" si="20"/>
        <v>Q1</v>
      </c>
      <c r="C1293" t="str">
        <f>TEXT(Table1[[#This Row],[Order_Date]],"mmmm")</f>
        <v>February</v>
      </c>
      <c r="D1293">
        <f>YEAR(Table1[[#This Row],[Order_Date]])</f>
        <v>2025</v>
      </c>
      <c r="E1293" s="7">
        <v>45709</v>
      </c>
      <c r="F1293" s="2" t="str">
        <f>VLOOKUP(Table1[[#This Row],[Customer_ID]],Customer_Dim!$A$2:$H$501,2,FALSE)</f>
        <v>Travis Holland</v>
      </c>
      <c r="G1293" s="2" t="str">
        <f>_xlfn.XLOOKUP(Table1[[#This Row],[Customer_ID]],Customer_Dim!$A$2:$A$501,Customer_Dim!$E$2:$E$501)</f>
        <v>Webstermouth</v>
      </c>
      <c r="H1293" t="s">
        <v>376</v>
      </c>
      <c r="I1293" t="str">
        <f>VLOOKUP(Table1[[#This Row],[Product_ID]],Product_Dim!$A$2:$G$101,2,FALSE)</f>
        <v>Sports Stopwatch Timer-Sports</v>
      </c>
      <c r="J1293" t="s">
        <v>1579</v>
      </c>
      <c r="K1293" t="str">
        <f>VLOOKUP(Table1[[#This Row],[Store_ID]],Store_Dim!$A$3:$D$22,2,FALSE)</f>
        <v>Holloway Ltd-North</v>
      </c>
      <c r="L1293" t="s">
        <v>1759</v>
      </c>
      <c r="M1293" t="s">
        <v>3959</v>
      </c>
      <c r="N1293" s="3">
        <v>377.18</v>
      </c>
      <c r="O1293" s="4">
        <v>0.24</v>
      </c>
      <c r="P1293" t="s">
        <v>1774</v>
      </c>
      <c r="Q1293" s="4">
        <v>1146.6271999999999</v>
      </c>
    </row>
    <row r="1294" spans="1:17" x14ac:dyDescent="0.3">
      <c r="A1294" t="s">
        <v>3066</v>
      </c>
      <c r="B1294" t="str">
        <f t="shared" si="20"/>
        <v>Q2</v>
      </c>
      <c r="C1294" t="str">
        <f>TEXT(Table1[[#This Row],[Order_Date]],"mmmm")</f>
        <v>June</v>
      </c>
      <c r="D1294">
        <f>YEAR(Table1[[#This Row],[Order_Date]])</f>
        <v>2024</v>
      </c>
      <c r="E1294" s="7">
        <v>45446</v>
      </c>
      <c r="F1294" s="2" t="str">
        <f>VLOOKUP(Table1[[#This Row],[Customer_ID]],Customer_Dim!$A$2:$H$501,2,FALSE)</f>
        <v>David Cole</v>
      </c>
      <c r="G1294" s="2" t="str">
        <f>_xlfn.XLOOKUP(Table1[[#This Row],[Customer_ID]],Customer_Dim!$A$2:$A$501,Customer_Dim!$E$2:$E$501)</f>
        <v>Lake Michael</v>
      </c>
      <c r="H1294" t="s">
        <v>388</v>
      </c>
      <c r="I1294" t="str">
        <f>VLOOKUP(Table1[[#This Row],[Product_ID]],Product_Dim!$A$2:$G$101,2,FALSE)</f>
        <v>Noise-Canceling Headphones-Electronics</v>
      </c>
      <c r="J1294" t="s">
        <v>1603</v>
      </c>
      <c r="K1294" t="str">
        <f>VLOOKUP(Table1[[#This Row],[Store_ID]],Store_Dim!$A$3:$D$22,2,FALSE)</f>
        <v>Rivera-Warner-East</v>
      </c>
      <c r="L1294" t="s">
        <v>1725</v>
      </c>
      <c r="M1294" t="s">
        <v>3957</v>
      </c>
      <c r="N1294" s="3">
        <v>70.52</v>
      </c>
      <c r="O1294" s="4">
        <v>0.08</v>
      </c>
      <c r="P1294" t="s">
        <v>1777</v>
      </c>
      <c r="Q1294" s="4">
        <v>64.878399999999999</v>
      </c>
    </row>
    <row r="1295" spans="1:17" x14ac:dyDescent="0.3">
      <c r="A1295" t="s">
        <v>3067</v>
      </c>
      <c r="B1295" t="str">
        <f t="shared" si="20"/>
        <v>Q1</v>
      </c>
      <c r="C1295" t="str">
        <f>TEXT(Table1[[#This Row],[Order_Date]],"mmmm")</f>
        <v>February</v>
      </c>
      <c r="D1295">
        <f>YEAR(Table1[[#This Row],[Order_Date]])</f>
        <v>2024</v>
      </c>
      <c r="E1295" s="7">
        <v>45330</v>
      </c>
      <c r="F1295" s="2" t="str">
        <f>VLOOKUP(Table1[[#This Row],[Customer_ID]],Customer_Dim!$A$2:$H$501,2,FALSE)</f>
        <v>Shannon Miller</v>
      </c>
      <c r="G1295" s="2" t="str">
        <f>_xlfn.XLOOKUP(Table1[[#This Row],[Customer_ID]],Customer_Dim!$A$2:$A$501,Customer_Dim!$E$2:$E$501)</f>
        <v>North Austinport</v>
      </c>
      <c r="H1295" t="s">
        <v>867</v>
      </c>
      <c r="I1295" t="str">
        <f>VLOOKUP(Table1[[#This Row],[Product_ID]],Product_Dim!$A$2:$G$101,2,FALSE)</f>
        <v>Sports Water Hydration Pack-Sports</v>
      </c>
      <c r="J1295" t="s">
        <v>1599</v>
      </c>
      <c r="K1295" t="str">
        <f>VLOOKUP(Table1[[#This Row],[Store_ID]],Store_Dim!$A$3:$D$22,2,FALSE)</f>
        <v>Moore, Padilla and Butler-South</v>
      </c>
      <c r="L1295" t="s">
        <v>1746</v>
      </c>
      <c r="M1295" t="s">
        <v>3957</v>
      </c>
      <c r="N1295" s="3">
        <v>40.25</v>
      </c>
      <c r="O1295" s="4">
        <v>0.1</v>
      </c>
      <c r="P1295" t="s">
        <v>1774</v>
      </c>
      <c r="Q1295" s="4">
        <v>36.225000000000001</v>
      </c>
    </row>
    <row r="1296" spans="1:17" x14ac:dyDescent="0.3">
      <c r="A1296" t="s">
        <v>3068</v>
      </c>
      <c r="B1296" t="str">
        <f t="shared" si="20"/>
        <v>Q2</v>
      </c>
      <c r="C1296" t="str">
        <f>TEXT(Table1[[#This Row],[Order_Date]],"mmmm")</f>
        <v>April</v>
      </c>
      <c r="D1296">
        <f>YEAR(Table1[[#This Row],[Order_Date]])</f>
        <v>2024</v>
      </c>
      <c r="E1296" s="7">
        <v>45388</v>
      </c>
      <c r="F1296" s="2" t="str">
        <f>VLOOKUP(Table1[[#This Row],[Customer_ID]],Customer_Dim!$A$2:$H$501,2,FALSE)</f>
        <v>Christy Hill</v>
      </c>
      <c r="G1296" s="2" t="str">
        <f>_xlfn.XLOOKUP(Table1[[#This Row],[Customer_ID]],Customer_Dim!$A$2:$A$501,Customer_Dim!$E$2:$E$501)</f>
        <v>Tammyton</v>
      </c>
      <c r="H1296" t="s">
        <v>740</v>
      </c>
      <c r="I1296" t="str">
        <f>VLOOKUP(Table1[[#This Row],[Product_ID]],Product_Dim!$A$2:$G$101,2,FALSE)</f>
        <v>Face Foundation Kit-Beauty</v>
      </c>
      <c r="J1296" t="s">
        <v>1701</v>
      </c>
      <c r="K1296" t="str">
        <f>VLOOKUP(Table1[[#This Row],[Store_ID]],Store_Dim!$A$3:$D$22,2,FALSE)</f>
        <v>Aguirre-Keller-South</v>
      </c>
      <c r="L1296" t="s">
        <v>1750</v>
      </c>
      <c r="M1296" t="s">
        <v>3958</v>
      </c>
      <c r="N1296" s="3">
        <v>539.44000000000005</v>
      </c>
      <c r="O1296" s="4">
        <v>0.05</v>
      </c>
      <c r="P1296" t="s">
        <v>1777</v>
      </c>
      <c r="Q1296" s="4">
        <v>1537.404</v>
      </c>
    </row>
    <row r="1297" spans="1:17" x14ac:dyDescent="0.3">
      <c r="A1297" t="s">
        <v>3069</v>
      </c>
      <c r="B1297" t="str">
        <f t="shared" si="20"/>
        <v>Q1</v>
      </c>
      <c r="C1297" t="str">
        <f>TEXT(Table1[[#This Row],[Order_Date]],"mmmm")</f>
        <v>January</v>
      </c>
      <c r="D1297">
        <f>YEAR(Table1[[#This Row],[Order_Date]])</f>
        <v>2024</v>
      </c>
      <c r="E1297" s="7">
        <v>45313</v>
      </c>
      <c r="F1297" s="2" t="str">
        <f>VLOOKUP(Table1[[#This Row],[Customer_ID]],Customer_Dim!$A$2:$H$501,2,FALSE)</f>
        <v>Douglas Rhodes</v>
      </c>
      <c r="G1297" s="2" t="str">
        <f>_xlfn.XLOOKUP(Table1[[#This Row],[Customer_ID]],Customer_Dim!$A$2:$A$501,Customer_Dim!$E$2:$E$501)</f>
        <v>Mikehaven</v>
      </c>
      <c r="H1297" t="s">
        <v>785</v>
      </c>
      <c r="I1297" t="str">
        <f>VLOOKUP(Table1[[#This Row],[Product_ID]],Product_Dim!$A$2:$G$101,2,FALSE)</f>
        <v>Luxury Perfume Spray-Beauty</v>
      </c>
      <c r="J1297" t="s">
        <v>1643</v>
      </c>
      <c r="K1297" t="str">
        <f>VLOOKUP(Table1[[#This Row],[Store_ID]],Store_Dim!$A$3:$D$22,2,FALSE)</f>
        <v>Alexander Group-South</v>
      </c>
      <c r="L1297" t="s">
        <v>1735</v>
      </c>
      <c r="M1297" t="s">
        <v>3958</v>
      </c>
      <c r="N1297" s="3">
        <v>543.49</v>
      </c>
      <c r="O1297" s="4">
        <v>0.05</v>
      </c>
      <c r="P1297" t="s">
        <v>1774</v>
      </c>
      <c r="Q1297" s="4">
        <v>1548.9465</v>
      </c>
    </row>
    <row r="1298" spans="1:17" x14ac:dyDescent="0.3">
      <c r="A1298" t="s">
        <v>3070</v>
      </c>
      <c r="B1298" t="str">
        <f t="shared" si="20"/>
        <v>Q4</v>
      </c>
      <c r="C1298" t="str">
        <f>TEXT(Table1[[#This Row],[Order_Date]],"mmmm")</f>
        <v>October</v>
      </c>
      <c r="D1298">
        <f>YEAR(Table1[[#This Row],[Order_Date]])</f>
        <v>2023</v>
      </c>
      <c r="E1298" s="7">
        <v>45221</v>
      </c>
      <c r="F1298" s="2" t="str">
        <f>VLOOKUP(Table1[[#This Row],[Customer_ID]],Customer_Dim!$A$2:$H$501,2,FALSE)</f>
        <v>Alex Mann Ii</v>
      </c>
      <c r="G1298" s="2" t="str">
        <f>_xlfn.XLOOKUP(Table1[[#This Row],[Customer_ID]],Customer_Dim!$A$2:$A$501,Customer_Dim!$E$2:$E$501)</f>
        <v>South Zacharychester</v>
      </c>
      <c r="H1298" t="s">
        <v>1010</v>
      </c>
      <c r="I1298" t="str">
        <f>VLOOKUP(Table1[[#This Row],[Product_ID]],Product_Dim!$A$2:$G$101,2,FALSE)</f>
        <v>LED Table Lamp-Home</v>
      </c>
      <c r="J1298" t="s">
        <v>1537</v>
      </c>
      <c r="K1298" t="str">
        <f>VLOOKUP(Table1[[#This Row],[Store_ID]],Store_Dim!$A$3:$D$22,2,FALSE)</f>
        <v>Benson-Elliott-East</v>
      </c>
      <c r="L1298" t="s">
        <v>1740</v>
      </c>
      <c r="M1298" t="s">
        <v>3959</v>
      </c>
      <c r="N1298" s="3">
        <v>547.21</v>
      </c>
      <c r="O1298" s="4">
        <v>0.1</v>
      </c>
      <c r="P1298" t="s">
        <v>1777</v>
      </c>
      <c r="Q1298" s="4">
        <v>1969.9559999999999</v>
      </c>
    </row>
    <row r="1299" spans="1:17" x14ac:dyDescent="0.3">
      <c r="A1299" t="s">
        <v>3071</v>
      </c>
      <c r="B1299" t="str">
        <f t="shared" si="20"/>
        <v>Q4</v>
      </c>
      <c r="C1299" t="str">
        <f>TEXT(Table1[[#This Row],[Order_Date]],"mmmm")</f>
        <v>November</v>
      </c>
      <c r="D1299">
        <f>YEAR(Table1[[#This Row],[Order_Date]])</f>
        <v>2024</v>
      </c>
      <c r="E1299" s="7">
        <v>45619</v>
      </c>
      <c r="F1299" s="2" t="str">
        <f>VLOOKUP(Table1[[#This Row],[Customer_ID]],Customer_Dim!$A$2:$H$501,2,FALSE)</f>
        <v>Mr. William Horton</v>
      </c>
      <c r="G1299" s="2" t="str">
        <f>_xlfn.XLOOKUP(Table1[[#This Row],[Customer_ID]],Customer_Dim!$A$2:$A$501,Customer_Dim!$E$2:$E$501)</f>
        <v>Dawsonchester</v>
      </c>
      <c r="H1299" t="s">
        <v>767</v>
      </c>
      <c r="I1299" t="str">
        <f>VLOOKUP(Table1[[#This Row],[Product_ID]],Product_Dim!$A$2:$G$101,2,FALSE)</f>
        <v>Adjustable Dumbbells 20kg-Sports</v>
      </c>
      <c r="J1299" t="s">
        <v>1653</v>
      </c>
      <c r="K1299" t="str">
        <f>VLOOKUP(Table1[[#This Row],[Store_ID]],Store_Dim!$A$3:$D$22,2,FALSE)</f>
        <v>Martinez, Adkins and Johnson-North</v>
      </c>
      <c r="L1299" t="s">
        <v>1728</v>
      </c>
      <c r="M1299" t="s">
        <v>3960</v>
      </c>
      <c r="N1299" s="3">
        <v>892.46</v>
      </c>
      <c r="O1299" s="4">
        <v>7.0000000000000007E-2</v>
      </c>
      <c r="P1299" t="s">
        <v>1774</v>
      </c>
      <c r="Q1299" s="4">
        <v>1659.9756</v>
      </c>
    </row>
    <row r="1300" spans="1:17" x14ac:dyDescent="0.3">
      <c r="A1300" t="s">
        <v>3072</v>
      </c>
      <c r="B1300" t="str">
        <f t="shared" si="20"/>
        <v>Q4</v>
      </c>
      <c r="C1300" t="str">
        <f>TEXT(Table1[[#This Row],[Order_Date]],"mmmm")</f>
        <v>December</v>
      </c>
      <c r="D1300">
        <f>YEAR(Table1[[#This Row],[Order_Date]])</f>
        <v>2023</v>
      </c>
      <c r="E1300" s="7">
        <v>45286</v>
      </c>
      <c r="F1300" s="2" t="str">
        <f>VLOOKUP(Table1[[#This Row],[Customer_ID]],Customer_Dim!$A$2:$H$501,2,FALSE)</f>
        <v>Timothy Gardner</v>
      </c>
      <c r="G1300" s="2" t="str">
        <f>_xlfn.XLOOKUP(Table1[[#This Row],[Customer_ID]],Customer_Dim!$A$2:$A$501,Customer_Dim!$E$2:$E$501)</f>
        <v>New Dawn</v>
      </c>
      <c r="H1300" t="s">
        <v>1195</v>
      </c>
      <c r="I1300" t="str">
        <f>VLOOKUP(Table1[[#This Row],[Product_ID]],Product_Dim!$A$2:$G$101,2,FALSE)</f>
        <v>Wireless Bluetooth Speaker-Electronics</v>
      </c>
      <c r="J1300" t="s">
        <v>1575</v>
      </c>
      <c r="K1300" t="str">
        <f>VLOOKUP(Table1[[#This Row],[Store_ID]],Store_Dim!$A$3:$D$22,2,FALSE)</f>
        <v>Bean, Jones and Park-West</v>
      </c>
      <c r="L1300" t="s">
        <v>1744</v>
      </c>
      <c r="M1300" t="s">
        <v>3960</v>
      </c>
      <c r="N1300" s="3">
        <v>853.41</v>
      </c>
      <c r="O1300" s="4">
        <v>0.25</v>
      </c>
      <c r="P1300" t="s">
        <v>1772</v>
      </c>
      <c r="Q1300" s="4">
        <v>1280.115</v>
      </c>
    </row>
    <row r="1301" spans="1:17" x14ac:dyDescent="0.3">
      <c r="A1301" t="s">
        <v>3073</v>
      </c>
      <c r="B1301" t="str">
        <f t="shared" si="20"/>
        <v>Q2</v>
      </c>
      <c r="C1301" t="str">
        <f>TEXT(Table1[[#This Row],[Order_Date]],"mmmm")</f>
        <v>June</v>
      </c>
      <c r="D1301">
        <f>YEAR(Table1[[#This Row],[Order_Date]])</f>
        <v>2024</v>
      </c>
      <c r="E1301" s="7">
        <v>45451</v>
      </c>
      <c r="F1301" s="2" t="str">
        <f>VLOOKUP(Table1[[#This Row],[Customer_ID]],Customer_Dim!$A$2:$H$501,2,FALSE)</f>
        <v>Ashley Griffin</v>
      </c>
      <c r="G1301" s="2" t="str">
        <f>_xlfn.XLOOKUP(Table1[[#This Row],[Customer_ID]],Customer_Dim!$A$2:$A$501,Customer_Dim!$E$2:$E$501)</f>
        <v>New Dawnton</v>
      </c>
      <c r="H1301" t="s">
        <v>382</v>
      </c>
      <c r="I1301" t="str">
        <f>VLOOKUP(Table1[[#This Row],[Product_ID]],Product_Dim!$A$2:$G$101,2,FALSE)</f>
        <v>Fitness Resistance Bands-Sports</v>
      </c>
      <c r="J1301" t="s">
        <v>1687</v>
      </c>
      <c r="K1301" t="str">
        <f>VLOOKUP(Table1[[#This Row],[Store_ID]],Store_Dim!$A$3:$D$22,2,FALSE)</f>
        <v>Martinez-Mullins-South</v>
      </c>
      <c r="L1301" t="s">
        <v>1742</v>
      </c>
      <c r="M1301" t="s">
        <v>3957</v>
      </c>
      <c r="N1301" s="3">
        <v>162.13999999999999</v>
      </c>
      <c r="O1301" s="4">
        <v>7.0000000000000007E-2</v>
      </c>
      <c r="P1301" t="s">
        <v>1774</v>
      </c>
      <c r="Q1301" s="4">
        <v>150.7902</v>
      </c>
    </row>
    <row r="1302" spans="1:17" x14ac:dyDescent="0.3">
      <c r="A1302" t="s">
        <v>3074</v>
      </c>
      <c r="B1302" t="str">
        <f t="shared" si="20"/>
        <v>Q3</v>
      </c>
      <c r="C1302" t="str">
        <f>TEXT(Table1[[#This Row],[Order_Date]],"mmmm")</f>
        <v>July</v>
      </c>
      <c r="D1302">
        <f>YEAR(Table1[[#This Row],[Order_Date]])</f>
        <v>2024</v>
      </c>
      <c r="E1302" s="7">
        <v>45478</v>
      </c>
      <c r="F1302" s="2" t="str">
        <f>VLOOKUP(Table1[[#This Row],[Customer_ID]],Customer_Dim!$A$2:$H$501,2,FALSE)</f>
        <v>Rhonda Young</v>
      </c>
      <c r="G1302" s="2" t="str">
        <f>_xlfn.XLOOKUP(Table1[[#This Row],[Customer_ID]],Customer_Dim!$A$2:$A$501,Customer_Dim!$E$2:$E$501)</f>
        <v>Lake Nathanfort</v>
      </c>
      <c r="H1302" t="s">
        <v>491</v>
      </c>
      <c r="I1302" t="str">
        <f>VLOOKUP(Table1[[#This Row],[Product_ID]],Product_Dim!$A$2:$G$101,2,FALSE)</f>
        <v>Women's Formal Blazer-Clothing</v>
      </c>
      <c r="J1302" t="s">
        <v>1715</v>
      </c>
      <c r="K1302" t="str">
        <f>VLOOKUP(Table1[[#This Row],[Store_ID]],Store_Dim!$A$3:$D$22,2,FALSE)</f>
        <v>Frederick-Wright-West</v>
      </c>
      <c r="L1302" t="s">
        <v>1757</v>
      </c>
      <c r="M1302" t="s">
        <v>3957</v>
      </c>
      <c r="N1302" s="3">
        <v>893.14</v>
      </c>
      <c r="O1302" s="4">
        <v>0.09</v>
      </c>
      <c r="P1302" t="s">
        <v>1772</v>
      </c>
      <c r="Q1302" s="4">
        <v>812.75739999999996</v>
      </c>
    </row>
    <row r="1303" spans="1:17" x14ac:dyDescent="0.3">
      <c r="A1303" t="s">
        <v>3075</v>
      </c>
      <c r="B1303" t="str">
        <f t="shared" si="20"/>
        <v>Q3</v>
      </c>
      <c r="C1303" t="str">
        <f>TEXT(Table1[[#This Row],[Order_Date]],"mmmm")</f>
        <v>August</v>
      </c>
      <c r="D1303">
        <f>YEAR(Table1[[#This Row],[Order_Date]])</f>
        <v>2024</v>
      </c>
      <c r="E1303" s="7">
        <v>45528</v>
      </c>
      <c r="F1303" s="2" t="str">
        <f>VLOOKUP(Table1[[#This Row],[Customer_ID]],Customer_Dim!$A$2:$H$501,2,FALSE)</f>
        <v>Steven Stein</v>
      </c>
      <c r="G1303" s="2" t="str">
        <f>_xlfn.XLOOKUP(Table1[[#This Row],[Customer_ID]],Customer_Dim!$A$2:$A$501,Customer_Dim!$E$2:$E$501)</f>
        <v>West Lauren</v>
      </c>
      <c r="H1303" t="s">
        <v>361</v>
      </c>
      <c r="I1303" t="str">
        <f>VLOOKUP(Table1[[#This Row],[Product_ID]],Product_Dim!$A$2:$G$101,2,FALSE)</f>
        <v>Gaming Mechanical Keyboard-Electronics</v>
      </c>
      <c r="J1303" t="s">
        <v>1591</v>
      </c>
      <c r="K1303" t="str">
        <f>VLOOKUP(Table1[[#This Row],[Store_ID]],Store_Dim!$A$3:$D$22,2,FALSE)</f>
        <v>Bean, Jones and Park-West</v>
      </c>
      <c r="L1303" t="s">
        <v>1744</v>
      </c>
      <c r="M1303" t="s">
        <v>3959</v>
      </c>
      <c r="N1303" s="3">
        <v>349.07</v>
      </c>
      <c r="O1303" s="4">
        <v>0.28000000000000003</v>
      </c>
      <c r="P1303" t="s">
        <v>1772</v>
      </c>
      <c r="Q1303" s="4">
        <v>1005.3216</v>
      </c>
    </row>
    <row r="1304" spans="1:17" x14ac:dyDescent="0.3">
      <c r="A1304" t="s">
        <v>3076</v>
      </c>
      <c r="B1304" t="str">
        <f t="shared" si="20"/>
        <v>Q2</v>
      </c>
      <c r="C1304" t="str">
        <f>TEXT(Table1[[#This Row],[Order_Date]],"mmmm")</f>
        <v>May</v>
      </c>
      <c r="D1304">
        <f>YEAR(Table1[[#This Row],[Order_Date]])</f>
        <v>2024</v>
      </c>
      <c r="E1304" s="7">
        <v>45418</v>
      </c>
      <c r="F1304" s="2" t="str">
        <f>VLOOKUP(Table1[[#This Row],[Customer_ID]],Customer_Dim!$A$2:$H$501,2,FALSE)</f>
        <v>Bryan Garcia</v>
      </c>
      <c r="G1304" s="2" t="str">
        <f>_xlfn.XLOOKUP(Table1[[#This Row],[Customer_ID]],Customer_Dim!$A$2:$A$501,Customer_Dim!$E$2:$E$501)</f>
        <v>Garciaborough</v>
      </c>
      <c r="H1304" t="s">
        <v>891</v>
      </c>
      <c r="I1304" t="str">
        <f>VLOOKUP(Table1[[#This Row],[Product_ID]],Product_Dim!$A$2:$G$101,2,FALSE)</f>
        <v>Badminton Racket Set-Sports</v>
      </c>
      <c r="J1304" t="s">
        <v>1685</v>
      </c>
      <c r="K1304" t="str">
        <f>VLOOKUP(Table1[[#This Row],[Store_ID]],Store_Dim!$A$3:$D$22,2,FALSE)</f>
        <v>Gardner, Humphrey and Contreras-East</v>
      </c>
      <c r="L1304" t="s">
        <v>1753</v>
      </c>
      <c r="M1304" t="s">
        <v>3957</v>
      </c>
      <c r="N1304" s="3">
        <v>747.9</v>
      </c>
      <c r="O1304" s="4">
        <v>0.21</v>
      </c>
      <c r="P1304" t="s">
        <v>1777</v>
      </c>
      <c r="Q1304" s="4">
        <v>590.84100000000001</v>
      </c>
    </row>
    <row r="1305" spans="1:17" x14ac:dyDescent="0.3">
      <c r="A1305" t="s">
        <v>3077</v>
      </c>
      <c r="B1305" t="str">
        <f t="shared" si="20"/>
        <v>Q3</v>
      </c>
      <c r="C1305" t="str">
        <f>TEXT(Table1[[#This Row],[Order_Date]],"mmmm")</f>
        <v>July</v>
      </c>
      <c r="D1305">
        <f>YEAR(Table1[[#This Row],[Order_Date]])</f>
        <v>2024</v>
      </c>
      <c r="E1305" s="7">
        <v>45478</v>
      </c>
      <c r="F1305" s="2" t="str">
        <f>VLOOKUP(Table1[[#This Row],[Customer_ID]],Customer_Dim!$A$2:$H$501,2,FALSE)</f>
        <v>Sarah Vance</v>
      </c>
      <c r="G1305" s="2" t="str">
        <f>_xlfn.XLOOKUP(Table1[[#This Row],[Customer_ID]],Customer_Dim!$A$2:$A$501,Customer_Dim!$E$2:$E$501)</f>
        <v>Johnsonville</v>
      </c>
      <c r="H1305" t="s">
        <v>127</v>
      </c>
      <c r="I1305" t="str">
        <f>VLOOKUP(Table1[[#This Row],[Product_ID]],Product_Dim!$A$2:$G$101,2,FALSE)</f>
        <v>Badminton Racket Set-Sports</v>
      </c>
      <c r="J1305" t="s">
        <v>1685</v>
      </c>
      <c r="K1305" t="str">
        <f>VLOOKUP(Table1[[#This Row],[Store_ID]],Store_Dim!$A$3:$D$22,2,FALSE)</f>
        <v>Benson-Elliott-East</v>
      </c>
      <c r="L1305" t="s">
        <v>1740</v>
      </c>
      <c r="M1305" t="s">
        <v>3958</v>
      </c>
      <c r="N1305" s="3">
        <v>438.92</v>
      </c>
      <c r="O1305" s="4">
        <v>0.21</v>
      </c>
      <c r="P1305" t="s">
        <v>1772</v>
      </c>
      <c r="Q1305" s="4">
        <v>1040.2403999999999</v>
      </c>
    </row>
    <row r="1306" spans="1:17" x14ac:dyDescent="0.3">
      <c r="A1306" t="s">
        <v>3078</v>
      </c>
      <c r="B1306" t="str">
        <f t="shared" si="20"/>
        <v>Q4</v>
      </c>
      <c r="C1306" t="str">
        <f>TEXT(Table1[[#This Row],[Order_Date]],"mmmm")</f>
        <v>November</v>
      </c>
      <c r="D1306">
        <f>YEAR(Table1[[#This Row],[Order_Date]])</f>
        <v>2023</v>
      </c>
      <c r="E1306" s="7">
        <v>45232</v>
      </c>
      <c r="F1306" s="2" t="str">
        <f>VLOOKUP(Table1[[#This Row],[Customer_ID]],Customer_Dim!$A$2:$H$501,2,FALSE)</f>
        <v>Erin Hopkins</v>
      </c>
      <c r="G1306" s="2" t="str">
        <f>_xlfn.XLOOKUP(Table1[[#This Row],[Customer_ID]],Customer_Dim!$A$2:$A$501,Customer_Dim!$E$2:$E$501)</f>
        <v>North Sabrina</v>
      </c>
      <c r="H1306" t="s">
        <v>420</v>
      </c>
      <c r="I1306" t="str">
        <f>VLOOKUP(Table1[[#This Row],[Product_ID]],Product_Dim!$A$2:$G$101,2,FALSE)</f>
        <v>WiFi Mesh Router-Electronics</v>
      </c>
      <c r="J1306" t="s">
        <v>1677</v>
      </c>
      <c r="K1306" t="str">
        <f>VLOOKUP(Table1[[#This Row],[Store_ID]],Store_Dim!$A$3:$D$22,2,FALSE)</f>
        <v>Alexander Group-South</v>
      </c>
      <c r="L1306" t="s">
        <v>1735</v>
      </c>
      <c r="M1306" t="s">
        <v>3959</v>
      </c>
      <c r="N1306" s="3">
        <v>665.38</v>
      </c>
      <c r="O1306" s="4">
        <v>0.18</v>
      </c>
      <c r="P1306" t="s">
        <v>1772</v>
      </c>
      <c r="Q1306" s="4">
        <v>2182.4463999999998</v>
      </c>
    </row>
    <row r="1307" spans="1:17" x14ac:dyDescent="0.3">
      <c r="A1307" t="s">
        <v>3079</v>
      </c>
      <c r="B1307" t="str">
        <f t="shared" si="20"/>
        <v>Q4</v>
      </c>
      <c r="C1307" t="str">
        <f>TEXT(Table1[[#This Row],[Order_Date]],"mmmm")</f>
        <v>November</v>
      </c>
      <c r="D1307">
        <f>YEAR(Table1[[#This Row],[Order_Date]])</f>
        <v>2024</v>
      </c>
      <c r="E1307" s="7">
        <v>45616</v>
      </c>
      <c r="F1307" s="2" t="str">
        <f>VLOOKUP(Table1[[#This Row],[Customer_ID]],Customer_Dim!$A$2:$H$501,2,FALSE)</f>
        <v>Jeremy Harris</v>
      </c>
      <c r="G1307" s="2" t="str">
        <f>_xlfn.XLOOKUP(Table1[[#This Row],[Customer_ID]],Customer_Dim!$A$2:$A$501,Customer_Dim!$E$2:$E$501)</f>
        <v>Thomastown</v>
      </c>
      <c r="H1307" t="s">
        <v>23</v>
      </c>
      <c r="I1307" t="str">
        <f>VLOOKUP(Table1[[#This Row],[Product_ID]],Product_Dim!$A$2:$G$101,2,FALSE)</f>
        <v>Luxury Perfume Spray-Beauty</v>
      </c>
      <c r="J1307" t="s">
        <v>1643</v>
      </c>
      <c r="K1307" t="str">
        <f>VLOOKUP(Table1[[#This Row],[Store_ID]],Store_Dim!$A$3:$D$22,2,FALSE)</f>
        <v>Guerrero-Schmitt-East</v>
      </c>
      <c r="L1307" t="s">
        <v>1761</v>
      </c>
      <c r="M1307" t="s">
        <v>3957</v>
      </c>
      <c r="N1307" s="3">
        <v>146.49</v>
      </c>
      <c r="O1307" s="4">
        <v>0.28000000000000003</v>
      </c>
      <c r="P1307" t="s">
        <v>1772</v>
      </c>
      <c r="Q1307" s="4">
        <v>105.47280000000001</v>
      </c>
    </row>
    <row r="1308" spans="1:17" x14ac:dyDescent="0.3">
      <c r="A1308" t="s">
        <v>3080</v>
      </c>
      <c r="B1308" t="str">
        <f t="shared" si="20"/>
        <v>Q2</v>
      </c>
      <c r="C1308" t="str">
        <f>TEXT(Table1[[#This Row],[Order_Date]],"mmmm")</f>
        <v>April</v>
      </c>
      <c r="D1308">
        <f>YEAR(Table1[[#This Row],[Order_Date]])</f>
        <v>2025</v>
      </c>
      <c r="E1308" s="7">
        <v>45774</v>
      </c>
      <c r="F1308" s="2" t="str">
        <f>VLOOKUP(Table1[[#This Row],[Customer_ID]],Customer_Dim!$A$2:$H$501,2,FALSE)</f>
        <v>Brian Holder</v>
      </c>
      <c r="G1308" s="2" t="str">
        <f>_xlfn.XLOOKUP(Table1[[#This Row],[Customer_ID]],Customer_Dim!$A$2:$A$501,Customer_Dim!$E$2:$E$501)</f>
        <v>Port Travis</v>
      </c>
      <c r="H1308" t="s">
        <v>467</v>
      </c>
      <c r="I1308" t="str">
        <f>VLOOKUP(Table1[[#This Row],[Product_ID]],Product_Dim!$A$2:$G$101,2,FALSE)</f>
        <v>Sports Water Hydration Pack-Sports</v>
      </c>
      <c r="J1308" t="s">
        <v>1599</v>
      </c>
      <c r="K1308" t="str">
        <f>VLOOKUP(Table1[[#This Row],[Store_ID]],Store_Dim!$A$3:$D$22,2,FALSE)</f>
        <v>Shelton PLC-North</v>
      </c>
      <c r="L1308" t="s">
        <v>1755</v>
      </c>
      <c r="M1308" t="s">
        <v>3960</v>
      </c>
      <c r="N1308" s="3">
        <v>235.39</v>
      </c>
      <c r="O1308" s="4">
        <v>0.27</v>
      </c>
      <c r="P1308" t="s">
        <v>1777</v>
      </c>
      <c r="Q1308" s="4">
        <v>343.6694</v>
      </c>
    </row>
    <row r="1309" spans="1:17" x14ac:dyDescent="0.3">
      <c r="A1309" t="s">
        <v>3081</v>
      </c>
      <c r="B1309" t="str">
        <f t="shared" si="20"/>
        <v>Q4</v>
      </c>
      <c r="C1309" t="str">
        <f>TEXT(Table1[[#This Row],[Order_Date]],"mmmm")</f>
        <v>December</v>
      </c>
      <c r="D1309">
        <f>YEAR(Table1[[#This Row],[Order_Date]])</f>
        <v>2024</v>
      </c>
      <c r="E1309" s="7">
        <v>45651</v>
      </c>
      <c r="F1309" s="2" t="str">
        <f>VLOOKUP(Table1[[#This Row],[Customer_ID]],Customer_Dim!$A$2:$H$501,2,FALSE)</f>
        <v>Joshua Ryan</v>
      </c>
      <c r="G1309" s="2" t="str">
        <f>_xlfn.XLOOKUP(Table1[[#This Row],[Customer_ID]],Customer_Dim!$A$2:$A$501,Customer_Dim!$E$2:$E$501)</f>
        <v>New David</v>
      </c>
      <c r="H1309" t="s">
        <v>118</v>
      </c>
      <c r="I1309" t="str">
        <f>VLOOKUP(Table1[[#This Row],[Product_ID]],Product_Dim!$A$2:$G$101,2,FALSE)</f>
        <v>Tennis Ball 3-Pack-Sports</v>
      </c>
      <c r="J1309" t="s">
        <v>1645</v>
      </c>
      <c r="K1309" t="str">
        <f>VLOOKUP(Table1[[#This Row],[Store_ID]],Store_Dim!$A$3:$D$22,2,FALSE)</f>
        <v>Gray Ltd-North</v>
      </c>
      <c r="L1309" t="s">
        <v>1738</v>
      </c>
      <c r="M1309" t="s">
        <v>3958</v>
      </c>
      <c r="N1309" s="3">
        <v>38.07</v>
      </c>
      <c r="O1309" s="4">
        <v>0.09</v>
      </c>
      <c r="P1309" t="s">
        <v>1774</v>
      </c>
      <c r="Q1309" s="4">
        <v>103.9311</v>
      </c>
    </row>
    <row r="1310" spans="1:17" x14ac:dyDescent="0.3">
      <c r="A1310" t="s">
        <v>3082</v>
      </c>
      <c r="B1310" t="str">
        <f t="shared" si="20"/>
        <v>Q3</v>
      </c>
      <c r="C1310" t="str">
        <f>TEXT(Table1[[#This Row],[Order_Date]],"mmmm")</f>
        <v>September</v>
      </c>
      <c r="D1310">
        <f>YEAR(Table1[[#This Row],[Order_Date]])</f>
        <v>2025</v>
      </c>
      <c r="E1310" s="7">
        <v>45902</v>
      </c>
      <c r="F1310" s="2" t="str">
        <f>VLOOKUP(Table1[[#This Row],[Customer_ID]],Customer_Dim!$A$2:$H$501,2,FALSE)</f>
        <v>Justin Ingram</v>
      </c>
      <c r="G1310" s="2" t="str">
        <f>_xlfn.XLOOKUP(Table1[[#This Row],[Customer_ID]],Customer_Dim!$A$2:$A$501,Customer_Dim!$E$2:$E$501)</f>
        <v>Lake Lisaland</v>
      </c>
      <c r="H1310" t="s">
        <v>1240</v>
      </c>
      <c r="I1310" t="str">
        <f>VLOOKUP(Table1[[#This Row],[Product_ID]],Product_Dim!$A$2:$G$101,2,FALSE)</f>
        <v>Gaming Mechanical Keyboard-Electronics</v>
      </c>
      <c r="J1310" t="s">
        <v>1591</v>
      </c>
      <c r="K1310" t="str">
        <f>VLOOKUP(Table1[[#This Row],[Store_ID]],Store_Dim!$A$3:$D$22,2,FALSE)</f>
        <v>Alexander Group-South</v>
      </c>
      <c r="L1310" t="s">
        <v>1735</v>
      </c>
      <c r="M1310" t="s">
        <v>3960</v>
      </c>
      <c r="N1310" s="3">
        <v>511.7</v>
      </c>
      <c r="O1310" s="4">
        <v>0.12</v>
      </c>
      <c r="P1310" t="s">
        <v>1777</v>
      </c>
      <c r="Q1310" s="4">
        <v>900.59199999999998</v>
      </c>
    </row>
    <row r="1311" spans="1:17" x14ac:dyDescent="0.3">
      <c r="A1311" t="s">
        <v>3083</v>
      </c>
      <c r="B1311" t="str">
        <f t="shared" si="20"/>
        <v>Q2</v>
      </c>
      <c r="C1311" t="str">
        <f>TEXT(Table1[[#This Row],[Order_Date]],"mmmm")</f>
        <v>April</v>
      </c>
      <c r="D1311">
        <f>YEAR(Table1[[#This Row],[Order_Date]])</f>
        <v>2024</v>
      </c>
      <c r="E1311" s="7">
        <v>45401</v>
      </c>
      <c r="F1311" s="2" t="str">
        <f>VLOOKUP(Table1[[#This Row],[Customer_ID]],Customer_Dim!$A$2:$H$501,2,FALSE)</f>
        <v>Robert Jackson</v>
      </c>
      <c r="G1311" s="2" t="str">
        <f>_xlfn.XLOOKUP(Table1[[#This Row],[Customer_ID]],Customer_Dim!$A$2:$A$501,Customer_Dim!$E$2:$E$501)</f>
        <v>Lake Brandy</v>
      </c>
      <c r="H1311" t="s">
        <v>327</v>
      </c>
      <c r="I1311" t="str">
        <f>VLOOKUP(Table1[[#This Row],[Product_ID]],Product_Dim!$A$2:$G$101,2,FALSE)</f>
        <v>Women's Ankle Boots-Clothing</v>
      </c>
      <c r="J1311" t="s">
        <v>1673</v>
      </c>
      <c r="K1311" t="str">
        <f>VLOOKUP(Table1[[#This Row],[Store_ID]],Store_Dim!$A$3:$D$22,2,FALSE)</f>
        <v>Bean, Jones and Park-West</v>
      </c>
      <c r="L1311" t="s">
        <v>1744</v>
      </c>
      <c r="M1311" t="s">
        <v>3959</v>
      </c>
      <c r="N1311" s="3">
        <v>488.72</v>
      </c>
      <c r="O1311" s="4">
        <v>0.23</v>
      </c>
      <c r="P1311" t="s">
        <v>1774</v>
      </c>
      <c r="Q1311" s="4">
        <v>1505.2575999999999</v>
      </c>
    </row>
    <row r="1312" spans="1:17" x14ac:dyDescent="0.3">
      <c r="A1312" t="s">
        <v>3084</v>
      </c>
      <c r="B1312" t="str">
        <f t="shared" si="20"/>
        <v>Q1</v>
      </c>
      <c r="C1312" t="str">
        <f>TEXT(Table1[[#This Row],[Order_Date]],"mmmm")</f>
        <v>March</v>
      </c>
      <c r="D1312">
        <f>YEAR(Table1[[#This Row],[Order_Date]])</f>
        <v>2025</v>
      </c>
      <c r="E1312" s="7">
        <v>45717</v>
      </c>
      <c r="F1312" s="2" t="str">
        <f>VLOOKUP(Table1[[#This Row],[Customer_ID]],Customer_Dim!$A$2:$H$501,2,FALSE)</f>
        <v>Heidi Tyler</v>
      </c>
      <c r="G1312" s="2" t="str">
        <f>_xlfn.XLOOKUP(Table1[[#This Row],[Customer_ID]],Customer_Dim!$A$2:$A$501,Customer_Dim!$E$2:$E$501)</f>
        <v>Dawnstad</v>
      </c>
      <c r="H1312" t="s">
        <v>1207</v>
      </c>
      <c r="I1312" t="str">
        <f>VLOOKUP(Table1[[#This Row],[Product_ID]],Product_Dim!$A$2:$G$101,2,FALSE)</f>
        <v>Boxing Hand Wraps-Sports</v>
      </c>
      <c r="J1312" t="s">
        <v>1623</v>
      </c>
      <c r="K1312" t="str">
        <f>VLOOKUP(Table1[[#This Row],[Store_ID]],Store_Dim!$A$3:$D$22,2,FALSE)</f>
        <v>Thomas, Bridges and Harris-North</v>
      </c>
      <c r="L1312" t="s">
        <v>1751</v>
      </c>
      <c r="M1312" t="s">
        <v>3960</v>
      </c>
      <c r="N1312" s="3">
        <v>520.45000000000005</v>
      </c>
      <c r="O1312" s="4">
        <v>0.11</v>
      </c>
      <c r="P1312" t="s">
        <v>1777</v>
      </c>
      <c r="Q1312" s="4">
        <v>926.40100000000007</v>
      </c>
    </row>
    <row r="1313" spans="1:17" x14ac:dyDescent="0.3">
      <c r="A1313" t="s">
        <v>3085</v>
      </c>
      <c r="B1313" t="str">
        <f t="shared" si="20"/>
        <v>Q1</v>
      </c>
      <c r="C1313" t="str">
        <f>TEXT(Table1[[#This Row],[Order_Date]],"mmmm")</f>
        <v>March</v>
      </c>
      <c r="D1313">
        <f>YEAR(Table1[[#This Row],[Order_Date]])</f>
        <v>2024</v>
      </c>
      <c r="E1313" s="7">
        <v>45376</v>
      </c>
      <c r="F1313" s="2" t="str">
        <f>VLOOKUP(Table1[[#This Row],[Customer_ID]],Customer_Dim!$A$2:$H$501,2,FALSE)</f>
        <v>Summer Weiss</v>
      </c>
      <c r="G1313" s="2" t="str">
        <f>_xlfn.XLOOKUP(Table1[[#This Row],[Customer_ID]],Customer_Dim!$A$2:$A$501,Customer_Dim!$E$2:$E$501)</f>
        <v>Phyllisport</v>
      </c>
      <c r="H1313" t="s">
        <v>1324</v>
      </c>
      <c r="I1313" t="str">
        <f>VLOOKUP(Table1[[#This Row],[Product_ID]],Product_Dim!$A$2:$G$101,2,FALSE)</f>
        <v>Car Dashboard Phone Holder-Electronics</v>
      </c>
      <c r="J1313" t="s">
        <v>1619</v>
      </c>
      <c r="K1313" t="str">
        <f>VLOOKUP(Table1[[#This Row],[Store_ID]],Store_Dim!$A$3:$D$22,2,FALSE)</f>
        <v>Gray Ltd-North</v>
      </c>
      <c r="L1313" t="s">
        <v>1738</v>
      </c>
      <c r="M1313" t="s">
        <v>3957</v>
      </c>
      <c r="N1313" s="3">
        <v>340.9</v>
      </c>
      <c r="O1313" s="4">
        <v>0.28999999999999998</v>
      </c>
      <c r="P1313" t="s">
        <v>1772</v>
      </c>
      <c r="Q1313" s="4">
        <v>242.03899999999999</v>
      </c>
    </row>
    <row r="1314" spans="1:17" x14ac:dyDescent="0.3">
      <c r="A1314" t="s">
        <v>3086</v>
      </c>
      <c r="B1314" t="str">
        <f t="shared" si="20"/>
        <v>Q4</v>
      </c>
      <c r="C1314" t="str">
        <f>TEXT(Table1[[#This Row],[Order_Date]],"mmmm")</f>
        <v>October</v>
      </c>
      <c r="D1314">
        <f>YEAR(Table1[[#This Row],[Order_Date]])</f>
        <v>2024</v>
      </c>
      <c r="E1314" s="7">
        <v>45576</v>
      </c>
      <c r="F1314" s="2" t="str">
        <f>VLOOKUP(Table1[[#This Row],[Customer_ID]],Customer_Dim!$A$2:$H$501,2,FALSE)</f>
        <v>John Jordan</v>
      </c>
      <c r="G1314" s="2" t="str">
        <f>_xlfn.XLOOKUP(Table1[[#This Row],[Customer_ID]],Customer_Dim!$A$2:$A$501,Customer_Dim!$E$2:$E$501)</f>
        <v>Port Crystalberg</v>
      </c>
      <c r="H1314" t="s">
        <v>1075</v>
      </c>
      <c r="I1314" t="str">
        <f>VLOOKUP(Table1[[#This Row],[Product_ID]],Product_Dim!$A$2:$G$101,2,FALSE)</f>
        <v>Basketball-Sports</v>
      </c>
      <c r="J1314" t="s">
        <v>1585</v>
      </c>
      <c r="K1314" t="str">
        <f>VLOOKUP(Table1[[#This Row],[Store_ID]],Store_Dim!$A$3:$D$22,2,FALSE)</f>
        <v>Bean, Jones and Park-West</v>
      </c>
      <c r="L1314" t="s">
        <v>1744</v>
      </c>
      <c r="M1314" t="s">
        <v>3958</v>
      </c>
      <c r="N1314" s="3">
        <v>653.59</v>
      </c>
      <c r="O1314" s="4">
        <v>0.17</v>
      </c>
      <c r="P1314" t="s">
        <v>1777</v>
      </c>
      <c r="Q1314" s="4">
        <v>1627.4391000000001</v>
      </c>
    </row>
    <row r="1315" spans="1:17" x14ac:dyDescent="0.3">
      <c r="A1315" t="s">
        <v>3087</v>
      </c>
      <c r="B1315" t="str">
        <f t="shared" si="20"/>
        <v>Q3</v>
      </c>
      <c r="C1315" t="str">
        <f>TEXT(Table1[[#This Row],[Order_Date]],"mmmm")</f>
        <v>September</v>
      </c>
      <c r="D1315">
        <f>YEAR(Table1[[#This Row],[Order_Date]])</f>
        <v>2025</v>
      </c>
      <c r="E1315" s="7">
        <v>45906</v>
      </c>
      <c r="F1315" s="2" t="str">
        <f>VLOOKUP(Table1[[#This Row],[Customer_ID]],Customer_Dim!$A$2:$H$501,2,FALSE)</f>
        <v>Jeff Martinez</v>
      </c>
      <c r="G1315" s="2" t="str">
        <f>_xlfn.XLOOKUP(Table1[[#This Row],[Customer_ID]],Customer_Dim!$A$2:$A$501,Customer_Dim!$E$2:$E$501)</f>
        <v>Smithburgh</v>
      </c>
      <c r="H1315" t="s">
        <v>93</v>
      </c>
      <c r="I1315" t="str">
        <f>VLOOKUP(Table1[[#This Row],[Product_ID]],Product_Dim!$A$2:$G$101,2,FALSE)</f>
        <v>Wireless Bluetooth Speaker-Electronics</v>
      </c>
      <c r="J1315" t="s">
        <v>1575</v>
      </c>
      <c r="K1315" t="str">
        <f>VLOOKUP(Table1[[#This Row],[Store_ID]],Store_Dim!$A$3:$D$22,2,FALSE)</f>
        <v>Guerrero-Schmitt-East</v>
      </c>
      <c r="L1315" t="s">
        <v>1761</v>
      </c>
      <c r="M1315" t="s">
        <v>3957</v>
      </c>
      <c r="N1315" s="3">
        <v>179.77</v>
      </c>
      <c r="O1315" s="4">
        <v>0.23</v>
      </c>
      <c r="P1315" t="s">
        <v>1777</v>
      </c>
      <c r="Q1315" s="4">
        <v>138.4229</v>
      </c>
    </row>
    <row r="1316" spans="1:17" x14ac:dyDescent="0.3">
      <c r="A1316" t="s">
        <v>3088</v>
      </c>
      <c r="B1316" t="str">
        <f t="shared" si="20"/>
        <v>Q3</v>
      </c>
      <c r="C1316" t="str">
        <f>TEXT(Table1[[#This Row],[Order_Date]],"mmmm")</f>
        <v>August</v>
      </c>
      <c r="D1316">
        <f>YEAR(Table1[[#This Row],[Order_Date]])</f>
        <v>2024</v>
      </c>
      <c r="E1316" s="7">
        <v>45523</v>
      </c>
      <c r="F1316" s="2" t="str">
        <f>VLOOKUP(Table1[[#This Row],[Customer_ID]],Customer_Dim!$A$2:$H$501,2,FALSE)</f>
        <v>Melissa Howard</v>
      </c>
      <c r="G1316" s="2" t="str">
        <f>_xlfn.XLOOKUP(Table1[[#This Row],[Customer_ID]],Customer_Dim!$A$2:$A$501,Customer_Dim!$E$2:$E$501)</f>
        <v>Maynardton</v>
      </c>
      <c r="H1316" t="s">
        <v>44</v>
      </c>
      <c r="I1316" t="str">
        <f>VLOOKUP(Table1[[#This Row],[Product_ID]],Product_Dim!$A$2:$G$101,2,FALSE)</f>
        <v>Brother Laser Printer-Electronics</v>
      </c>
      <c r="J1316" t="s">
        <v>1523</v>
      </c>
      <c r="K1316" t="str">
        <f>VLOOKUP(Table1[[#This Row],[Store_ID]],Store_Dim!$A$3:$D$22,2,FALSE)</f>
        <v>Moore, Padilla and Butler-South</v>
      </c>
      <c r="L1316" t="s">
        <v>1746</v>
      </c>
      <c r="M1316" t="s">
        <v>3960</v>
      </c>
      <c r="N1316" s="3">
        <v>943.8</v>
      </c>
      <c r="O1316" s="4">
        <v>0.06</v>
      </c>
      <c r="P1316" t="s">
        <v>1772</v>
      </c>
      <c r="Q1316" s="4">
        <v>1774.3440000000001</v>
      </c>
    </row>
    <row r="1317" spans="1:17" x14ac:dyDescent="0.3">
      <c r="A1317" t="s">
        <v>3089</v>
      </c>
      <c r="B1317" t="str">
        <f t="shared" si="20"/>
        <v>Q4</v>
      </c>
      <c r="C1317" t="str">
        <f>TEXT(Table1[[#This Row],[Order_Date]],"mmmm")</f>
        <v>November</v>
      </c>
      <c r="D1317">
        <f>YEAR(Table1[[#This Row],[Order_Date]])</f>
        <v>2023</v>
      </c>
      <c r="E1317" s="7">
        <v>45234</v>
      </c>
      <c r="F1317" s="2" t="str">
        <f>VLOOKUP(Table1[[#This Row],[Customer_ID]],Customer_Dim!$A$2:$H$501,2,FALSE)</f>
        <v>Sarah Smith</v>
      </c>
      <c r="G1317" s="2" t="str">
        <f>_xlfn.XLOOKUP(Table1[[#This Row],[Customer_ID]],Customer_Dim!$A$2:$A$501,Customer_Dim!$E$2:$E$501)</f>
        <v>Kathleenport</v>
      </c>
      <c r="H1317" t="s">
        <v>1258</v>
      </c>
      <c r="I1317" t="str">
        <f>VLOOKUP(Table1[[#This Row],[Product_ID]],Product_Dim!$A$2:$G$101,2,FALSE)</f>
        <v>Hair Repair Oil Treatment-Beauty</v>
      </c>
      <c r="J1317" t="s">
        <v>1665</v>
      </c>
      <c r="K1317" t="str">
        <f>VLOOKUP(Table1[[#This Row],[Store_ID]],Store_Dim!$A$3:$D$22,2,FALSE)</f>
        <v>Shelton PLC-North</v>
      </c>
      <c r="L1317" t="s">
        <v>1755</v>
      </c>
      <c r="M1317" t="s">
        <v>3960</v>
      </c>
      <c r="N1317" s="3">
        <v>985</v>
      </c>
      <c r="O1317" s="4">
        <v>0.25</v>
      </c>
      <c r="P1317" t="s">
        <v>1772</v>
      </c>
      <c r="Q1317" s="4">
        <v>1477.5</v>
      </c>
    </row>
    <row r="1318" spans="1:17" x14ac:dyDescent="0.3">
      <c r="A1318" t="s">
        <v>3090</v>
      </c>
      <c r="B1318" t="str">
        <f t="shared" si="20"/>
        <v>Q2</v>
      </c>
      <c r="C1318" t="str">
        <f>TEXT(Table1[[#This Row],[Order_Date]],"mmmm")</f>
        <v>April</v>
      </c>
      <c r="D1318">
        <f>YEAR(Table1[[#This Row],[Order_Date]])</f>
        <v>2024</v>
      </c>
      <c r="E1318" s="7">
        <v>45405</v>
      </c>
      <c r="F1318" s="2" t="str">
        <f>VLOOKUP(Table1[[#This Row],[Customer_ID]],Customer_Dim!$A$2:$H$501,2,FALSE)</f>
        <v>Sara Ingram</v>
      </c>
      <c r="G1318" s="2" t="str">
        <f>_xlfn.XLOOKUP(Table1[[#This Row],[Customer_ID]],Customer_Dim!$A$2:$A$501,Customer_Dim!$E$2:$E$501)</f>
        <v>East Dillonview</v>
      </c>
      <c r="H1318" t="s">
        <v>1475</v>
      </c>
      <c r="I1318" t="str">
        <f>VLOOKUP(Table1[[#This Row],[Product_ID]],Product_Dim!$A$2:$G$101,2,FALSE)</f>
        <v>Sports Wrist Sweatbands-Sports</v>
      </c>
      <c r="J1318" t="s">
        <v>1699</v>
      </c>
      <c r="K1318" t="str">
        <f>VLOOKUP(Table1[[#This Row],[Store_ID]],Store_Dim!$A$3:$D$22,2,FALSE)</f>
        <v>Hill, Wagner and Ballard-East</v>
      </c>
      <c r="L1318" t="s">
        <v>1748</v>
      </c>
      <c r="M1318" t="s">
        <v>3959</v>
      </c>
      <c r="N1318" s="3">
        <v>216.81</v>
      </c>
      <c r="O1318" s="4">
        <v>0.28999999999999998</v>
      </c>
      <c r="P1318" t="s">
        <v>1772</v>
      </c>
      <c r="Q1318" s="4">
        <v>615.74040000000002</v>
      </c>
    </row>
    <row r="1319" spans="1:17" x14ac:dyDescent="0.3">
      <c r="A1319" t="s">
        <v>3091</v>
      </c>
      <c r="B1319" t="str">
        <f t="shared" si="20"/>
        <v>Q4</v>
      </c>
      <c r="C1319" t="str">
        <f>TEXT(Table1[[#This Row],[Order_Date]],"mmmm")</f>
        <v>October</v>
      </c>
      <c r="D1319">
        <f>YEAR(Table1[[#This Row],[Order_Date]])</f>
        <v>2023</v>
      </c>
      <c r="E1319" s="7">
        <v>45223</v>
      </c>
      <c r="F1319" s="2" t="str">
        <f>VLOOKUP(Table1[[#This Row],[Customer_ID]],Customer_Dim!$A$2:$H$501,2,FALSE)</f>
        <v>Colleen Mccarthy</v>
      </c>
      <c r="G1319" s="2" t="str">
        <f>_xlfn.XLOOKUP(Table1[[#This Row],[Customer_ID]],Customer_Dim!$A$2:$A$501,Customer_Dim!$E$2:$E$501)</f>
        <v>North Katherine</v>
      </c>
      <c r="H1319" t="s">
        <v>403</v>
      </c>
      <c r="I1319" t="str">
        <f>VLOOKUP(Table1[[#This Row],[Product_ID]],Product_Dim!$A$2:$G$101,2,FALSE)</f>
        <v>Matte Lipstick Set-Beauty</v>
      </c>
      <c r="J1319" t="s">
        <v>1651</v>
      </c>
      <c r="K1319" t="str">
        <f>VLOOKUP(Table1[[#This Row],[Store_ID]],Store_Dim!$A$3:$D$22,2,FALSE)</f>
        <v>Black-Horn-South</v>
      </c>
      <c r="L1319" t="s">
        <v>1730</v>
      </c>
      <c r="M1319" t="s">
        <v>3959</v>
      </c>
      <c r="N1319" s="3">
        <v>950.21</v>
      </c>
      <c r="O1319" s="4">
        <v>0.27</v>
      </c>
      <c r="P1319" t="s">
        <v>1777</v>
      </c>
      <c r="Q1319" s="4">
        <v>2774.6131999999998</v>
      </c>
    </row>
    <row r="1320" spans="1:17" x14ac:dyDescent="0.3">
      <c r="A1320" t="s">
        <v>3092</v>
      </c>
      <c r="B1320" t="str">
        <f t="shared" si="20"/>
        <v>Q2</v>
      </c>
      <c r="C1320" t="str">
        <f>TEXT(Table1[[#This Row],[Order_Date]],"mmmm")</f>
        <v>June</v>
      </c>
      <c r="D1320">
        <f>YEAR(Table1[[#This Row],[Order_Date]])</f>
        <v>2025</v>
      </c>
      <c r="E1320" s="7">
        <v>45838</v>
      </c>
      <c r="F1320" s="2" t="str">
        <f>VLOOKUP(Table1[[#This Row],[Customer_ID]],Customer_Dim!$A$2:$H$501,2,FALSE)</f>
        <v>Kristen Fischer</v>
      </c>
      <c r="G1320" s="2" t="str">
        <f>_xlfn.XLOOKUP(Table1[[#This Row],[Customer_ID]],Customer_Dim!$A$2:$A$501,Customer_Dim!$E$2:$E$501)</f>
        <v>Lake Christopher</v>
      </c>
      <c r="H1320" t="s">
        <v>811</v>
      </c>
      <c r="I1320" t="str">
        <f>VLOOKUP(Table1[[#This Row],[Product_ID]],Product_Dim!$A$2:$G$101,2,FALSE)</f>
        <v>Car Dashboard Phone Holder-Electronics</v>
      </c>
      <c r="J1320" t="s">
        <v>1619</v>
      </c>
      <c r="K1320" t="str">
        <f>VLOOKUP(Table1[[#This Row],[Store_ID]],Store_Dim!$A$3:$D$22,2,FALSE)</f>
        <v>Martinez-Mullins-South</v>
      </c>
      <c r="L1320" t="s">
        <v>1742</v>
      </c>
      <c r="M1320" t="s">
        <v>3960</v>
      </c>
      <c r="N1320" s="3">
        <v>271.39999999999998</v>
      </c>
      <c r="O1320" s="4">
        <v>0.17</v>
      </c>
      <c r="P1320" t="s">
        <v>1774</v>
      </c>
      <c r="Q1320" s="4">
        <v>450.52399999999989</v>
      </c>
    </row>
    <row r="1321" spans="1:17" x14ac:dyDescent="0.3">
      <c r="A1321" t="s">
        <v>3093</v>
      </c>
      <c r="B1321" t="str">
        <f t="shared" si="20"/>
        <v>Q3</v>
      </c>
      <c r="C1321" t="str">
        <f>TEXT(Table1[[#This Row],[Order_Date]],"mmmm")</f>
        <v>August</v>
      </c>
      <c r="D1321">
        <f>YEAR(Table1[[#This Row],[Order_Date]])</f>
        <v>2025</v>
      </c>
      <c r="E1321" s="7">
        <v>45883</v>
      </c>
      <c r="F1321" s="2" t="str">
        <f>VLOOKUP(Table1[[#This Row],[Customer_ID]],Customer_Dim!$A$2:$H$501,2,FALSE)</f>
        <v>Daniel Contreras</v>
      </c>
      <c r="G1321" s="2" t="str">
        <f>_xlfn.XLOOKUP(Table1[[#This Row],[Customer_ID]],Customer_Dim!$A$2:$A$501,Customer_Dim!$E$2:$E$501)</f>
        <v>Robertview</v>
      </c>
      <c r="H1321" t="s">
        <v>554</v>
      </c>
      <c r="I1321" t="str">
        <f>VLOOKUP(Table1[[#This Row],[Product_ID]],Product_Dim!$A$2:$G$101,2,FALSE)</f>
        <v>Portable Power Bank-Electronics</v>
      </c>
      <c r="J1321" t="s">
        <v>1601</v>
      </c>
      <c r="K1321" t="str">
        <f>VLOOKUP(Table1[[#This Row],[Store_ID]],Store_Dim!$A$3:$D$22,2,FALSE)</f>
        <v>Bean, Jones and Park-West</v>
      </c>
      <c r="L1321" t="s">
        <v>1744</v>
      </c>
      <c r="M1321" t="s">
        <v>3959</v>
      </c>
      <c r="N1321" s="3">
        <v>708.19</v>
      </c>
      <c r="O1321" s="4">
        <v>0.1</v>
      </c>
      <c r="P1321" t="s">
        <v>1774</v>
      </c>
      <c r="Q1321" s="4">
        <v>2549.4839999999999</v>
      </c>
    </row>
    <row r="1322" spans="1:17" x14ac:dyDescent="0.3">
      <c r="A1322" t="s">
        <v>3094</v>
      </c>
      <c r="B1322" t="str">
        <f t="shared" si="20"/>
        <v>Q2</v>
      </c>
      <c r="C1322" t="str">
        <f>TEXT(Table1[[#This Row],[Order_Date]],"mmmm")</f>
        <v>May</v>
      </c>
      <c r="D1322">
        <f>YEAR(Table1[[#This Row],[Order_Date]])</f>
        <v>2025</v>
      </c>
      <c r="E1322" s="7">
        <v>45788</v>
      </c>
      <c r="F1322" s="2" t="str">
        <f>VLOOKUP(Table1[[#This Row],[Customer_ID]],Customer_Dim!$A$2:$H$501,2,FALSE)</f>
        <v>Cheryl Carr</v>
      </c>
      <c r="G1322" s="2" t="str">
        <f>_xlfn.XLOOKUP(Table1[[#This Row],[Customer_ID]],Customer_Dim!$A$2:$A$501,Customer_Dim!$E$2:$E$501)</f>
        <v>Jessicaland</v>
      </c>
      <c r="H1322" t="s">
        <v>1358</v>
      </c>
      <c r="I1322" t="str">
        <f>VLOOKUP(Table1[[#This Row],[Product_ID]],Product_Dim!$A$2:$G$101,2,FALSE)</f>
        <v>Sports Stopwatch Pro-Sports</v>
      </c>
      <c r="J1322" t="s">
        <v>1631</v>
      </c>
      <c r="K1322" t="str">
        <f>VLOOKUP(Table1[[#This Row],[Store_ID]],Store_Dim!$A$3:$D$22,2,FALSE)</f>
        <v>Johnson-Wright-North</v>
      </c>
      <c r="L1322" t="s">
        <v>1733</v>
      </c>
      <c r="M1322" t="s">
        <v>3958</v>
      </c>
      <c r="N1322" s="3">
        <v>477.05</v>
      </c>
      <c r="O1322" s="4">
        <v>0.05</v>
      </c>
      <c r="P1322" t="s">
        <v>1774</v>
      </c>
      <c r="Q1322" s="4">
        <v>1359.5925</v>
      </c>
    </row>
    <row r="1323" spans="1:17" x14ac:dyDescent="0.3">
      <c r="A1323" t="s">
        <v>3095</v>
      </c>
      <c r="B1323" t="str">
        <f t="shared" si="20"/>
        <v>Q2</v>
      </c>
      <c r="C1323" t="str">
        <f>TEXT(Table1[[#This Row],[Order_Date]],"mmmm")</f>
        <v>April</v>
      </c>
      <c r="D1323">
        <f>YEAR(Table1[[#This Row],[Order_Date]])</f>
        <v>2024</v>
      </c>
      <c r="E1323" s="7">
        <v>45383</v>
      </c>
      <c r="F1323" s="2" t="str">
        <f>VLOOKUP(Table1[[#This Row],[Customer_ID]],Customer_Dim!$A$2:$H$501,2,FALSE)</f>
        <v>Brandy Thompson</v>
      </c>
      <c r="G1323" s="2" t="str">
        <f>_xlfn.XLOOKUP(Table1[[#This Row],[Customer_ID]],Customer_Dim!$A$2:$A$501,Customer_Dim!$E$2:$E$501)</f>
        <v>West Patriciaview</v>
      </c>
      <c r="H1323" t="s">
        <v>959</v>
      </c>
      <c r="I1323" t="str">
        <f>VLOOKUP(Table1[[#This Row],[Product_ID]],Product_Dim!$A$2:$G$101,2,FALSE)</f>
        <v>Bluetooth Car Audio System-Electronics</v>
      </c>
      <c r="J1323" t="s">
        <v>1671</v>
      </c>
      <c r="K1323" t="str">
        <f>VLOOKUP(Table1[[#This Row],[Store_ID]],Store_Dim!$A$3:$D$22,2,FALSE)</f>
        <v>Moore, Padilla and Butler-South</v>
      </c>
      <c r="L1323" t="s">
        <v>1746</v>
      </c>
      <c r="M1323" t="s">
        <v>3958</v>
      </c>
      <c r="N1323" s="3">
        <v>627.29</v>
      </c>
      <c r="O1323" s="4">
        <v>0.27</v>
      </c>
      <c r="P1323" t="s">
        <v>1777</v>
      </c>
      <c r="Q1323" s="4">
        <v>1373.7651000000001</v>
      </c>
    </row>
    <row r="1324" spans="1:17" x14ac:dyDescent="0.3">
      <c r="A1324" t="s">
        <v>3096</v>
      </c>
      <c r="B1324" t="str">
        <f t="shared" si="20"/>
        <v>Q1</v>
      </c>
      <c r="C1324" t="str">
        <f>TEXT(Table1[[#This Row],[Order_Date]],"mmmm")</f>
        <v>February</v>
      </c>
      <c r="D1324">
        <f>YEAR(Table1[[#This Row],[Order_Date]])</f>
        <v>2024</v>
      </c>
      <c r="E1324" s="7">
        <v>45335</v>
      </c>
      <c r="F1324" s="2" t="str">
        <f>VLOOKUP(Table1[[#This Row],[Customer_ID]],Customer_Dim!$A$2:$H$501,2,FALSE)</f>
        <v>Miss Alexandria Li Dvm</v>
      </c>
      <c r="G1324" s="2" t="str">
        <f>_xlfn.XLOOKUP(Table1[[#This Row],[Customer_ID]],Customer_Dim!$A$2:$A$501,Customer_Dim!$E$2:$E$501)</f>
        <v>Port Jenniferton</v>
      </c>
      <c r="H1324" t="s">
        <v>951</v>
      </c>
      <c r="I1324" t="str">
        <f>VLOOKUP(Table1[[#This Row],[Product_ID]],Product_Dim!$A$2:$G$101,2,FALSE)</f>
        <v>Vitamin E Body Lotion-Beauty</v>
      </c>
      <c r="J1324" t="s">
        <v>1711</v>
      </c>
      <c r="K1324" t="str">
        <f>VLOOKUP(Table1[[#This Row],[Store_ID]],Store_Dim!$A$3:$D$22,2,FALSE)</f>
        <v>Aguirre-Keller-South</v>
      </c>
      <c r="L1324" t="s">
        <v>1750</v>
      </c>
      <c r="M1324" t="s">
        <v>3958</v>
      </c>
      <c r="N1324" s="3">
        <v>206.84</v>
      </c>
      <c r="O1324" s="4">
        <v>0.19</v>
      </c>
      <c r="P1324" t="s">
        <v>1774</v>
      </c>
      <c r="Q1324" s="4">
        <v>502.62119999999999</v>
      </c>
    </row>
    <row r="1325" spans="1:17" x14ac:dyDescent="0.3">
      <c r="A1325" t="s">
        <v>3097</v>
      </c>
      <c r="B1325" t="str">
        <f t="shared" si="20"/>
        <v>Q1</v>
      </c>
      <c r="C1325" t="str">
        <f>TEXT(Table1[[#This Row],[Order_Date]],"mmmm")</f>
        <v>January</v>
      </c>
      <c r="D1325">
        <f>YEAR(Table1[[#This Row],[Order_Date]])</f>
        <v>2024</v>
      </c>
      <c r="E1325" s="7">
        <v>45304</v>
      </c>
      <c r="F1325" s="2" t="str">
        <f>VLOOKUP(Table1[[#This Row],[Customer_ID]],Customer_Dim!$A$2:$H$501,2,FALSE)</f>
        <v>Tyler Garner</v>
      </c>
      <c r="G1325" s="2" t="str">
        <f>_xlfn.XLOOKUP(Table1[[#This Row],[Customer_ID]],Customer_Dim!$A$2:$A$501,Customer_Dim!$E$2:$E$501)</f>
        <v>Port Coreyfort</v>
      </c>
      <c r="H1325" t="s">
        <v>797</v>
      </c>
      <c r="I1325" t="str">
        <f>VLOOKUP(Table1[[#This Row],[Product_ID]],Product_Dim!$A$2:$G$101,2,FALSE)</f>
        <v>Stainless Steel Cutlery Set-Home</v>
      </c>
      <c r="J1325" t="s">
        <v>1583</v>
      </c>
      <c r="K1325" t="str">
        <f>VLOOKUP(Table1[[#This Row],[Store_ID]],Store_Dim!$A$3:$D$22,2,FALSE)</f>
        <v>Martinez, Adkins and Johnson-North</v>
      </c>
      <c r="L1325" t="s">
        <v>1728</v>
      </c>
      <c r="M1325" t="s">
        <v>3959</v>
      </c>
      <c r="N1325" s="3">
        <v>629.04999999999995</v>
      </c>
      <c r="O1325" s="4">
        <v>0.26</v>
      </c>
      <c r="P1325" t="s">
        <v>1772</v>
      </c>
      <c r="Q1325" s="4">
        <v>1861.9880000000001</v>
      </c>
    </row>
    <row r="1326" spans="1:17" x14ac:dyDescent="0.3">
      <c r="A1326" t="s">
        <v>3098</v>
      </c>
      <c r="B1326" t="str">
        <f t="shared" si="20"/>
        <v>Q3</v>
      </c>
      <c r="C1326" t="str">
        <f>TEXT(Table1[[#This Row],[Order_Date]],"mmmm")</f>
        <v>September</v>
      </c>
      <c r="D1326">
        <f>YEAR(Table1[[#This Row],[Order_Date]])</f>
        <v>2024</v>
      </c>
      <c r="E1326" s="7">
        <v>45543</v>
      </c>
      <c r="F1326" s="2" t="str">
        <f>VLOOKUP(Table1[[#This Row],[Customer_ID]],Customer_Dim!$A$2:$H$501,2,FALSE)</f>
        <v>Monica Flynn</v>
      </c>
      <c r="G1326" s="2" t="str">
        <f>_xlfn.XLOOKUP(Table1[[#This Row],[Customer_ID]],Customer_Dim!$A$2:$A$501,Customer_Dim!$E$2:$E$501)</f>
        <v>Amberburgh</v>
      </c>
      <c r="H1326" t="s">
        <v>1341</v>
      </c>
      <c r="I1326" t="str">
        <f>VLOOKUP(Table1[[#This Row],[Product_ID]],Product_Dim!$A$2:$G$101,2,FALSE)</f>
        <v>Bluetooth Car Audio System-Electronics</v>
      </c>
      <c r="J1326" t="s">
        <v>1671</v>
      </c>
      <c r="K1326" t="str">
        <f>VLOOKUP(Table1[[#This Row],[Store_ID]],Store_Dim!$A$3:$D$22,2,FALSE)</f>
        <v>Holloway Ltd-North</v>
      </c>
      <c r="L1326" t="s">
        <v>1759</v>
      </c>
      <c r="M1326" t="s">
        <v>3959</v>
      </c>
      <c r="N1326" s="3">
        <v>529.04</v>
      </c>
      <c r="O1326" s="4">
        <v>0.1</v>
      </c>
      <c r="P1326" t="s">
        <v>1774</v>
      </c>
      <c r="Q1326" s="4">
        <v>1904.5440000000001</v>
      </c>
    </row>
    <row r="1327" spans="1:17" x14ac:dyDescent="0.3">
      <c r="A1327" t="s">
        <v>3099</v>
      </c>
      <c r="B1327" t="str">
        <f t="shared" si="20"/>
        <v>Q1</v>
      </c>
      <c r="C1327" t="str">
        <f>TEXT(Table1[[#This Row],[Order_Date]],"mmmm")</f>
        <v>February</v>
      </c>
      <c r="D1327">
        <f>YEAR(Table1[[#This Row],[Order_Date]])</f>
        <v>2024</v>
      </c>
      <c r="E1327" s="7">
        <v>45326</v>
      </c>
      <c r="F1327" s="2" t="str">
        <f>VLOOKUP(Table1[[#This Row],[Customer_ID]],Customer_Dim!$A$2:$H$501,2,FALSE)</f>
        <v>Heather Valenzuela</v>
      </c>
      <c r="G1327" s="2" t="str">
        <f>_xlfn.XLOOKUP(Table1[[#This Row],[Customer_ID]],Customer_Dim!$A$2:$A$501,Customer_Dim!$E$2:$E$501)</f>
        <v>New Angiefurt</v>
      </c>
      <c r="H1327" t="s">
        <v>1083</v>
      </c>
      <c r="I1327" t="str">
        <f>VLOOKUP(Table1[[#This Row],[Product_ID]],Product_Dim!$A$2:$G$101,2,FALSE)</f>
        <v>Stainless Steel Cutlery Set-Home</v>
      </c>
      <c r="J1327" t="s">
        <v>1583</v>
      </c>
      <c r="K1327" t="str">
        <f>VLOOKUP(Table1[[#This Row],[Store_ID]],Store_Dim!$A$3:$D$22,2,FALSE)</f>
        <v>Holloway Ltd-North</v>
      </c>
      <c r="L1327" t="s">
        <v>1759</v>
      </c>
      <c r="M1327" t="s">
        <v>3957</v>
      </c>
      <c r="N1327" s="3">
        <v>350.67</v>
      </c>
      <c r="O1327" s="4">
        <v>0.22</v>
      </c>
      <c r="P1327" t="s">
        <v>1774</v>
      </c>
      <c r="Q1327" s="4">
        <v>273.52260000000001</v>
      </c>
    </row>
    <row r="1328" spans="1:17" x14ac:dyDescent="0.3">
      <c r="A1328" t="s">
        <v>3100</v>
      </c>
      <c r="B1328" t="str">
        <f t="shared" si="20"/>
        <v>Q3</v>
      </c>
      <c r="C1328" t="str">
        <f>TEXT(Table1[[#This Row],[Order_Date]],"mmmm")</f>
        <v>July</v>
      </c>
      <c r="D1328">
        <f>YEAR(Table1[[#This Row],[Order_Date]])</f>
        <v>2024</v>
      </c>
      <c r="E1328" s="7">
        <v>45498</v>
      </c>
      <c r="F1328" s="2" t="str">
        <f>VLOOKUP(Table1[[#This Row],[Customer_ID]],Customer_Dim!$A$2:$H$501,2,FALSE)</f>
        <v>Michael Garner</v>
      </c>
      <c r="G1328" s="2" t="str">
        <f>_xlfn.XLOOKUP(Table1[[#This Row],[Customer_ID]],Customer_Dim!$A$2:$A$501,Customer_Dim!$E$2:$E$501)</f>
        <v>Port Crystal</v>
      </c>
      <c r="H1328" t="s">
        <v>1147</v>
      </c>
      <c r="I1328" t="str">
        <f>VLOOKUP(Table1[[#This Row],[Product_ID]],Product_Dim!$A$2:$G$101,2,FALSE)</f>
        <v>Sports Stopwatch Basic-Sports</v>
      </c>
      <c r="J1328" t="s">
        <v>1713</v>
      </c>
      <c r="K1328" t="str">
        <f>VLOOKUP(Table1[[#This Row],[Store_ID]],Store_Dim!$A$3:$D$22,2,FALSE)</f>
        <v>Martinez, Adkins and Johnson-North</v>
      </c>
      <c r="L1328" t="s">
        <v>1728</v>
      </c>
      <c r="M1328" t="s">
        <v>3957</v>
      </c>
      <c r="N1328" s="3">
        <v>128.93</v>
      </c>
      <c r="O1328" s="4">
        <v>0.26</v>
      </c>
      <c r="P1328" t="s">
        <v>1772</v>
      </c>
      <c r="Q1328" s="4">
        <v>95.408200000000008</v>
      </c>
    </row>
    <row r="1329" spans="1:17" x14ac:dyDescent="0.3">
      <c r="A1329" t="s">
        <v>3101</v>
      </c>
      <c r="B1329" t="str">
        <f t="shared" si="20"/>
        <v>Q3</v>
      </c>
      <c r="C1329" t="str">
        <f>TEXT(Table1[[#This Row],[Order_Date]],"mmmm")</f>
        <v>September</v>
      </c>
      <c r="D1329">
        <f>YEAR(Table1[[#This Row],[Order_Date]])</f>
        <v>2024</v>
      </c>
      <c r="E1329" s="7">
        <v>45544</v>
      </c>
      <c r="F1329" s="2" t="str">
        <f>VLOOKUP(Table1[[#This Row],[Customer_ID]],Customer_Dim!$A$2:$H$501,2,FALSE)</f>
        <v>Cameron Simpson</v>
      </c>
      <c r="G1329" s="2" t="str">
        <f>_xlfn.XLOOKUP(Table1[[#This Row],[Customer_ID]],Customer_Dim!$A$2:$A$501,Customer_Dim!$E$2:$E$501)</f>
        <v>Michaelfort</v>
      </c>
      <c r="H1329" t="s">
        <v>485</v>
      </c>
      <c r="I1329" t="str">
        <f>VLOOKUP(Table1[[#This Row],[Product_ID]],Product_Dim!$A$2:$G$101,2,FALSE)</f>
        <v>Kitchen Cutting Board-Home</v>
      </c>
      <c r="J1329" t="s">
        <v>1695</v>
      </c>
      <c r="K1329" t="str">
        <f>VLOOKUP(Table1[[#This Row],[Store_ID]],Store_Dim!$A$3:$D$22,2,FALSE)</f>
        <v>Shelton PLC-North</v>
      </c>
      <c r="L1329" t="s">
        <v>1755</v>
      </c>
      <c r="M1329" t="s">
        <v>3960</v>
      </c>
      <c r="N1329" s="3">
        <v>384.92</v>
      </c>
      <c r="O1329" s="4">
        <v>0.09</v>
      </c>
      <c r="P1329" t="s">
        <v>1772</v>
      </c>
      <c r="Q1329" s="4">
        <v>700.5544000000001</v>
      </c>
    </row>
    <row r="1330" spans="1:17" x14ac:dyDescent="0.3">
      <c r="A1330" t="s">
        <v>3102</v>
      </c>
      <c r="B1330" t="str">
        <f t="shared" si="20"/>
        <v>Q4</v>
      </c>
      <c r="C1330" t="str">
        <f>TEXT(Table1[[#This Row],[Order_Date]],"mmmm")</f>
        <v>December</v>
      </c>
      <c r="D1330">
        <f>YEAR(Table1[[#This Row],[Order_Date]])</f>
        <v>2023</v>
      </c>
      <c r="E1330" s="7">
        <v>45268</v>
      </c>
      <c r="F1330" s="2" t="str">
        <f>VLOOKUP(Table1[[#This Row],[Customer_ID]],Customer_Dim!$A$2:$H$501,2,FALSE)</f>
        <v>Mr. Christopher Sims</v>
      </c>
      <c r="G1330" s="2" t="str">
        <f>_xlfn.XLOOKUP(Table1[[#This Row],[Customer_ID]],Customer_Dim!$A$2:$A$501,Customer_Dim!$E$2:$E$501)</f>
        <v>Donaldsontown</v>
      </c>
      <c r="H1330" t="s">
        <v>1039</v>
      </c>
      <c r="I1330" t="str">
        <f>VLOOKUP(Table1[[#This Row],[Product_ID]],Product_Dim!$A$2:$G$101,2,FALSE)</f>
        <v>Men's Leather Belt-Clothing</v>
      </c>
      <c r="J1330" t="s">
        <v>1533</v>
      </c>
      <c r="K1330" t="str">
        <f>VLOOKUP(Table1[[#This Row],[Store_ID]],Store_Dim!$A$3:$D$22,2,FALSE)</f>
        <v>Bean, Jones and Park-West</v>
      </c>
      <c r="L1330" t="s">
        <v>1744</v>
      </c>
      <c r="M1330" t="s">
        <v>3958</v>
      </c>
      <c r="N1330" s="3">
        <v>120.77</v>
      </c>
      <c r="O1330" s="4">
        <v>0.28999999999999998</v>
      </c>
      <c r="P1330" t="s">
        <v>1774</v>
      </c>
      <c r="Q1330" s="4">
        <v>257.24009999999998</v>
      </c>
    </row>
    <row r="1331" spans="1:17" x14ac:dyDescent="0.3">
      <c r="A1331" t="s">
        <v>3103</v>
      </c>
      <c r="B1331" t="str">
        <f t="shared" si="20"/>
        <v>Q2</v>
      </c>
      <c r="C1331" t="str">
        <f>TEXT(Table1[[#This Row],[Order_Date]],"mmmm")</f>
        <v>June</v>
      </c>
      <c r="D1331">
        <f>YEAR(Table1[[#This Row],[Order_Date]])</f>
        <v>2025</v>
      </c>
      <c r="E1331" s="7">
        <v>45824</v>
      </c>
      <c r="F1331" s="2" t="str">
        <f>VLOOKUP(Table1[[#This Row],[Customer_ID]],Customer_Dim!$A$2:$H$501,2,FALSE)</f>
        <v>Alejandro Doyle</v>
      </c>
      <c r="G1331" s="2" t="str">
        <f>_xlfn.XLOOKUP(Table1[[#This Row],[Customer_ID]],Customer_Dim!$A$2:$A$501,Customer_Dim!$E$2:$E$501)</f>
        <v>East Crystalton</v>
      </c>
      <c r="H1331" t="s">
        <v>713</v>
      </c>
      <c r="I1331" t="str">
        <f>VLOOKUP(Table1[[#This Row],[Product_ID]],Product_Dim!$A$2:$G$101,2,FALSE)</f>
        <v>Wireless Mouse-Electronics</v>
      </c>
      <c r="J1331" t="s">
        <v>1675</v>
      </c>
      <c r="K1331" t="str">
        <f>VLOOKUP(Table1[[#This Row],[Store_ID]],Store_Dim!$A$3:$D$22,2,FALSE)</f>
        <v>Holloway Ltd-North</v>
      </c>
      <c r="L1331" t="s">
        <v>1759</v>
      </c>
      <c r="M1331" t="s">
        <v>3959</v>
      </c>
      <c r="N1331" s="3">
        <v>661.39</v>
      </c>
      <c r="O1331" s="4">
        <v>7.0000000000000007E-2</v>
      </c>
      <c r="P1331" t="s">
        <v>1772</v>
      </c>
      <c r="Q1331" s="4">
        <v>2460.3708000000001</v>
      </c>
    </row>
    <row r="1332" spans="1:17" x14ac:dyDescent="0.3">
      <c r="A1332" t="s">
        <v>3104</v>
      </c>
      <c r="B1332" t="str">
        <f t="shared" si="20"/>
        <v>Q4</v>
      </c>
      <c r="C1332" t="str">
        <f>TEXT(Table1[[#This Row],[Order_Date]],"mmmm")</f>
        <v>December</v>
      </c>
      <c r="D1332">
        <f>YEAR(Table1[[#This Row],[Order_Date]])</f>
        <v>2023</v>
      </c>
      <c r="E1332" s="7">
        <v>45261</v>
      </c>
      <c r="F1332" s="2" t="str">
        <f>VLOOKUP(Table1[[#This Row],[Customer_ID]],Customer_Dim!$A$2:$H$501,2,FALSE)</f>
        <v>William Cortez</v>
      </c>
      <c r="G1332" s="2" t="str">
        <f>_xlfn.XLOOKUP(Table1[[#This Row],[Customer_ID]],Customer_Dim!$A$2:$A$501,Customer_Dim!$E$2:$E$501)</f>
        <v>Port Hannahport</v>
      </c>
      <c r="H1332" t="s">
        <v>1373</v>
      </c>
      <c r="I1332" t="str">
        <f>VLOOKUP(Table1[[#This Row],[Product_ID]],Product_Dim!$A$2:$G$101,2,FALSE)</f>
        <v>Laptop Cooling Pad-Electronics</v>
      </c>
      <c r="J1332" t="s">
        <v>1647</v>
      </c>
      <c r="K1332" t="str">
        <f>VLOOKUP(Table1[[#This Row],[Store_ID]],Store_Dim!$A$3:$D$22,2,FALSE)</f>
        <v>Black-Horn-South</v>
      </c>
      <c r="L1332" t="s">
        <v>1730</v>
      </c>
      <c r="M1332" t="s">
        <v>3957</v>
      </c>
      <c r="N1332" s="3">
        <v>195.24</v>
      </c>
      <c r="O1332" s="4">
        <v>0.27</v>
      </c>
      <c r="P1332" t="s">
        <v>1774</v>
      </c>
      <c r="Q1332" s="4">
        <v>142.52520000000001</v>
      </c>
    </row>
    <row r="1333" spans="1:17" x14ac:dyDescent="0.3">
      <c r="A1333" t="s">
        <v>3105</v>
      </c>
      <c r="B1333" t="str">
        <f t="shared" si="20"/>
        <v>Q4</v>
      </c>
      <c r="C1333" t="str">
        <f>TEXT(Table1[[#This Row],[Order_Date]],"mmmm")</f>
        <v>November</v>
      </c>
      <c r="D1333">
        <f>YEAR(Table1[[#This Row],[Order_Date]])</f>
        <v>2023</v>
      </c>
      <c r="E1333" s="7">
        <v>45233</v>
      </c>
      <c r="F1333" s="2" t="str">
        <f>VLOOKUP(Table1[[#This Row],[Customer_ID]],Customer_Dim!$A$2:$H$501,2,FALSE)</f>
        <v>Caroline Collins</v>
      </c>
      <c r="G1333" s="2" t="str">
        <f>_xlfn.XLOOKUP(Table1[[#This Row],[Customer_ID]],Customer_Dim!$A$2:$A$501,Customer_Dim!$E$2:$E$501)</f>
        <v>Nicholasshire</v>
      </c>
      <c r="H1333" t="s">
        <v>27</v>
      </c>
      <c r="I1333" t="str">
        <f>VLOOKUP(Table1[[#This Row],[Product_ID]],Product_Dim!$A$2:$G$101,2,FALSE)</f>
        <v>Microwave Oven-Home</v>
      </c>
      <c r="J1333" t="s">
        <v>1707</v>
      </c>
      <c r="K1333" t="str">
        <f>VLOOKUP(Table1[[#This Row],[Store_ID]],Store_Dim!$A$3:$D$22,2,FALSE)</f>
        <v>Guerrero-Schmitt-East</v>
      </c>
      <c r="L1333" t="s">
        <v>1761</v>
      </c>
      <c r="M1333" t="s">
        <v>3960</v>
      </c>
      <c r="N1333" s="3">
        <v>177.4</v>
      </c>
      <c r="O1333" s="4">
        <v>0.19</v>
      </c>
      <c r="P1333" t="s">
        <v>1774</v>
      </c>
      <c r="Q1333" s="4">
        <v>287.38799999999998</v>
      </c>
    </row>
    <row r="1334" spans="1:17" x14ac:dyDescent="0.3">
      <c r="A1334" t="s">
        <v>3106</v>
      </c>
      <c r="B1334" t="str">
        <f t="shared" si="20"/>
        <v>Q1</v>
      </c>
      <c r="C1334" t="str">
        <f>TEXT(Table1[[#This Row],[Order_Date]],"mmmm")</f>
        <v>January</v>
      </c>
      <c r="D1334">
        <f>YEAR(Table1[[#This Row],[Order_Date]])</f>
        <v>2025</v>
      </c>
      <c r="E1334" s="7">
        <v>45673</v>
      </c>
      <c r="F1334" s="2" t="str">
        <f>VLOOKUP(Table1[[#This Row],[Customer_ID]],Customer_Dim!$A$2:$H$501,2,FALSE)</f>
        <v>Jay Patel</v>
      </c>
      <c r="G1334" s="2" t="str">
        <f>_xlfn.XLOOKUP(Table1[[#This Row],[Customer_ID]],Customer_Dim!$A$2:$A$501,Customer_Dim!$E$2:$E$501)</f>
        <v>Morrisbury</v>
      </c>
      <c r="H1334" t="s">
        <v>211</v>
      </c>
      <c r="I1334" t="str">
        <f>VLOOKUP(Table1[[#This Row],[Product_ID]],Product_Dim!$A$2:$G$101,2,FALSE)</f>
        <v>Portable Bluetooth Speaker-Electronics</v>
      </c>
      <c r="J1334" t="s">
        <v>1719</v>
      </c>
      <c r="K1334" t="str">
        <f>VLOOKUP(Table1[[#This Row],[Store_ID]],Store_Dim!$A$3:$D$22,2,FALSE)</f>
        <v>Aguirre-Keller-South</v>
      </c>
      <c r="L1334" t="s">
        <v>1750</v>
      </c>
      <c r="M1334" t="s">
        <v>3959</v>
      </c>
      <c r="N1334" s="3">
        <v>862.67</v>
      </c>
      <c r="O1334" s="4">
        <v>0.2</v>
      </c>
      <c r="P1334" t="s">
        <v>1774</v>
      </c>
      <c r="Q1334" s="4">
        <v>2760.5439999999999</v>
      </c>
    </row>
    <row r="1335" spans="1:17" x14ac:dyDescent="0.3">
      <c r="A1335" t="s">
        <v>3107</v>
      </c>
      <c r="B1335" t="str">
        <f t="shared" si="20"/>
        <v>Q3</v>
      </c>
      <c r="C1335" t="str">
        <f>TEXT(Table1[[#This Row],[Order_Date]],"mmmm")</f>
        <v>September</v>
      </c>
      <c r="D1335">
        <f>YEAR(Table1[[#This Row],[Order_Date]])</f>
        <v>2024</v>
      </c>
      <c r="E1335" s="7">
        <v>45565</v>
      </c>
      <c r="F1335" s="2" t="str">
        <f>VLOOKUP(Table1[[#This Row],[Customer_ID]],Customer_Dim!$A$2:$H$501,2,FALSE)</f>
        <v>Cheryl Carr</v>
      </c>
      <c r="G1335" s="2" t="str">
        <f>_xlfn.XLOOKUP(Table1[[#This Row],[Customer_ID]],Customer_Dim!$A$2:$A$501,Customer_Dim!$E$2:$E$501)</f>
        <v>Jessicaland</v>
      </c>
      <c r="H1335" t="s">
        <v>1358</v>
      </c>
      <c r="I1335" t="str">
        <f>VLOOKUP(Table1[[#This Row],[Product_ID]],Product_Dim!$A$2:$G$101,2,FALSE)</f>
        <v>Soccer Training Cone Set-Sports</v>
      </c>
      <c r="J1335" t="s">
        <v>1557</v>
      </c>
      <c r="K1335" t="str">
        <f>VLOOKUP(Table1[[#This Row],[Store_ID]],Store_Dim!$A$3:$D$22,2,FALSE)</f>
        <v>Benson-Elliott-East</v>
      </c>
      <c r="L1335" t="s">
        <v>1740</v>
      </c>
      <c r="M1335" t="s">
        <v>3957</v>
      </c>
      <c r="N1335" s="3">
        <v>55.04</v>
      </c>
      <c r="O1335" s="4">
        <v>0.01</v>
      </c>
      <c r="P1335" t="s">
        <v>1777</v>
      </c>
      <c r="Q1335" s="4">
        <v>54.489600000000003</v>
      </c>
    </row>
    <row r="1336" spans="1:17" x14ac:dyDescent="0.3">
      <c r="A1336" t="s">
        <v>3108</v>
      </c>
      <c r="B1336" t="str">
        <f t="shared" si="20"/>
        <v>Q4</v>
      </c>
      <c r="C1336" t="str">
        <f>TEXT(Table1[[#This Row],[Order_Date]],"mmmm")</f>
        <v>December</v>
      </c>
      <c r="D1336">
        <f>YEAR(Table1[[#This Row],[Order_Date]])</f>
        <v>2024</v>
      </c>
      <c r="E1336" s="7">
        <v>45646</v>
      </c>
      <c r="F1336" s="2" t="str">
        <f>VLOOKUP(Table1[[#This Row],[Customer_ID]],Customer_Dim!$A$2:$H$501,2,FALSE)</f>
        <v>Timothy Weaver</v>
      </c>
      <c r="G1336" s="2" t="str">
        <f>_xlfn.XLOOKUP(Table1[[#This Row],[Customer_ID]],Customer_Dim!$A$2:$A$501,Customer_Dim!$E$2:$E$501)</f>
        <v>New Amy</v>
      </c>
      <c r="H1336" t="s">
        <v>185</v>
      </c>
      <c r="I1336" t="str">
        <f>VLOOKUP(Table1[[#This Row],[Product_ID]],Product_Dim!$A$2:$G$101,2,FALSE)</f>
        <v>High-Grip Football-Sports</v>
      </c>
      <c r="J1336" t="s">
        <v>1613</v>
      </c>
      <c r="K1336" t="str">
        <f>VLOOKUP(Table1[[#This Row],[Store_ID]],Store_Dim!$A$3:$D$22,2,FALSE)</f>
        <v>Rivera-Warner-East</v>
      </c>
      <c r="L1336" t="s">
        <v>1725</v>
      </c>
      <c r="M1336" t="s">
        <v>3960</v>
      </c>
      <c r="N1336" s="3">
        <v>905.47</v>
      </c>
      <c r="O1336" s="4">
        <v>0.2</v>
      </c>
      <c r="P1336" t="s">
        <v>1777</v>
      </c>
      <c r="Q1336" s="4">
        <v>1448.752</v>
      </c>
    </row>
    <row r="1337" spans="1:17" x14ac:dyDescent="0.3">
      <c r="A1337" t="s">
        <v>3109</v>
      </c>
      <c r="B1337" t="str">
        <f t="shared" si="20"/>
        <v>Q3</v>
      </c>
      <c r="C1337" t="str">
        <f>TEXT(Table1[[#This Row],[Order_Date]],"mmmm")</f>
        <v>September</v>
      </c>
      <c r="D1337">
        <f>YEAR(Table1[[#This Row],[Order_Date]])</f>
        <v>2024</v>
      </c>
      <c r="E1337" s="7">
        <v>45539</v>
      </c>
      <c r="F1337" s="2" t="str">
        <f>VLOOKUP(Table1[[#This Row],[Customer_ID]],Customer_Dim!$A$2:$H$501,2,FALSE)</f>
        <v>Paul Cox</v>
      </c>
      <c r="G1337" s="2" t="str">
        <f>_xlfn.XLOOKUP(Table1[[#This Row],[Customer_ID]],Customer_Dim!$A$2:$A$501,Customer_Dim!$E$2:$E$501)</f>
        <v>East Julie</v>
      </c>
      <c r="H1337" t="s">
        <v>1406</v>
      </c>
      <c r="I1337" t="str">
        <f>VLOOKUP(Table1[[#This Row],[Product_ID]],Product_Dim!$A$2:$G$101,2,FALSE)</f>
        <v>Organic Sunscreen Lotion-Beauty</v>
      </c>
      <c r="J1337" t="s">
        <v>1649</v>
      </c>
      <c r="K1337" t="str">
        <f>VLOOKUP(Table1[[#This Row],[Store_ID]],Store_Dim!$A$3:$D$22,2,FALSE)</f>
        <v>Gardner, Humphrey and Contreras-East</v>
      </c>
      <c r="L1337" t="s">
        <v>1753</v>
      </c>
      <c r="M1337" t="s">
        <v>3958</v>
      </c>
      <c r="N1337" s="3">
        <v>217.13</v>
      </c>
      <c r="O1337" s="4">
        <v>0.28000000000000003</v>
      </c>
      <c r="P1337" t="s">
        <v>1772</v>
      </c>
      <c r="Q1337" s="4">
        <v>469.00080000000003</v>
      </c>
    </row>
    <row r="1338" spans="1:17" x14ac:dyDescent="0.3">
      <c r="A1338" t="s">
        <v>3110</v>
      </c>
      <c r="B1338" t="str">
        <f t="shared" si="20"/>
        <v>Q4</v>
      </c>
      <c r="C1338" t="str">
        <f>TEXT(Table1[[#This Row],[Order_Date]],"mmmm")</f>
        <v>October</v>
      </c>
      <c r="D1338">
        <f>YEAR(Table1[[#This Row],[Order_Date]])</f>
        <v>2025</v>
      </c>
      <c r="E1338" s="7">
        <v>45936</v>
      </c>
      <c r="F1338" s="2" t="str">
        <f>VLOOKUP(Table1[[#This Row],[Customer_ID]],Customer_Dim!$A$2:$H$501,2,FALSE)</f>
        <v>Cynthia Lopez</v>
      </c>
      <c r="G1338" s="2" t="str">
        <f>_xlfn.XLOOKUP(Table1[[#This Row],[Customer_ID]],Customer_Dim!$A$2:$A$501,Customer_Dim!$E$2:$E$501)</f>
        <v>Joseland</v>
      </c>
      <c r="H1338" t="s">
        <v>1201</v>
      </c>
      <c r="I1338" t="str">
        <f>VLOOKUP(Table1[[#This Row],[Product_ID]],Product_Dim!$A$2:$G$101,2,FALSE)</f>
        <v>Women's Ankle Boots-Clothing</v>
      </c>
      <c r="J1338" t="s">
        <v>1673</v>
      </c>
      <c r="K1338" t="str">
        <f>VLOOKUP(Table1[[#This Row],[Store_ID]],Store_Dim!$A$3:$D$22,2,FALSE)</f>
        <v>Rivera-Warner-East</v>
      </c>
      <c r="L1338" t="s">
        <v>1725</v>
      </c>
      <c r="M1338" t="s">
        <v>3958</v>
      </c>
      <c r="N1338" s="3">
        <v>580.45000000000005</v>
      </c>
      <c r="O1338" s="4">
        <v>0.15182795698924739</v>
      </c>
      <c r="P1338" t="s">
        <v>1774</v>
      </c>
      <c r="Q1338" s="4">
        <v>1741.35</v>
      </c>
    </row>
    <row r="1339" spans="1:17" x14ac:dyDescent="0.3">
      <c r="A1339" t="s">
        <v>3111</v>
      </c>
      <c r="B1339" t="str">
        <f t="shared" si="20"/>
        <v>Q3</v>
      </c>
      <c r="C1339" t="str">
        <f>TEXT(Table1[[#This Row],[Order_Date]],"mmmm")</f>
        <v>July</v>
      </c>
      <c r="D1339">
        <f>YEAR(Table1[[#This Row],[Order_Date]])</f>
        <v>2025</v>
      </c>
      <c r="E1339" s="7">
        <v>45854</v>
      </c>
      <c r="F1339" s="2" t="str">
        <f>VLOOKUP(Table1[[#This Row],[Customer_ID]],Customer_Dim!$A$2:$H$501,2,FALSE)</f>
        <v>Steven Stein</v>
      </c>
      <c r="G1339" s="2" t="str">
        <f>_xlfn.XLOOKUP(Table1[[#This Row],[Customer_ID]],Customer_Dim!$A$2:$A$501,Customer_Dim!$E$2:$E$501)</f>
        <v>West Lauren</v>
      </c>
      <c r="H1339" t="s">
        <v>361</v>
      </c>
      <c r="I1339" t="str">
        <f>VLOOKUP(Table1[[#This Row],[Product_ID]],Product_Dim!$A$2:$G$101,2,FALSE)</f>
        <v>Women's Yoga Pants-Clothing</v>
      </c>
      <c r="J1339" t="s">
        <v>1531</v>
      </c>
      <c r="K1339" t="str">
        <f>VLOOKUP(Table1[[#This Row],[Store_ID]],Store_Dim!$A$3:$D$22,2,FALSE)</f>
        <v>Holloway Ltd-North</v>
      </c>
      <c r="L1339" t="s">
        <v>1759</v>
      </c>
      <c r="M1339" t="s">
        <v>3960</v>
      </c>
      <c r="N1339" s="3">
        <v>892.88</v>
      </c>
      <c r="O1339" s="4">
        <v>0.17</v>
      </c>
      <c r="P1339" t="s">
        <v>1774</v>
      </c>
      <c r="Q1339" s="4">
        <v>1482.1808000000001</v>
      </c>
    </row>
    <row r="1340" spans="1:17" x14ac:dyDescent="0.3">
      <c r="A1340" t="s">
        <v>3112</v>
      </c>
      <c r="B1340" t="str">
        <f t="shared" si="20"/>
        <v>Q4</v>
      </c>
      <c r="C1340" t="str">
        <f>TEXT(Table1[[#This Row],[Order_Date]],"mmmm")</f>
        <v>October</v>
      </c>
      <c r="D1340">
        <f>YEAR(Table1[[#This Row],[Order_Date]])</f>
        <v>2025</v>
      </c>
      <c r="E1340" s="7">
        <v>45936</v>
      </c>
      <c r="F1340" s="2" t="str">
        <f>VLOOKUP(Table1[[#This Row],[Customer_ID]],Customer_Dim!$A$2:$H$501,2,FALSE)</f>
        <v>Donna Gregory</v>
      </c>
      <c r="G1340" s="2" t="str">
        <f>_xlfn.XLOOKUP(Table1[[#This Row],[Customer_ID]],Customer_Dim!$A$2:$A$501,Customer_Dim!$E$2:$E$501)</f>
        <v>South Amandahaven</v>
      </c>
      <c r="H1340" t="s">
        <v>324</v>
      </c>
      <c r="I1340" t="str">
        <f>VLOOKUP(Table1[[#This Row],[Product_ID]],Product_Dim!$A$2:$G$101,2,FALSE)</f>
        <v>Noise-Canceling Headphones-Electronics</v>
      </c>
      <c r="J1340" t="s">
        <v>1603</v>
      </c>
      <c r="K1340" t="str">
        <f>VLOOKUP(Table1[[#This Row],[Store_ID]],Store_Dim!$A$3:$D$22,2,FALSE)</f>
        <v>Guerrero-Schmitt-East</v>
      </c>
      <c r="L1340" t="s">
        <v>1761</v>
      </c>
      <c r="M1340" t="s">
        <v>3960</v>
      </c>
      <c r="N1340" s="3">
        <v>356.28</v>
      </c>
      <c r="O1340" s="4">
        <v>0.11</v>
      </c>
      <c r="P1340" t="s">
        <v>1777</v>
      </c>
      <c r="Q1340" s="4">
        <v>634.17840000000001</v>
      </c>
    </row>
    <row r="1341" spans="1:17" x14ac:dyDescent="0.3">
      <c r="A1341" t="s">
        <v>3113</v>
      </c>
      <c r="B1341" t="str">
        <f t="shared" si="20"/>
        <v>Q3</v>
      </c>
      <c r="C1341" t="str">
        <f>TEXT(Table1[[#This Row],[Order_Date]],"mmmm")</f>
        <v>September</v>
      </c>
      <c r="D1341">
        <f>YEAR(Table1[[#This Row],[Order_Date]])</f>
        <v>2025</v>
      </c>
      <c r="E1341" s="7">
        <v>45921</v>
      </c>
      <c r="F1341" s="2" t="str">
        <f>VLOOKUP(Table1[[#This Row],[Customer_ID]],Customer_Dim!$A$2:$H$501,2,FALSE)</f>
        <v>Andrew Mason</v>
      </c>
      <c r="G1341" s="2" t="str">
        <f>_xlfn.XLOOKUP(Table1[[#This Row],[Customer_ID]],Customer_Dim!$A$2:$A$501,Customer_Dim!$E$2:$E$501)</f>
        <v>North Michael</v>
      </c>
      <c r="H1341" t="s">
        <v>1186</v>
      </c>
      <c r="I1341" t="str">
        <f>VLOOKUP(Table1[[#This Row],[Product_ID]],Product_Dim!$A$2:$G$101,2,FALSE)</f>
        <v>Wall-Mounted Spice Rack-Home</v>
      </c>
      <c r="J1341" t="s">
        <v>1683</v>
      </c>
      <c r="K1341" t="str">
        <f>VLOOKUP(Table1[[#This Row],[Store_ID]],Store_Dim!$A$3:$D$22,2,FALSE)</f>
        <v>Black-Horn-South</v>
      </c>
      <c r="L1341" t="s">
        <v>1730</v>
      </c>
      <c r="M1341" t="s">
        <v>3959</v>
      </c>
      <c r="N1341" s="3">
        <v>806.99</v>
      </c>
      <c r="O1341" s="4">
        <v>0.06</v>
      </c>
      <c r="P1341" t="s">
        <v>1772</v>
      </c>
      <c r="Q1341" s="4">
        <v>3034.2824000000001</v>
      </c>
    </row>
    <row r="1342" spans="1:17" x14ac:dyDescent="0.3">
      <c r="A1342" t="s">
        <v>3114</v>
      </c>
      <c r="B1342" t="str">
        <f t="shared" si="20"/>
        <v>Q3</v>
      </c>
      <c r="C1342" t="str">
        <f>TEXT(Table1[[#This Row],[Order_Date]],"mmmm")</f>
        <v>July</v>
      </c>
      <c r="D1342">
        <f>YEAR(Table1[[#This Row],[Order_Date]])</f>
        <v>2025</v>
      </c>
      <c r="E1342" s="7">
        <v>45855</v>
      </c>
      <c r="F1342" s="2" t="str">
        <f>VLOOKUP(Table1[[#This Row],[Customer_ID]],Customer_Dim!$A$2:$H$501,2,FALSE)</f>
        <v>John Compton</v>
      </c>
      <c r="G1342" s="2" t="str">
        <f>_xlfn.XLOOKUP(Table1[[#This Row],[Customer_ID]],Customer_Dim!$A$2:$A$501,Customer_Dim!$E$2:$E$501)</f>
        <v>North Daniel</v>
      </c>
      <c r="H1342" t="s">
        <v>1344</v>
      </c>
      <c r="I1342" t="str">
        <f>VLOOKUP(Table1[[#This Row],[Product_ID]],Product_Dim!$A$2:$G$101,2,FALSE)</f>
        <v>Outdoor Sports Water Bottle-Sports</v>
      </c>
      <c r="J1342" t="s">
        <v>1563</v>
      </c>
      <c r="K1342" t="str">
        <f>VLOOKUP(Table1[[#This Row],[Store_ID]],Store_Dim!$A$3:$D$22,2,FALSE)</f>
        <v>Martinez, Adkins and Johnson-North</v>
      </c>
      <c r="L1342" t="s">
        <v>1728</v>
      </c>
      <c r="M1342" t="s">
        <v>3958</v>
      </c>
      <c r="N1342" s="3">
        <v>684.22</v>
      </c>
      <c r="O1342" s="4">
        <v>0.09</v>
      </c>
      <c r="P1342" t="s">
        <v>1772</v>
      </c>
      <c r="Q1342" s="4">
        <v>1867.9205999999999</v>
      </c>
    </row>
    <row r="1343" spans="1:17" x14ac:dyDescent="0.3">
      <c r="A1343" t="s">
        <v>3115</v>
      </c>
      <c r="B1343" t="str">
        <f t="shared" si="20"/>
        <v>Q2</v>
      </c>
      <c r="C1343" t="str">
        <f>TEXT(Table1[[#This Row],[Order_Date]],"mmmm")</f>
        <v>June</v>
      </c>
      <c r="D1343">
        <f>YEAR(Table1[[#This Row],[Order_Date]])</f>
        <v>2025</v>
      </c>
      <c r="E1343" s="7">
        <v>45837</v>
      </c>
      <c r="F1343" s="2" t="str">
        <f>VLOOKUP(Table1[[#This Row],[Customer_ID]],Customer_Dim!$A$2:$H$501,2,FALSE)</f>
        <v>Adam Castro</v>
      </c>
      <c r="G1343" s="2" t="str">
        <f>_xlfn.XLOOKUP(Table1[[#This Row],[Customer_ID]],Customer_Dim!$A$2:$A$501,Customer_Dim!$E$2:$E$501)</f>
        <v>New Donnabury</v>
      </c>
      <c r="H1343" t="s">
        <v>1355</v>
      </c>
      <c r="I1343" t="str">
        <f>VLOOKUP(Table1[[#This Row],[Product_ID]],Product_Dim!$A$2:$G$101,2,FALSE)</f>
        <v>USB-C Laptop Charger-Electronics</v>
      </c>
      <c r="J1343" t="s">
        <v>1709</v>
      </c>
      <c r="K1343" t="str">
        <f>VLOOKUP(Table1[[#This Row],[Store_ID]],Store_Dim!$A$3:$D$22,2,FALSE)</f>
        <v>Martinez-Mullins-South</v>
      </c>
      <c r="L1343" t="s">
        <v>1742</v>
      </c>
      <c r="M1343" t="s">
        <v>3959</v>
      </c>
      <c r="N1343" s="3">
        <v>763.34</v>
      </c>
      <c r="O1343" s="4">
        <v>7.0000000000000007E-2</v>
      </c>
      <c r="P1343" t="s">
        <v>1774</v>
      </c>
      <c r="Q1343" s="4">
        <v>2839.6248000000001</v>
      </c>
    </row>
    <row r="1344" spans="1:17" x14ac:dyDescent="0.3">
      <c r="A1344" t="s">
        <v>3116</v>
      </c>
      <c r="B1344" t="str">
        <f t="shared" si="20"/>
        <v>Q1</v>
      </c>
      <c r="C1344" t="str">
        <f>TEXT(Table1[[#This Row],[Order_Date]],"mmmm")</f>
        <v>March</v>
      </c>
      <c r="D1344">
        <f>YEAR(Table1[[#This Row],[Order_Date]])</f>
        <v>2025</v>
      </c>
      <c r="E1344" s="7">
        <v>45738</v>
      </c>
      <c r="F1344" s="2" t="str">
        <f>VLOOKUP(Table1[[#This Row],[Customer_ID]],Customer_Dim!$A$2:$H$501,2,FALSE)</f>
        <v>Natalie Johnson</v>
      </c>
      <c r="G1344" s="2" t="str">
        <f>_xlfn.XLOOKUP(Table1[[#This Row],[Customer_ID]],Customer_Dim!$A$2:$A$501,Customer_Dim!$E$2:$E$501)</f>
        <v>New Jessechester</v>
      </c>
      <c r="H1344" t="s">
        <v>1118</v>
      </c>
      <c r="I1344" t="str">
        <f>VLOOKUP(Table1[[#This Row],[Product_ID]],Product_Dim!$A$2:$G$101,2,FALSE)</f>
        <v>Boxing Hand Wraps-Sports</v>
      </c>
      <c r="J1344" t="s">
        <v>1623</v>
      </c>
      <c r="K1344" t="str">
        <f>VLOOKUP(Table1[[#This Row],[Store_ID]],Store_Dim!$A$3:$D$22,2,FALSE)</f>
        <v>Johnson-Wright-North</v>
      </c>
      <c r="L1344" t="s">
        <v>1733</v>
      </c>
      <c r="M1344" t="s">
        <v>3958</v>
      </c>
      <c r="N1344" s="3">
        <v>721.94</v>
      </c>
      <c r="O1344" s="4">
        <v>0.26</v>
      </c>
      <c r="P1344" t="s">
        <v>1772</v>
      </c>
      <c r="Q1344" s="4">
        <v>1602.7067999999999</v>
      </c>
    </row>
    <row r="1345" spans="1:17" x14ac:dyDescent="0.3">
      <c r="A1345" t="s">
        <v>3117</v>
      </c>
      <c r="B1345" t="str">
        <f t="shared" si="20"/>
        <v>Q1</v>
      </c>
      <c r="C1345" t="str">
        <f>TEXT(Table1[[#This Row],[Order_Date]],"mmmm")</f>
        <v>February</v>
      </c>
      <c r="D1345">
        <f>YEAR(Table1[[#This Row],[Order_Date]])</f>
        <v>2024</v>
      </c>
      <c r="E1345" s="7">
        <v>45323</v>
      </c>
      <c r="F1345" s="2" t="str">
        <f>VLOOKUP(Table1[[#This Row],[Customer_ID]],Customer_Dim!$A$2:$H$501,2,FALSE)</f>
        <v>David Lozano</v>
      </c>
      <c r="G1345" s="2" t="str">
        <f>_xlfn.XLOOKUP(Table1[[#This Row],[Customer_ID]],Customer_Dim!$A$2:$A$501,Customer_Dim!$E$2:$E$501)</f>
        <v>North Michaelfurt</v>
      </c>
      <c r="H1345" t="s">
        <v>1249</v>
      </c>
      <c r="I1345" t="str">
        <f>VLOOKUP(Table1[[#This Row],[Product_ID]],Product_Dim!$A$2:$G$101,2,FALSE)</f>
        <v>Cricket Bat-Sports</v>
      </c>
      <c r="J1345" t="s">
        <v>1717</v>
      </c>
      <c r="K1345" t="str">
        <f>VLOOKUP(Table1[[#This Row],[Store_ID]],Store_Dim!$A$3:$D$22,2,FALSE)</f>
        <v>Martinez, Adkins and Johnson-North</v>
      </c>
      <c r="L1345" t="s">
        <v>1728</v>
      </c>
      <c r="M1345" t="s">
        <v>3958</v>
      </c>
      <c r="N1345" s="3">
        <v>760.38</v>
      </c>
      <c r="O1345" s="4">
        <v>0.15206201550387605</v>
      </c>
      <c r="P1345" t="s">
        <v>1777</v>
      </c>
      <c r="Q1345" s="4">
        <v>2281.14</v>
      </c>
    </row>
    <row r="1346" spans="1:17" x14ac:dyDescent="0.3">
      <c r="A1346" t="s">
        <v>3118</v>
      </c>
      <c r="B1346" t="str">
        <f t="shared" ref="B1346:B1409" si="21">"Q" &amp;ROUNDUP(MONTH(E1346)/3,0)</f>
        <v>Q1</v>
      </c>
      <c r="C1346" t="str">
        <f>TEXT(Table1[[#This Row],[Order_Date]],"mmmm")</f>
        <v>March</v>
      </c>
      <c r="D1346">
        <f>YEAR(Table1[[#This Row],[Order_Date]])</f>
        <v>2024</v>
      </c>
      <c r="E1346" s="7">
        <v>45362</v>
      </c>
      <c r="F1346" s="2" t="str">
        <f>VLOOKUP(Table1[[#This Row],[Customer_ID]],Customer_Dim!$A$2:$H$501,2,FALSE)</f>
        <v>Tracy Stephens</v>
      </c>
      <c r="G1346" s="2" t="str">
        <f>_xlfn.XLOOKUP(Table1[[#This Row],[Customer_ID]],Customer_Dim!$A$2:$A$501,Customer_Dim!$E$2:$E$501)</f>
        <v>New Joshuatown</v>
      </c>
      <c r="H1346" t="s">
        <v>933</v>
      </c>
      <c r="I1346" t="str">
        <f>VLOOKUP(Table1[[#This Row],[Product_ID]],Product_Dim!$A$2:$G$101,2,FALSE)</f>
        <v>Cricket Bat-Sports</v>
      </c>
      <c r="J1346" t="s">
        <v>1717</v>
      </c>
      <c r="K1346" t="str">
        <f>VLOOKUP(Table1[[#This Row],[Store_ID]],Store_Dim!$A$3:$D$22,2,FALSE)</f>
        <v>Benson-Elliott-East</v>
      </c>
      <c r="L1346" t="s">
        <v>1740</v>
      </c>
      <c r="M1346" t="s">
        <v>3958</v>
      </c>
      <c r="N1346" s="3">
        <v>612.53</v>
      </c>
      <c r="O1346" s="4">
        <v>0.21</v>
      </c>
      <c r="P1346" t="s">
        <v>1777</v>
      </c>
      <c r="Q1346" s="4">
        <v>1451.6960999999999</v>
      </c>
    </row>
    <row r="1347" spans="1:17" x14ac:dyDescent="0.3">
      <c r="A1347" t="s">
        <v>3119</v>
      </c>
      <c r="B1347" t="str">
        <f t="shared" si="21"/>
        <v>Q3</v>
      </c>
      <c r="C1347" t="str">
        <f>TEXT(Table1[[#This Row],[Order_Date]],"mmmm")</f>
        <v>September</v>
      </c>
      <c r="D1347">
        <f>YEAR(Table1[[#This Row],[Order_Date]])</f>
        <v>2024</v>
      </c>
      <c r="E1347" s="7">
        <v>45544</v>
      </c>
      <c r="F1347" s="2" t="str">
        <f>VLOOKUP(Table1[[#This Row],[Customer_ID]],Customer_Dim!$A$2:$H$501,2,FALSE)</f>
        <v>James Gibbs</v>
      </c>
      <c r="G1347" s="2" t="str">
        <f>_xlfn.XLOOKUP(Table1[[#This Row],[Customer_ID]],Customer_Dim!$A$2:$A$501,Customer_Dim!$E$2:$E$501)</f>
        <v>Mooneyshire</v>
      </c>
      <c r="H1347" t="s">
        <v>159</v>
      </c>
      <c r="I1347" t="str">
        <f>VLOOKUP(Table1[[#This Row],[Product_ID]],Product_Dim!$A$2:$G$101,2,FALSE)</f>
        <v>Organic Sunscreen Lotion-Beauty</v>
      </c>
      <c r="J1347" t="s">
        <v>1649</v>
      </c>
      <c r="K1347" t="str">
        <f>VLOOKUP(Table1[[#This Row],[Store_ID]],Store_Dim!$A$3:$D$22,2,FALSE)</f>
        <v>Frederick-Wright-West</v>
      </c>
      <c r="L1347" t="s">
        <v>1757</v>
      </c>
      <c r="M1347" t="s">
        <v>3958</v>
      </c>
      <c r="N1347" s="3">
        <v>841.37</v>
      </c>
      <c r="O1347" s="4">
        <v>0.28999999999999998</v>
      </c>
      <c r="P1347" t="s">
        <v>1774</v>
      </c>
      <c r="Q1347" s="4">
        <v>1792.1180999999999</v>
      </c>
    </row>
    <row r="1348" spans="1:17" x14ac:dyDescent="0.3">
      <c r="A1348" t="s">
        <v>3120</v>
      </c>
      <c r="B1348" t="str">
        <f t="shared" si="21"/>
        <v>Q4</v>
      </c>
      <c r="C1348" t="str">
        <f>TEXT(Table1[[#This Row],[Order_Date]],"mmmm")</f>
        <v>November</v>
      </c>
      <c r="D1348">
        <f>YEAR(Table1[[#This Row],[Order_Date]])</f>
        <v>2023</v>
      </c>
      <c r="E1348" s="7">
        <v>45249</v>
      </c>
      <c r="F1348" s="2" t="str">
        <f>VLOOKUP(Table1[[#This Row],[Customer_ID]],Customer_Dim!$A$2:$H$501,2,FALSE)</f>
        <v>Carol Bishop</v>
      </c>
      <c r="G1348" s="2" t="str">
        <f>_xlfn.XLOOKUP(Table1[[#This Row],[Customer_ID]],Customer_Dim!$A$2:$A$501,Customer_Dim!$E$2:$E$501)</f>
        <v>Lake Saramouth</v>
      </c>
      <c r="H1348" t="s">
        <v>826</v>
      </c>
      <c r="I1348" t="str">
        <f>VLOOKUP(Table1[[#This Row],[Product_ID]],Product_Dim!$A$2:$G$101,2,FALSE)</f>
        <v>Car Dashboard Phone Holder-Electronics</v>
      </c>
      <c r="J1348" t="s">
        <v>1619</v>
      </c>
      <c r="K1348" t="str">
        <f>VLOOKUP(Table1[[#This Row],[Store_ID]],Store_Dim!$A$3:$D$22,2,FALSE)</f>
        <v>Moore, Padilla and Butler-South</v>
      </c>
      <c r="L1348" t="s">
        <v>1746</v>
      </c>
      <c r="M1348" t="s">
        <v>3960</v>
      </c>
      <c r="N1348" s="3">
        <v>636.51</v>
      </c>
      <c r="O1348" s="4">
        <v>0.25</v>
      </c>
      <c r="P1348" t="s">
        <v>1772</v>
      </c>
      <c r="Q1348" s="4">
        <v>954.76499999999999</v>
      </c>
    </row>
    <row r="1349" spans="1:17" x14ac:dyDescent="0.3">
      <c r="A1349" t="s">
        <v>3121</v>
      </c>
      <c r="B1349" t="str">
        <f t="shared" si="21"/>
        <v>Q1</v>
      </c>
      <c r="C1349" t="str">
        <f>TEXT(Table1[[#This Row],[Order_Date]],"mmmm")</f>
        <v>January</v>
      </c>
      <c r="D1349">
        <f>YEAR(Table1[[#This Row],[Order_Date]])</f>
        <v>2025</v>
      </c>
      <c r="E1349" s="7">
        <v>45659</v>
      </c>
      <c r="F1349" s="2" t="str">
        <f>VLOOKUP(Table1[[#This Row],[Customer_ID]],Customer_Dim!$A$2:$H$501,2,FALSE)</f>
        <v>Donna Gregory</v>
      </c>
      <c r="G1349" s="2" t="str">
        <f>_xlfn.XLOOKUP(Table1[[#This Row],[Customer_ID]],Customer_Dim!$A$2:$A$501,Customer_Dim!$E$2:$E$501)</f>
        <v>South Amandahaven</v>
      </c>
      <c r="H1349" t="s">
        <v>324</v>
      </c>
      <c r="I1349" t="str">
        <f>VLOOKUP(Table1[[#This Row],[Product_ID]],Product_Dim!$A$2:$G$101,2,FALSE)</f>
        <v>High-Grip Football-Sports</v>
      </c>
      <c r="J1349" t="s">
        <v>1613</v>
      </c>
      <c r="K1349" t="str">
        <f>VLOOKUP(Table1[[#This Row],[Store_ID]],Store_Dim!$A$3:$D$22,2,FALSE)</f>
        <v>Bean, Jones and Park-West</v>
      </c>
      <c r="L1349" t="s">
        <v>1744</v>
      </c>
      <c r="M1349" t="s">
        <v>3960</v>
      </c>
      <c r="N1349" s="3">
        <v>732.37</v>
      </c>
      <c r="O1349" s="4">
        <v>0.22</v>
      </c>
      <c r="P1349" t="s">
        <v>1777</v>
      </c>
      <c r="Q1349" s="4">
        <v>1142.4972</v>
      </c>
    </row>
    <row r="1350" spans="1:17" x14ac:dyDescent="0.3">
      <c r="A1350" t="s">
        <v>3122</v>
      </c>
      <c r="B1350" t="str">
        <f t="shared" si="21"/>
        <v>Q3</v>
      </c>
      <c r="C1350" t="str">
        <f>TEXT(Table1[[#This Row],[Order_Date]],"mmmm")</f>
        <v>September</v>
      </c>
      <c r="D1350">
        <f>YEAR(Table1[[#This Row],[Order_Date]])</f>
        <v>2025</v>
      </c>
      <c r="E1350" s="7">
        <v>45927</v>
      </c>
      <c r="F1350" s="2" t="str">
        <f>VLOOKUP(Table1[[#This Row],[Customer_ID]],Customer_Dim!$A$2:$H$501,2,FALSE)</f>
        <v>Daniel Rivas</v>
      </c>
      <c r="G1350" s="2" t="str">
        <f>_xlfn.XLOOKUP(Table1[[#This Row],[Customer_ID]],Customer_Dim!$A$2:$A$501,Customer_Dim!$E$2:$E$501)</f>
        <v>Dominiquefort</v>
      </c>
      <c r="H1350" t="s">
        <v>542</v>
      </c>
      <c r="I1350" t="str">
        <f>VLOOKUP(Table1[[#This Row],[Product_ID]],Product_Dim!$A$2:$G$101,2,FALSE)</f>
        <v>Sports Stopwatch Pro-Sports</v>
      </c>
      <c r="J1350" t="s">
        <v>1631</v>
      </c>
      <c r="K1350" t="str">
        <f>VLOOKUP(Table1[[#This Row],[Store_ID]],Store_Dim!$A$3:$D$22,2,FALSE)</f>
        <v>Frederick-Wright-West</v>
      </c>
      <c r="L1350" t="s">
        <v>1757</v>
      </c>
      <c r="M1350" t="s">
        <v>3958</v>
      </c>
      <c r="N1350" s="3">
        <v>183.44</v>
      </c>
      <c r="O1350" s="4">
        <v>0.28000000000000003</v>
      </c>
      <c r="P1350" t="s">
        <v>1777</v>
      </c>
      <c r="Q1350" s="4">
        <v>396.23039999999992</v>
      </c>
    </row>
    <row r="1351" spans="1:17" x14ac:dyDescent="0.3">
      <c r="A1351" t="s">
        <v>3123</v>
      </c>
      <c r="B1351" t="str">
        <f t="shared" si="21"/>
        <v>Q1</v>
      </c>
      <c r="C1351" t="str">
        <f>TEXT(Table1[[#This Row],[Order_Date]],"mmmm")</f>
        <v>March</v>
      </c>
      <c r="D1351">
        <f>YEAR(Table1[[#This Row],[Order_Date]])</f>
        <v>2024</v>
      </c>
      <c r="E1351" s="7">
        <v>45373</v>
      </c>
      <c r="F1351" s="2" t="str">
        <f>VLOOKUP(Table1[[#This Row],[Customer_ID]],Customer_Dim!$A$2:$H$501,2,FALSE)</f>
        <v>Michael Thomas</v>
      </c>
      <c r="G1351" s="2" t="str">
        <f>_xlfn.XLOOKUP(Table1[[#This Row],[Customer_ID]],Customer_Dim!$A$2:$A$501,Customer_Dim!$E$2:$E$501)</f>
        <v>Woodmouth</v>
      </c>
      <c r="H1351" t="s">
        <v>238</v>
      </c>
      <c r="I1351" t="str">
        <f>VLOOKUP(Table1[[#This Row],[Product_ID]],Product_Dim!$A$2:$G$101,2,FALSE)</f>
        <v>HD Smart TV Stick-Electronics</v>
      </c>
      <c r="J1351" t="s">
        <v>1545</v>
      </c>
      <c r="K1351" t="str">
        <f>VLOOKUP(Table1[[#This Row],[Store_ID]],Store_Dim!$A$3:$D$22,2,FALSE)</f>
        <v>Gardner, Humphrey and Contreras-East</v>
      </c>
      <c r="L1351" t="s">
        <v>1753</v>
      </c>
      <c r="M1351" t="s">
        <v>3959</v>
      </c>
      <c r="N1351" s="3">
        <v>898.58</v>
      </c>
      <c r="O1351" s="4">
        <v>0.16</v>
      </c>
      <c r="P1351" t="s">
        <v>1774</v>
      </c>
      <c r="Q1351" s="4">
        <v>3019.2287999999999</v>
      </c>
    </row>
    <row r="1352" spans="1:17" x14ac:dyDescent="0.3">
      <c r="A1352" t="s">
        <v>3124</v>
      </c>
      <c r="B1352" t="str">
        <f t="shared" si="21"/>
        <v>Q3</v>
      </c>
      <c r="C1352" t="str">
        <f>TEXT(Table1[[#This Row],[Order_Date]],"mmmm")</f>
        <v>August</v>
      </c>
      <c r="D1352">
        <f>YEAR(Table1[[#This Row],[Order_Date]])</f>
        <v>2024</v>
      </c>
      <c r="E1352" s="7">
        <v>45529</v>
      </c>
      <c r="F1352" s="2" t="str">
        <f>VLOOKUP(Table1[[#This Row],[Customer_ID]],Customer_Dim!$A$2:$H$501,2,FALSE)</f>
        <v>Daniel Bell</v>
      </c>
      <c r="G1352" s="2" t="str">
        <f>_xlfn.XLOOKUP(Table1[[#This Row],[Customer_ID]],Customer_Dim!$A$2:$A$501,Customer_Dim!$E$2:$E$501)</f>
        <v>Deniseberg</v>
      </c>
      <c r="H1352" t="s">
        <v>1204</v>
      </c>
      <c r="I1352" t="str">
        <f>VLOOKUP(Table1[[#This Row],[Product_ID]],Product_Dim!$A$2:$G$101,2,FALSE)</f>
        <v>Men's Formal Shirt-Clothing</v>
      </c>
      <c r="J1352" t="s">
        <v>1569</v>
      </c>
      <c r="K1352" t="str">
        <f>VLOOKUP(Table1[[#This Row],[Store_ID]],Store_Dim!$A$3:$D$22,2,FALSE)</f>
        <v>Black-Horn-South</v>
      </c>
      <c r="L1352" t="s">
        <v>1730</v>
      </c>
      <c r="M1352" t="s">
        <v>3958</v>
      </c>
      <c r="N1352" s="3">
        <v>152.41</v>
      </c>
      <c r="O1352" s="4">
        <v>0.25</v>
      </c>
      <c r="P1352" t="s">
        <v>1772</v>
      </c>
      <c r="Q1352" s="4">
        <v>342.92250000000001</v>
      </c>
    </row>
    <row r="1353" spans="1:17" x14ac:dyDescent="0.3">
      <c r="A1353" t="s">
        <v>3125</v>
      </c>
      <c r="B1353" t="str">
        <f t="shared" si="21"/>
        <v>Q3</v>
      </c>
      <c r="C1353" t="str">
        <f>TEXT(Table1[[#This Row],[Order_Date]],"mmmm")</f>
        <v>August</v>
      </c>
      <c r="D1353">
        <f>YEAR(Table1[[#This Row],[Order_Date]])</f>
        <v>2025</v>
      </c>
      <c r="E1353" s="7">
        <v>45872</v>
      </c>
      <c r="F1353" s="2" t="str">
        <f>VLOOKUP(Table1[[#This Row],[Customer_ID]],Customer_Dim!$A$2:$H$501,2,FALSE)</f>
        <v>Robert Harris</v>
      </c>
      <c r="G1353" s="2" t="str">
        <f>_xlfn.XLOOKUP(Table1[[#This Row],[Customer_ID]],Customer_Dim!$A$2:$A$501,Customer_Dim!$E$2:$E$501)</f>
        <v>East jeremy</v>
      </c>
      <c r="H1353" t="s">
        <v>716</v>
      </c>
      <c r="I1353" t="str">
        <f>VLOOKUP(Table1[[#This Row],[Product_ID]],Product_Dim!$A$2:$G$101,2,FALSE)</f>
        <v>Microwave Oven-Home</v>
      </c>
      <c r="J1353" t="s">
        <v>1707</v>
      </c>
      <c r="K1353" t="str">
        <f>VLOOKUP(Table1[[#This Row],[Store_ID]],Store_Dim!$A$3:$D$22,2,FALSE)</f>
        <v>Mcdonald Inc-South</v>
      </c>
      <c r="L1353" t="s">
        <v>1754</v>
      </c>
      <c r="M1353" t="s">
        <v>3958</v>
      </c>
      <c r="N1353" s="3">
        <v>972.58</v>
      </c>
      <c r="O1353" s="4">
        <v>0.28000000000000003</v>
      </c>
      <c r="P1353" t="s">
        <v>1777</v>
      </c>
      <c r="Q1353" s="4">
        <v>2100.7728000000002</v>
      </c>
    </row>
    <row r="1354" spans="1:17" x14ac:dyDescent="0.3">
      <c r="A1354" t="s">
        <v>3126</v>
      </c>
      <c r="B1354" t="str">
        <f t="shared" si="21"/>
        <v>Q4</v>
      </c>
      <c r="C1354" t="str">
        <f>TEXT(Table1[[#This Row],[Order_Date]],"mmmm")</f>
        <v>December</v>
      </c>
      <c r="D1354">
        <f>YEAR(Table1[[#This Row],[Order_Date]])</f>
        <v>2023</v>
      </c>
      <c r="E1354" s="7">
        <v>45267</v>
      </c>
      <c r="F1354" s="2" t="str">
        <f>VLOOKUP(Table1[[#This Row],[Customer_ID]],Customer_Dim!$A$2:$H$501,2,FALSE)</f>
        <v>Cynthia Parrish</v>
      </c>
      <c r="G1354" s="2" t="str">
        <f>_xlfn.XLOOKUP(Table1[[#This Row],[Customer_ID]],Customer_Dim!$A$2:$A$501,Customer_Dim!$E$2:$E$501)</f>
        <v>Espinozaberg</v>
      </c>
      <c r="H1354" t="s">
        <v>1421</v>
      </c>
      <c r="I1354" t="str">
        <f>VLOOKUP(Table1[[#This Row],[Product_ID]],Product_Dim!$A$2:$G$101,2,FALSE)</f>
        <v>Men's Sports Shorts-Clothing</v>
      </c>
      <c r="J1354" t="s">
        <v>1661</v>
      </c>
      <c r="K1354" t="str">
        <f>VLOOKUP(Table1[[#This Row],[Store_ID]],Store_Dim!$A$3:$D$22,2,FALSE)</f>
        <v>Aguirre-Keller-South</v>
      </c>
      <c r="L1354" t="s">
        <v>1750</v>
      </c>
      <c r="M1354" t="s">
        <v>3959</v>
      </c>
      <c r="N1354" s="3">
        <v>136.4</v>
      </c>
      <c r="O1354" s="4">
        <v>0.04</v>
      </c>
      <c r="P1354" t="s">
        <v>1777</v>
      </c>
      <c r="Q1354" s="4">
        <v>523.77599999999995</v>
      </c>
    </row>
    <row r="1355" spans="1:17" x14ac:dyDescent="0.3">
      <c r="A1355" t="s">
        <v>3127</v>
      </c>
      <c r="B1355" t="str">
        <f t="shared" si="21"/>
        <v>Q3</v>
      </c>
      <c r="C1355" t="str">
        <f>TEXT(Table1[[#This Row],[Order_Date]],"mmmm")</f>
        <v>August</v>
      </c>
      <c r="D1355">
        <f>YEAR(Table1[[#This Row],[Order_Date]])</f>
        <v>2025</v>
      </c>
      <c r="E1355" s="7">
        <v>45894</v>
      </c>
      <c r="F1355" s="2" t="str">
        <f>VLOOKUP(Table1[[#This Row],[Customer_ID]],Customer_Dim!$A$2:$H$501,2,FALSE)</f>
        <v>Mark Rogers</v>
      </c>
      <c r="G1355" s="2" t="str">
        <f>_xlfn.XLOOKUP(Table1[[#This Row],[Customer_ID]],Customer_Dim!$A$2:$A$501,Customer_Dim!$E$2:$E$501)</f>
        <v>Bookertown</v>
      </c>
      <c r="H1355" t="s">
        <v>1232</v>
      </c>
      <c r="I1355" t="str">
        <f>VLOOKUP(Table1[[#This Row],[Product_ID]],Product_Dim!$A$2:$G$101,2,FALSE)</f>
        <v>Vitamin E Body Lotion-Beauty</v>
      </c>
      <c r="J1355" t="s">
        <v>1711</v>
      </c>
      <c r="K1355" t="str">
        <f>VLOOKUP(Table1[[#This Row],[Store_ID]],Store_Dim!$A$3:$D$22,2,FALSE)</f>
        <v>Shelton PLC-North</v>
      </c>
      <c r="L1355" t="s">
        <v>1755</v>
      </c>
      <c r="M1355" t="s">
        <v>3957</v>
      </c>
      <c r="N1355" s="3">
        <v>509.63</v>
      </c>
      <c r="O1355" s="4">
        <v>0.27</v>
      </c>
      <c r="P1355" t="s">
        <v>1777</v>
      </c>
      <c r="Q1355" s="4">
        <v>372.0299</v>
      </c>
    </row>
    <row r="1356" spans="1:17" x14ac:dyDescent="0.3">
      <c r="A1356" t="s">
        <v>3128</v>
      </c>
      <c r="B1356" t="str">
        <f t="shared" si="21"/>
        <v>Q1</v>
      </c>
      <c r="C1356" t="str">
        <f>TEXT(Table1[[#This Row],[Order_Date]],"mmmm")</f>
        <v>February</v>
      </c>
      <c r="D1356">
        <f>YEAR(Table1[[#This Row],[Order_Date]])</f>
        <v>2024</v>
      </c>
      <c r="E1356" s="7">
        <v>45331</v>
      </c>
      <c r="F1356" s="2" t="str">
        <f>VLOOKUP(Table1[[#This Row],[Customer_ID]],Customer_Dim!$A$2:$H$501,2,FALSE)</f>
        <v>Jeremy Harris</v>
      </c>
      <c r="G1356" s="2" t="str">
        <f>_xlfn.XLOOKUP(Table1[[#This Row],[Customer_ID]],Customer_Dim!$A$2:$A$501,Customer_Dim!$E$2:$E$501)</f>
        <v>Thomastown</v>
      </c>
      <c r="H1356" t="s">
        <v>23</v>
      </c>
      <c r="I1356" t="str">
        <f>VLOOKUP(Table1[[#This Row],[Product_ID]],Product_Dim!$A$2:$G$101,2,FALSE)</f>
        <v>Cricket Bat-Sports</v>
      </c>
      <c r="J1356" t="s">
        <v>1717</v>
      </c>
      <c r="K1356" t="str">
        <f>VLOOKUP(Table1[[#This Row],[Store_ID]],Store_Dim!$A$3:$D$22,2,FALSE)</f>
        <v>Johnson-Wright-North</v>
      </c>
      <c r="L1356" t="s">
        <v>1733</v>
      </c>
      <c r="M1356" t="s">
        <v>3959</v>
      </c>
      <c r="N1356" s="3">
        <v>360.28</v>
      </c>
      <c r="O1356" s="4">
        <v>0.09</v>
      </c>
      <c r="P1356" t="s">
        <v>1777</v>
      </c>
      <c r="Q1356" s="4">
        <v>1311.4192</v>
      </c>
    </row>
    <row r="1357" spans="1:17" x14ac:dyDescent="0.3">
      <c r="A1357" t="s">
        <v>3129</v>
      </c>
      <c r="B1357" t="str">
        <f t="shared" si="21"/>
        <v>Q3</v>
      </c>
      <c r="C1357" t="str">
        <f>TEXT(Table1[[#This Row],[Order_Date]],"mmmm")</f>
        <v>September</v>
      </c>
      <c r="D1357">
        <f>YEAR(Table1[[#This Row],[Order_Date]])</f>
        <v>2025</v>
      </c>
      <c r="E1357" s="7">
        <v>45910</v>
      </c>
      <c r="F1357" s="2" t="str">
        <f>VLOOKUP(Table1[[#This Row],[Customer_ID]],Customer_Dim!$A$2:$H$501,2,FALSE)</f>
        <v>Jennifer Garcia</v>
      </c>
      <c r="G1357" s="2" t="str">
        <f>_xlfn.XLOOKUP(Table1[[#This Row],[Customer_ID]],Customer_Dim!$A$2:$A$501,Customer_Dim!$E$2:$E$501)</f>
        <v>New Sean</v>
      </c>
      <c r="H1357" t="s">
        <v>289</v>
      </c>
      <c r="I1357" t="str">
        <f>VLOOKUP(Table1[[#This Row],[Product_ID]],Product_Dim!$A$2:$G$101,2,FALSE)</f>
        <v>Face Foundation Kit-Beauty</v>
      </c>
      <c r="J1357" t="s">
        <v>1701</v>
      </c>
      <c r="K1357" t="str">
        <f>VLOOKUP(Table1[[#This Row],[Store_ID]],Store_Dim!$A$3:$D$22,2,FALSE)</f>
        <v>Shelton PLC-North</v>
      </c>
      <c r="L1357" t="s">
        <v>1755</v>
      </c>
      <c r="M1357" t="s">
        <v>3958</v>
      </c>
      <c r="N1357" s="3">
        <v>882.05</v>
      </c>
      <c r="O1357" s="4">
        <v>0.06</v>
      </c>
      <c r="P1357" t="s">
        <v>1774</v>
      </c>
      <c r="Q1357" s="4">
        <v>2487.3809999999989</v>
      </c>
    </row>
    <row r="1358" spans="1:17" x14ac:dyDescent="0.3">
      <c r="A1358" t="s">
        <v>3130</v>
      </c>
      <c r="B1358" t="str">
        <f t="shared" si="21"/>
        <v>Q3</v>
      </c>
      <c r="C1358" t="str">
        <f>TEXT(Table1[[#This Row],[Order_Date]],"mmmm")</f>
        <v>September</v>
      </c>
      <c r="D1358">
        <f>YEAR(Table1[[#This Row],[Order_Date]])</f>
        <v>2024</v>
      </c>
      <c r="E1358" s="7">
        <v>45564</v>
      </c>
      <c r="F1358" s="2" t="str">
        <f>VLOOKUP(Table1[[#This Row],[Customer_ID]],Customer_Dim!$A$2:$H$501,2,FALSE)</f>
        <v>Anthony Garcia</v>
      </c>
      <c r="G1358" s="2" t="str">
        <f>_xlfn.XLOOKUP(Table1[[#This Row],[Customer_ID]],Customer_Dim!$A$2:$A$501,Customer_Dim!$E$2:$E$501)</f>
        <v>Taraberg</v>
      </c>
      <c r="H1358" t="s">
        <v>634</v>
      </c>
      <c r="I1358" t="str">
        <f>VLOOKUP(Table1[[#This Row],[Product_ID]],Product_Dim!$A$2:$G$101,2,FALSE)</f>
        <v>Decorative Lamp Shade-Home</v>
      </c>
      <c r="J1358" t="s">
        <v>1681</v>
      </c>
      <c r="K1358" t="str">
        <f>VLOOKUP(Table1[[#This Row],[Store_ID]],Store_Dim!$A$3:$D$22,2,FALSE)</f>
        <v>Bean, Jones and Park-West</v>
      </c>
      <c r="L1358" t="s">
        <v>1744</v>
      </c>
      <c r="M1358" t="s">
        <v>3958</v>
      </c>
      <c r="N1358" s="3">
        <v>141.54</v>
      </c>
      <c r="O1358" s="4">
        <v>0.12</v>
      </c>
      <c r="P1358" t="s">
        <v>1774</v>
      </c>
      <c r="Q1358" s="4">
        <v>373.66559999999998</v>
      </c>
    </row>
    <row r="1359" spans="1:17" x14ac:dyDescent="0.3">
      <c r="A1359" t="s">
        <v>3131</v>
      </c>
      <c r="B1359" t="str">
        <f t="shared" si="21"/>
        <v>Q2</v>
      </c>
      <c r="C1359" t="str">
        <f>TEXT(Table1[[#This Row],[Order_Date]],"mmmm")</f>
        <v>June</v>
      </c>
      <c r="D1359">
        <f>YEAR(Table1[[#This Row],[Order_Date]])</f>
        <v>2024</v>
      </c>
      <c r="E1359" s="7">
        <v>45461</v>
      </c>
      <c r="F1359" s="2" t="str">
        <f>VLOOKUP(Table1[[#This Row],[Customer_ID]],Customer_Dim!$A$2:$H$501,2,FALSE)</f>
        <v>Joseph Snow</v>
      </c>
      <c r="G1359" s="2" t="str">
        <f>_xlfn.XLOOKUP(Table1[[#This Row],[Customer_ID]],Customer_Dim!$A$2:$A$501,Customer_Dim!$E$2:$E$501)</f>
        <v>South Michaelfort</v>
      </c>
      <c r="H1359" t="s">
        <v>167</v>
      </c>
      <c r="I1359" t="str">
        <f>VLOOKUP(Table1[[#This Row],[Product_ID]],Product_Dim!$A$2:$G$101,2,FALSE)</f>
        <v>4K Home Projector-Electronics</v>
      </c>
      <c r="J1359" t="s">
        <v>1553</v>
      </c>
      <c r="K1359" t="str">
        <f>VLOOKUP(Table1[[#This Row],[Store_ID]],Store_Dim!$A$3:$D$22,2,FALSE)</f>
        <v>Alexander Group-South</v>
      </c>
      <c r="L1359" t="s">
        <v>1735</v>
      </c>
      <c r="M1359" t="s">
        <v>3958</v>
      </c>
      <c r="N1359" s="3">
        <v>83.5</v>
      </c>
      <c r="O1359" s="4">
        <v>0.23</v>
      </c>
      <c r="P1359" t="s">
        <v>1777</v>
      </c>
      <c r="Q1359" s="4">
        <v>192.88499999999999</v>
      </c>
    </row>
    <row r="1360" spans="1:17" x14ac:dyDescent="0.3">
      <c r="A1360" t="s">
        <v>3132</v>
      </c>
      <c r="B1360" t="str">
        <f t="shared" si="21"/>
        <v>Q4</v>
      </c>
      <c r="C1360" t="str">
        <f>TEXT(Table1[[#This Row],[Order_Date]],"mmmm")</f>
        <v>November</v>
      </c>
      <c r="D1360">
        <f>YEAR(Table1[[#This Row],[Order_Date]])</f>
        <v>2023</v>
      </c>
      <c r="E1360" s="7">
        <v>45258</v>
      </c>
      <c r="F1360" s="2" t="str">
        <f>VLOOKUP(Table1[[#This Row],[Customer_ID]],Customer_Dim!$A$2:$H$501,2,FALSE)</f>
        <v>Erin Hopkins</v>
      </c>
      <c r="G1360" s="2" t="str">
        <f>_xlfn.XLOOKUP(Table1[[#This Row],[Customer_ID]],Customer_Dim!$A$2:$A$501,Customer_Dim!$E$2:$E$501)</f>
        <v>North Sabrina</v>
      </c>
      <c r="H1360" t="s">
        <v>420</v>
      </c>
      <c r="I1360" t="str">
        <f>VLOOKUP(Table1[[#This Row],[Product_ID]],Product_Dim!$A$2:$G$101,2,FALSE)</f>
        <v>Decorative Wall Mirror-Home</v>
      </c>
      <c r="J1360" t="s">
        <v>1551</v>
      </c>
      <c r="K1360" t="str">
        <f>VLOOKUP(Table1[[#This Row],[Store_ID]],Store_Dim!$A$3:$D$22,2,FALSE)</f>
        <v>Benson-Elliott-East</v>
      </c>
      <c r="L1360" t="s">
        <v>1740</v>
      </c>
      <c r="M1360" t="s">
        <v>3960</v>
      </c>
      <c r="N1360" s="3">
        <v>629.73</v>
      </c>
      <c r="O1360" s="4">
        <v>7.0000000000000007E-2</v>
      </c>
      <c r="P1360" t="s">
        <v>1774</v>
      </c>
      <c r="Q1360" s="4">
        <v>1171.2978000000001</v>
      </c>
    </row>
    <row r="1361" spans="1:17" x14ac:dyDescent="0.3">
      <c r="A1361" t="s">
        <v>3133</v>
      </c>
      <c r="B1361" t="str">
        <f t="shared" si="21"/>
        <v>Q4</v>
      </c>
      <c r="C1361" t="str">
        <f>TEXT(Table1[[#This Row],[Order_Date]],"mmmm")</f>
        <v>October</v>
      </c>
      <c r="D1361">
        <f>YEAR(Table1[[#This Row],[Order_Date]])</f>
        <v>2023</v>
      </c>
      <c r="E1361" s="7">
        <v>45228</v>
      </c>
      <c r="F1361" s="2" t="str">
        <f>VLOOKUP(Table1[[#This Row],[Customer_ID]],Customer_Dim!$A$2:$H$501,2,FALSE)</f>
        <v>Kenneth Lambert</v>
      </c>
      <c r="G1361" s="2" t="str">
        <f>_xlfn.XLOOKUP(Table1[[#This Row],[Customer_ID]],Customer_Dim!$A$2:$A$501,Customer_Dim!$E$2:$E$501)</f>
        <v>North Kathryn</v>
      </c>
      <c r="H1361" t="s">
        <v>59</v>
      </c>
      <c r="I1361" t="str">
        <f>VLOOKUP(Table1[[#This Row],[Product_ID]],Product_Dim!$A$2:$G$101,2,FALSE)</f>
        <v>Modern Wall Clock-Home</v>
      </c>
      <c r="J1361" t="s">
        <v>1589</v>
      </c>
      <c r="K1361" t="str">
        <f>VLOOKUP(Table1[[#This Row],[Store_ID]],Store_Dim!$A$3:$D$22,2,FALSE)</f>
        <v>Benson-Elliott-East</v>
      </c>
      <c r="L1361" t="s">
        <v>1740</v>
      </c>
      <c r="M1361" t="s">
        <v>3960</v>
      </c>
      <c r="N1361" s="3">
        <v>159.93</v>
      </c>
      <c r="O1361" s="4">
        <v>0.2</v>
      </c>
      <c r="P1361" t="s">
        <v>1777</v>
      </c>
      <c r="Q1361" s="4">
        <v>255.88800000000001</v>
      </c>
    </row>
    <row r="1362" spans="1:17" x14ac:dyDescent="0.3">
      <c r="A1362" t="s">
        <v>3134</v>
      </c>
      <c r="B1362" t="str">
        <f t="shared" si="21"/>
        <v>Q3</v>
      </c>
      <c r="C1362" t="str">
        <f>TEXT(Table1[[#This Row],[Order_Date]],"mmmm")</f>
        <v>July</v>
      </c>
      <c r="D1362">
        <f>YEAR(Table1[[#This Row],[Order_Date]])</f>
        <v>2025</v>
      </c>
      <c r="E1362" s="7">
        <v>45858</v>
      </c>
      <c r="F1362" s="2" t="str">
        <f>VLOOKUP(Table1[[#This Row],[Customer_ID]],Customer_Dim!$A$2:$H$501,2,FALSE)</f>
        <v>Kenneth Lambert</v>
      </c>
      <c r="G1362" s="2" t="str">
        <f>_xlfn.XLOOKUP(Table1[[#This Row],[Customer_ID]],Customer_Dim!$A$2:$A$501,Customer_Dim!$E$2:$E$501)</f>
        <v>North Kathryn</v>
      </c>
      <c r="H1362" t="s">
        <v>59</v>
      </c>
      <c r="I1362" t="str">
        <f>VLOOKUP(Table1[[#This Row],[Product_ID]],Product_Dim!$A$2:$G$101,2,FALSE)</f>
        <v>High-Grip Football-Sports</v>
      </c>
      <c r="J1362" t="s">
        <v>1613</v>
      </c>
      <c r="K1362" t="str">
        <f>VLOOKUP(Table1[[#This Row],[Store_ID]],Store_Dim!$A$3:$D$22,2,FALSE)</f>
        <v>Guerrero-Schmitt-East</v>
      </c>
      <c r="L1362" t="s">
        <v>1761</v>
      </c>
      <c r="M1362" t="s">
        <v>3957</v>
      </c>
      <c r="N1362" s="3">
        <v>459.89</v>
      </c>
      <c r="O1362" s="4">
        <v>0.18</v>
      </c>
      <c r="P1362" t="s">
        <v>1777</v>
      </c>
      <c r="Q1362" s="4">
        <v>377.10980000000001</v>
      </c>
    </row>
    <row r="1363" spans="1:17" x14ac:dyDescent="0.3">
      <c r="A1363" t="s">
        <v>3135</v>
      </c>
      <c r="B1363" t="str">
        <f t="shared" si="21"/>
        <v>Q3</v>
      </c>
      <c r="C1363" t="str">
        <f>TEXT(Table1[[#This Row],[Order_Date]],"mmmm")</f>
        <v>August</v>
      </c>
      <c r="D1363">
        <f>YEAR(Table1[[#This Row],[Order_Date]])</f>
        <v>2024</v>
      </c>
      <c r="E1363" s="7">
        <v>45532</v>
      </c>
      <c r="F1363" s="2" t="str">
        <f>VLOOKUP(Table1[[#This Row],[Customer_ID]],Customer_Dim!$A$2:$H$501,2,FALSE)</f>
        <v>Kimberly Brooks</v>
      </c>
      <c r="G1363" s="2" t="str">
        <f>_xlfn.XLOOKUP(Table1[[#This Row],[Customer_ID]],Customer_Dim!$A$2:$A$501,Customer_Dim!$E$2:$E$501)</f>
        <v>Kingfort</v>
      </c>
      <c r="H1363" t="s">
        <v>613</v>
      </c>
      <c r="I1363" t="str">
        <f>VLOOKUP(Table1[[#This Row],[Product_ID]],Product_Dim!$A$2:$G$101,2,FALSE)</f>
        <v>Modern Wall Clock-Home</v>
      </c>
      <c r="J1363" t="s">
        <v>1589</v>
      </c>
      <c r="K1363" t="str">
        <f>VLOOKUP(Table1[[#This Row],[Store_ID]],Store_Dim!$A$3:$D$22,2,FALSE)</f>
        <v>Mann-Austin-East</v>
      </c>
      <c r="L1363" t="s">
        <v>1763</v>
      </c>
      <c r="M1363" t="s">
        <v>3959</v>
      </c>
      <c r="N1363" s="3">
        <v>885.57</v>
      </c>
      <c r="O1363" s="4">
        <v>0.27</v>
      </c>
      <c r="P1363" t="s">
        <v>1772</v>
      </c>
      <c r="Q1363" s="4">
        <v>2585.8643999999999</v>
      </c>
    </row>
    <row r="1364" spans="1:17" x14ac:dyDescent="0.3">
      <c r="A1364" t="s">
        <v>3136</v>
      </c>
      <c r="B1364" t="str">
        <f t="shared" si="21"/>
        <v>Q2</v>
      </c>
      <c r="C1364" t="str">
        <f>TEXT(Table1[[#This Row],[Order_Date]],"mmmm")</f>
        <v>June</v>
      </c>
      <c r="D1364">
        <f>YEAR(Table1[[#This Row],[Order_Date]])</f>
        <v>2024</v>
      </c>
      <c r="E1364" s="7">
        <v>45454</v>
      </c>
      <c r="F1364" s="2" t="str">
        <f>VLOOKUP(Table1[[#This Row],[Customer_ID]],Customer_Dim!$A$2:$H$501,2,FALSE)</f>
        <v>Cassandra Perez</v>
      </c>
      <c r="G1364" s="2" t="str">
        <f>_xlfn.XLOOKUP(Table1[[#This Row],[Customer_ID]],Customer_Dim!$A$2:$A$501,Customer_Dim!$E$2:$E$501)</f>
        <v>Brandonville</v>
      </c>
      <c r="H1364" t="s">
        <v>1238</v>
      </c>
      <c r="I1364" t="str">
        <f>VLOOKUP(Table1[[#This Row],[Product_ID]],Product_Dim!$A$2:$G$101,2,FALSE)</f>
        <v>Sports Stopwatch Pro-Sports</v>
      </c>
      <c r="J1364" t="s">
        <v>1631</v>
      </c>
      <c r="K1364" t="str">
        <f>VLOOKUP(Table1[[#This Row],[Store_ID]],Store_Dim!$A$3:$D$22,2,FALSE)</f>
        <v>Shelton PLC-North</v>
      </c>
      <c r="L1364" t="s">
        <v>1755</v>
      </c>
      <c r="M1364" t="s">
        <v>3958</v>
      </c>
      <c r="N1364" s="3">
        <v>789.05</v>
      </c>
      <c r="O1364" s="4">
        <v>0.15089314194577358</v>
      </c>
      <c r="P1364" t="s">
        <v>1774</v>
      </c>
      <c r="Q1364" s="4">
        <v>2367.15</v>
      </c>
    </row>
    <row r="1365" spans="1:17" x14ac:dyDescent="0.3">
      <c r="A1365" t="s">
        <v>3137</v>
      </c>
      <c r="B1365" t="str">
        <f t="shared" si="21"/>
        <v>Q4</v>
      </c>
      <c r="C1365" t="str">
        <f>TEXT(Table1[[#This Row],[Order_Date]],"mmmm")</f>
        <v>November</v>
      </c>
      <c r="D1365">
        <f>YEAR(Table1[[#This Row],[Order_Date]])</f>
        <v>2023</v>
      </c>
      <c r="E1365" s="7">
        <v>45244</v>
      </c>
      <c r="F1365" s="2" t="str">
        <f>VLOOKUP(Table1[[#This Row],[Customer_ID]],Customer_Dim!$A$2:$H$501,2,FALSE)</f>
        <v>Julie Hale</v>
      </c>
      <c r="G1365" s="2" t="str">
        <f>_xlfn.XLOOKUP(Table1[[#This Row],[Customer_ID]],Customer_Dim!$A$2:$A$501,Customer_Dim!$E$2:$E$501)</f>
        <v>Owensview</v>
      </c>
      <c r="H1365" t="s">
        <v>512</v>
      </c>
      <c r="I1365" t="str">
        <f>VLOOKUP(Table1[[#This Row],[Product_ID]],Product_Dim!$A$2:$G$101,2,FALSE)</f>
        <v>Women's Hair Dryer Brush-Beauty</v>
      </c>
      <c r="J1365" t="s">
        <v>1655</v>
      </c>
      <c r="K1365" t="str">
        <f>VLOOKUP(Table1[[#This Row],[Store_ID]],Store_Dim!$A$3:$D$22,2,FALSE)</f>
        <v>Rivera-Warner-East</v>
      </c>
      <c r="L1365" t="s">
        <v>1725</v>
      </c>
      <c r="M1365" t="s">
        <v>3957</v>
      </c>
      <c r="N1365" s="3">
        <v>570.52</v>
      </c>
      <c r="O1365" s="4">
        <v>0.15089314194577358</v>
      </c>
      <c r="P1365" t="s">
        <v>1774</v>
      </c>
      <c r="Q1365" s="4">
        <v>570.52</v>
      </c>
    </row>
    <row r="1366" spans="1:17" x14ac:dyDescent="0.3">
      <c r="A1366" t="s">
        <v>3138</v>
      </c>
      <c r="B1366" t="str">
        <f t="shared" si="21"/>
        <v>Q1</v>
      </c>
      <c r="C1366" t="str">
        <f>TEXT(Table1[[#This Row],[Order_Date]],"mmmm")</f>
        <v>January</v>
      </c>
      <c r="D1366">
        <f>YEAR(Table1[[#This Row],[Order_Date]])</f>
        <v>2024</v>
      </c>
      <c r="E1366" s="7">
        <v>45322</v>
      </c>
      <c r="F1366" s="2" t="str">
        <f>VLOOKUP(Table1[[#This Row],[Customer_ID]],Customer_Dim!$A$2:$H$501,2,FALSE)</f>
        <v>Nicholas Bradshaw</v>
      </c>
      <c r="G1366" s="2" t="str">
        <f>_xlfn.XLOOKUP(Table1[[#This Row],[Customer_ID]],Customer_Dim!$A$2:$A$501,Customer_Dim!$E$2:$E$501)</f>
        <v>Murphyfurt</v>
      </c>
      <c r="H1366" t="s">
        <v>586</v>
      </c>
      <c r="I1366" t="str">
        <f>VLOOKUP(Table1[[#This Row],[Product_ID]],Product_Dim!$A$2:$G$101,2,FALSE)</f>
        <v>Decorative Floor Vase-Home</v>
      </c>
      <c r="J1366" t="s">
        <v>1577</v>
      </c>
      <c r="K1366" t="str">
        <f>VLOOKUP(Table1[[#This Row],[Store_ID]],Store_Dim!$A$3:$D$22,2,FALSE)</f>
        <v>Frederick-Wright-West</v>
      </c>
      <c r="L1366" t="s">
        <v>1757</v>
      </c>
      <c r="M1366" t="s">
        <v>3959</v>
      </c>
      <c r="N1366" s="3">
        <v>310.79000000000002</v>
      </c>
      <c r="O1366" s="4">
        <v>0.22</v>
      </c>
      <c r="P1366" t="s">
        <v>1777</v>
      </c>
      <c r="Q1366" s="4">
        <v>969.66480000000013</v>
      </c>
    </row>
    <row r="1367" spans="1:17" x14ac:dyDescent="0.3">
      <c r="A1367" t="s">
        <v>3139</v>
      </c>
      <c r="B1367" t="str">
        <f t="shared" si="21"/>
        <v>Q2</v>
      </c>
      <c r="C1367" t="str">
        <f>TEXT(Table1[[#This Row],[Order_Date]],"mmmm")</f>
        <v>April</v>
      </c>
      <c r="D1367">
        <f>YEAR(Table1[[#This Row],[Order_Date]])</f>
        <v>2025</v>
      </c>
      <c r="E1367" s="7">
        <v>45757</v>
      </c>
      <c r="F1367" s="2" t="str">
        <f>VLOOKUP(Table1[[#This Row],[Customer_ID]],Customer_Dim!$A$2:$H$501,2,FALSE)</f>
        <v>Jay Patel</v>
      </c>
      <c r="G1367" s="2" t="str">
        <f>_xlfn.XLOOKUP(Table1[[#This Row],[Customer_ID]],Customer_Dim!$A$2:$A$501,Customer_Dim!$E$2:$E$501)</f>
        <v>Morrisbury</v>
      </c>
      <c r="H1367" t="s">
        <v>211</v>
      </c>
      <c r="I1367" t="str">
        <f>VLOOKUP(Table1[[#This Row],[Product_ID]],Product_Dim!$A$2:$G$101,2,FALSE)</f>
        <v>Wooden Nightstand-Home</v>
      </c>
      <c r="J1367" t="s">
        <v>1659</v>
      </c>
      <c r="K1367" t="str">
        <f>VLOOKUP(Table1[[#This Row],[Store_ID]],Store_Dim!$A$3:$D$22,2,FALSE)</f>
        <v>Holloway Ltd-North</v>
      </c>
      <c r="L1367" t="s">
        <v>1759</v>
      </c>
      <c r="M1367" t="s">
        <v>3959</v>
      </c>
      <c r="N1367" s="3">
        <v>255.67</v>
      </c>
      <c r="O1367" s="4">
        <v>0.17</v>
      </c>
      <c r="P1367" t="s">
        <v>1772</v>
      </c>
      <c r="Q1367" s="4">
        <v>848.82439999999997</v>
      </c>
    </row>
    <row r="1368" spans="1:17" x14ac:dyDescent="0.3">
      <c r="A1368" t="s">
        <v>3140</v>
      </c>
      <c r="B1368" t="str">
        <f t="shared" si="21"/>
        <v>Q2</v>
      </c>
      <c r="C1368" t="str">
        <f>TEXT(Table1[[#This Row],[Order_Date]],"mmmm")</f>
        <v>April</v>
      </c>
      <c r="D1368">
        <f>YEAR(Table1[[#This Row],[Order_Date]])</f>
        <v>2024</v>
      </c>
      <c r="E1368" s="7">
        <v>45397</v>
      </c>
      <c r="F1368" s="2" t="str">
        <f>VLOOKUP(Table1[[#This Row],[Customer_ID]],Customer_Dim!$A$2:$H$501,2,FALSE)</f>
        <v>Jessica Mitchell</v>
      </c>
      <c r="G1368" s="2" t="str">
        <f>_xlfn.XLOOKUP(Table1[[#This Row],[Customer_ID]],Customer_Dim!$A$2:$A$501,Customer_Dim!$E$2:$E$501)</f>
        <v>Matthewbury</v>
      </c>
      <c r="H1368" t="s">
        <v>439</v>
      </c>
      <c r="I1368" t="str">
        <f>VLOOKUP(Table1[[#This Row],[Product_ID]],Product_Dim!$A$2:$G$101,2,FALSE)</f>
        <v>Decorative Floor Vase-Home</v>
      </c>
      <c r="J1368" t="s">
        <v>1577</v>
      </c>
      <c r="K1368" t="str">
        <f>VLOOKUP(Table1[[#This Row],[Store_ID]],Store_Dim!$A$3:$D$22,2,FALSE)</f>
        <v>Frederick-Wright-West</v>
      </c>
      <c r="L1368" t="s">
        <v>1757</v>
      </c>
      <c r="M1368" t="s">
        <v>3960</v>
      </c>
      <c r="N1368" s="3">
        <v>270.66000000000003</v>
      </c>
      <c r="O1368" s="4">
        <v>0.1</v>
      </c>
      <c r="P1368" t="s">
        <v>1777</v>
      </c>
      <c r="Q1368" s="4">
        <v>487.18799999999999</v>
      </c>
    </row>
    <row r="1369" spans="1:17" x14ac:dyDescent="0.3">
      <c r="A1369" t="s">
        <v>3141</v>
      </c>
      <c r="B1369" t="str">
        <f t="shared" si="21"/>
        <v>Q3</v>
      </c>
      <c r="C1369" t="str">
        <f>TEXT(Table1[[#This Row],[Order_Date]],"mmmm")</f>
        <v>September</v>
      </c>
      <c r="D1369">
        <f>YEAR(Table1[[#This Row],[Order_Date]])</f>
        <v>2025</v>
      </c>
      <c r="E1369" s="7">
        <v>45914</v>
      </c>
      <c r="F1369" s="2" t="str">
        <f>VLOOKUP(Table1[[#This Row],[Customer_ID]],Customer_Dim!$A$2:$H$501,2,FALSE)</f>
        <v>Stephanie Jacobs</v>
      </c>
      <c r="G1369" s="2" t="str">
        <f>_xlfn.XLOOKUP(Table1[[#This Row],[Customer_ID]],Customer_Dim!$A$2:$A$501,Customer_Dim!$E$2:$E$501)</f>
        <v>West Robinmouth</v>
      </c>
      <c r="H1369" t="s">
        <v>936</v>
      </c>
      <c r="I1369" t="str">
        <f>VLOOKUP(Table1[[#This Row],[Product_ID]],Product_Dim!$A$2:$G$101,2,FALSE)</f>
        <v>Men's Formal Shirt-Clothing</v>
      </c>
      <c r="J1369" t="s">
        <v>1569</v>
      </c>
      <c r="K1369" t="str">
        <f>VLOOKUP(Table1[[#This Row],[Store_ID]],Store_Dim!$A$3:$D$22,2,FALSE)</f>
        <v>Holloway Ltd-North</v>
      </c>
      <c r="L1369" t="s">
        <v>1759</v>
      </c>
      <c r="M1369" t="s">
        <v>3958</v>
      </c>
      <c r="N1369" s="3">
        <v>373.35</v>
      </c>
      <c r="O1369" s="4">
        <v>0.2</v>
      </c>
      <c r="P1369" t="s">
        <v>1777</v>
      </c>
      <c r="Q1369" s="4">
        <v>896.04000000000019</v>
      </c>
    </row>
    <row r="1370" spans="1:17" x14ac:dyDescent="0.3">
      <c r="A1370" t="s">
        <v>3142</v>
      </c>
      <c r="B1370" t="str">
        <f t="shared" si="21"/>
        <v>Q2</v>
      </c>
      <c r="C1370" t="str">
        <f>TEXT(Table1[[#This Row],[Order_Date]],"mmmm")</f>
        <v>May</v>
      </c>
      <c r="D1370">
        <f>YEAR(Table1[[#This Row],[Order_Date]])</f>
        <v>2024</v>
      </c>
      <c r="E1370" s="7">
        <v>45432</v>
      </c>
      <c r="F1370" s="2" t="str">
        <f>VLOOKUP(Table1[[#This Row],[Customer_ID]],Customer_Dim!$A$2:$H$501,2,FALSE)</f>
        <v>Thomas Phillips</v>
      </c>
      <c r="G1370" s="2" t="str">
        <f>_xlfn.XLOOKUP(Table1[[#This Row],[Customer_ID]],Customer_Dim!$A$2:$A$501,Customer_Dim!$E$2:$E$501)</f>
        <v>Luisfurt</v>
      </c>
      <c r="H1370" t="s">
        <v>143</v>
      </c>
      <c r="I1370" t="str">
        <f>VLOOKUP(Table1[[#This Row],[Product_ID]],Product_Dim!$A$2:$G$101,2,FALSE)</f>
        <v>Men's Hair Styling Gel-Beauty</v>
      </c>
      <c r="J1370" t="s">
        <v>1641</v>
      </c>
      <c r="K1370" t="str">
        <f>VLOOKUP(Table1[[#This Row],[Store_ID]],Store_Dim!$A$3:$D$22,2,FALSE)</f>
        <v>Aguirre-Keller-South</v>
      </c>
      <c r="L1370" t="s">
        <v>1750</v>
      </c>
      <c r="M1370" t="s">
        <v>3960</v>
      </c>
      <c r="N1370" s="3">
        <v>23.58</v>
      </c>
      <c r="O1370" s="4">
        <v>0.02</v>
      </c>
      <c r="P1370" t="s">
        <v>1774</v>
      </c>
      <c r="Q1370" s="4">
        <v>46.216799999999999</v>
      </c>
    </row>
    <row r="1371" spans="1:17" x14ac:dyDescent="0.3">
      <c r="A1371" t="s">
        <v>3143</v>
      </c>
      <c r="B1371" t="str">
        <f t="shared" si="21"/>
        <v>Q2</v>
      </c>
      <c r="C1371" t="str">
        <f>TEXT(Table1[[#This Row],[Order_Date]],"mmmm")</f>
        <v>May</v>
      </c>
      <c r="D1371">
        <f>YEAR(Table1[[#This Row],[Order_Date]])</f>
        <v>2025</v>
      </c>
      <c r="E1371" s="7">
        <v>45798</v>
      </c>
      <c r="F1371" s="2" t="str">
        <f>VLOOKUP(Table1[[#This Row],[Customer_ID]],Customer_Dim!$A$2:$H$501,2,FALSE)</f>
        <v>Christine Vaughn</v>
      </c>
      <c r="G1371" s="2" t="str">
        <f>_xlfn.XLOOKUP(Table1[[#This Row],[Customer_ID]],Customer_Dim!$A$2:$A$501,Customer_Dim!$E$2:$E$501)</f>
        <v>East Amandamouth</v>
      </c>
      <c r="H1371" t="s">
        <v>32</v>
      </c>
      <c r="I1371" t="str">
        <f>VLOOKUP(Table1[[#This Row],[Product_ID]],Product_Dim!$A$2:$G$101,2,FALSE)</f>
        <v>Bedroom Table Lamp-Home</v>
      </c>
      <c r="J1371" t="s">
        <v>1593</v>
      </c>
      <c r="K1371" t="str">
        <f>VLOOKUP(Table1[[#This Row],[Store_ID]],Store_Dim!$A$3:$D$22,2,FALSE)</f>
        <v>Martinez-Mullins-South</v>
      </c>
      <c r="L1371" t="s">
        <v>1742</v>
      </c>
      <c r="M1371" t="s">
        <v>3959</v>
      </c>
      <c r="N1371" s="3">
        <v>185.67</v>
      </c>
      <c r="O1371" s="4">
        <v>0.21</v>
      </c>
      <c r="P1371" t="s">
        <v>1774</v>
      </c>
      <c r="Q1371" s="4">
        <v>586.71719999999993</v>
      </c>
    </row>
    <row r="1372" spans="1:17" x14ac:dyDescent="0.3">
      <c r="A1372" t="s">
        <v>3144</v>
      </c>
      <c r="B1372" t="str">
        <f t="shared" si="21"/>
        <v>Q2</v>
      </c>
      <c r="C1372" t="str">
        <f>TEXT(Table1[[#This Row],[Order_Date]],"mmmm")</f>
        <v>April</v>
      </c>
      <c r="D1372">
        <f>YEAR(Table1[[#This Row],[Order_Date]])</f>
        <v>2024</v>
      </c>
      <c r="E1372" s="7">
        <v>45396</v>
      </c>
      <c r="F1372" s="2" t="str">
        <f>VLOOKUP(Table1[[#This Row],[Customer_ID]],Customer_Dim!$A$2:$H$501,2,FALSE)</f>
        <v>Jacob Hopkins</v>
      </c>
      <c r="G1372" s="2" t="str">
        <f>_xlfn.XLOOKUP(Table1[[#This Row],[Customer_ID]],Customer_Dim!$A$2:$A$501,Customer_Dim!$E$2:$E$501)</f>
        <v>lake tylerfort</v>
      </c>
      <c r="H1372" t="s">
        <v>412</v>
      </c>
      <c r="I1372" t="str">
        <f>VLOOKUP(Table1[[#This Row],[Product_ID]],Product_Dim!$A$2:$G$101,2,FALSE)</f>
        <v>Women's Denim Jeans-Clothing</v>
      </c>
      <c r="J1372" t="s">
        <v>1559</v>
      </c>
      <c r="K1372" t="str">
        <f>VLOOKUP(Table1[[#This Row],[Store_ID]],Store_Dim!$A$3:$D$22,2,FALSE)</f>
        <v>Gardner, Humphrey and Contreras-East</v>
      </c>
      <c r="L1372" t="s">
        <v>1753</v>
      </c>
      <c r="M1372" t="s">
        <v>3958</v>
      </c>
      <c r="N1372" s="3">
        <v>928.74</v>
      </c>
      <c r="O1372" s="4">
        <v>0.27</v>
      </c>
      <c r="P1372" t="s">
        <v>1774</v>
      </c>
      <c r="Q1372" s="4">
        <v>2033.9405999999999</v>
      </c>
    </row>
    <row r="1373" spans="1:17" x14ac:dyDescent="0.3">
      <c r="A1373" t="s">
        <v>3145</v>
      </c>
      <c r="B1373" t="str">
        <f t="shared" si="21"/>
        <v>Q4</v>
      </c>
      <c r="C1373" t="str">
        <f>TEXT(Table1[[#This Row],[Order_Date]],"mmmm")</f>
        <v>November</v>
      </c>
      <c r="D1373">
        <f>YEAR(Table1[[#This Row],[Order_Date]])</f>
        <v>2023</v>
      </c>
      <c r="E1373" s="7">
        <v>45235</v>
      </c>
      <c r="F1373" s="2" t="str">
        <f>VLOOKUP(Table1[[#This Row],[Customer_ID]],Customer_Dim!$A$2:$H$501,2,FALSE)</f>
        <v>David Arnold</v>
      </c>
      <c r="G1373" s="2" t="str">
        <f>_xlfn.XLOOKUP(Table1[[#This Row],[Customer_ID]],Customer_Dim!$A$2:$A$501,Customer_Dim!$E$2:$E$501)</f>
        <v>East Jennifer</v>
      </c>
      <c r="H1373" t="s">
        <v>121</v>
      </c>
      <c r="I1373" t="str">
        <f>VLOOKUP(Table1[[#This Row],[Product_ID]],Product_Dim!$A$2:$G$101,2,FALSE)</f>
        <v>Wooden Bookshelf-Home</v>
      </c>
      <c r="J1373" t="s">
        <v>1691</v>
      </c>
      <c r="K1373" t="str">
        <f>VLOOKUP(Table1[[#This Row],[Store_ID]],Store_Dim!$A$3:$D$22,2,FALSE)</f>
        <v>Gray Ltd-North</v>
      </c>
      <c r="L1373" t="s">
        <v>1738</v>
      </c>
      <c r="M1373" t="s">
        <v>3958</v>
      </c>
      <c r="N1373" s="3">
        <v>923.38</v>
      </c>
      <c r="O1373" s="4">
        <v>7.0000000000000007E-2</v>
      </c>
      <c r="P1373" t="s">
        <v>1777</v>
      </c>
      <c r="Q1373" s="4">
        <v>2576.2302</v>
      </c>
    </row>
    <row r="1374" spans="1:17" x14ac:dyDescent="0.3">
      <c r="A1374" t="s">
        <v>3146</v>
      </c>
      <c r="B1374" t="str">
        <f t="shared" si="21"/>
        <v>Q3</v>
      </c>
      <c r="C1374" t="str">
        <f>TEXT(Table1[[#This Row],[Order_Date]],"mmmm")</f>
        <v>July</v>
      </c>
      <c r="D1374">
        <f>YEAR(Table1[[#This Row],[Order_Date]])</f>
        <v>2024</v>
      </c>
      <c r="E1374" s="7">
        <v>45499</v>
      </c>
      <c r="F1374" s="2" t="str">
        <f>VLOOKUP(Table1[[#This Row],[Customer_ID]],Customer_Dim!$A$2:$H$501,2,FALSE)</f>
        <v>Beth Martin</v>
      </c>
      <c r="G1374" s="2" t="str">
        <f>_xlfn.XLOOKUP(Table1[[#This Row],[Customer_ID]],Customer_Dim!$A$2:$A$501,Customer_Dim!$E$2:$E$501)</f>
        <v>Burkefurt</v>
      </c>
      <c r="H1374" t="s">
        <v>1409</v>
      </c>
      <c r="I1374" t="str">
        <f>VLOOKUP(Table1[[#This Row],[Product_ID]],Product_Dim!$A$2:$G$101,2,FALSE)</f>
        <v>Women's Yoga Pants-Clothing</v>
      </c>
      <c r="J1374" t="s">
        <v>1531</v>
      </c>
      <c r="K1374" t="str">
        <f>VLOOKUP(Table1[[#This Row],[Store_ID]],Store_Dim!$A$3:$D$22,2,FALSE)</f>
        <v>Moore, Padilla and Butler-South</v>
      </c>
      <c r="L1374" t="s">
        <v>1746</v>
      </c>
      <c r="M1374" t="s">
        <v>3960</v>
      </c>
      <c r="N1374" s="3">
        <v>409.26</v>
      </c>
      <c r="O1374" s="4">
        <v>0.1</v>
      </c>
      <c r="P1374" t="s">
        <v>1774</v>
      </c>
      <c r="Q1374" s="4">
        <v>736.66800000000001</v>
      </c>
    </row>
    <row r="1375" spans="1:17" x14ac:dyDescent="0.3">
      <c r="A1375" t="s">
        <v>3147</v>
      </c>
      <c r="B1375" t="str">
        <f t="shared" si="21"/>
        <v>Q4</v>
      </c>
      <c r="C1375" t="str">
        <f>TEXT(Table1[[#This Row],[Order_Date]],"mmmm")</f>
        <v>December</v>
      </c>
      <c r="D1375">
        <f>YEAR(Table1[[#This Row],[Order_Date]])</f>
        <v>2023</v>
      </c>
      <c r="E1375" s="7">
        <v>45272</v>
      </c>
      <c r="F1375" s="2" t="str">
        <f>VLOOKUP(Table1[[#This Row],[Customer_ID]],Customer_Dim!$A$2:$H$501,2,FALSE)</f>
        <v>Linda Kline</v>
      </c>
      <c r="G1375" s="2" t="str">
        <f>_xlfn.XLOOKUP(Table1[[#This Row],[Customer_ID]],Customer_Dim!$A$2:$A$501,Customer_Dim!$E$2:$E$501)</f>
        <v>Masseyland</v>
      </c>
      <c r="H1375" t="s">
        <v>805</v>
      </c>
      <c r="I1375" t="str">
        <f>VLOOKUP(Table1[[#This Row],[Product_ID]],Product_Dim!$A$2:$G$101,2,FALSE)</f>
        <v>Men's Formal Shirt-Clothing</v>
      </c>
      <c r="J1375" t="s">
        <v>1569</v>
      </c>
      <c r="K1375" t="str">
        <f>VLOOKUP(Table1[[#This Row],[Store_ID]],Store_Dim!$A$3:$D$22,2,FALSE)</f>
        <v>Martinez-Mullins-South</v>
      </c>
      <c r="L1375" t="s">
        <v>1742</v>
      </c>
      <c r="M1375" t="s">
        <v>3960</v>
      </c>
      <c r="N1375" s="3">
        <v>608.46</v>
      </c>
      <c r="O1375" s="4">
        <v>0.16</v>
      </c>
      <c r="P1375" t="s">
        <v>1772</v>
      </c>
      <c r="Q1375" s="4">
        <v>1022.2128</v>
      </c>
    </row>
    <row r="1376" spans="1:17" x14ac:dyDescent="0.3">
      <c r="A1376" t="s">
        <v>3148</v>
      </c>
      <c r="B1376" t="str">
        <f t="shared" si="21"/>
        <v>Q2</v>
      </c>
      <c r="C1376" t="str">
        <f>TEXT(Table1[[#This Row],[Order_Date]],"mmmm")</f>
        <v>May</v>
      </c>
      <c r="D1376">
        <f>YEAR(Table1[[#This Row],[Order_Date]])</f>
        <v>2025</v>
      </c>
      <c r="E1376" s="7">
        <v>45785</v>
      </c>
      <c r="F1376" s="2" t="str">
        <f>VLOOKUP(Table1[[#This Row],[Customer_ID]],Customer_Dim!$A$2:$H$501,2,FALSE)</f>
        <v>Blake Harrison</v>
      </c>
      <c r="G1376" s="2" t="str">
        <f>_xlfn.XLOOKUP(Table1[[#This Row],[Customer_ID]],Customer_Dim!$A$2:$A$501,Customer_Dim!$E$2:$E$501)</f>
        <v>Lyonsfort</v>
      </c>
      <c r="H1376" t="s">
        <v>684</v>
      </c>
      <c r="I1376" t="str">
        <f>VLOOKUP(Table1[[#This Row],[Product_ID]],Product_Dim!$A$2:$G$101,2,FALSE)</f>
        <v>Smart Home WiFi Camera-Electronics</v>
      </c>
      <c r="J1376" t="s">
        <v>1607</v>
      </c>
      <c r="K1376" t="str">
        <f>VLOOKUP(Table1[[#This Row],[Store_ID]],Store_Dim!$A$3:$D$22,2,FALSE)</f>
        <v>Mann-Austin-East</v>
      </c>
      <c r="L1376" t="s">
        <v>1763</v>
      </c>
      <c r="M1376" t="s">
        <v>3959</v>
      </c>
      <c r="N1376" s="3">
        <v>150.47999999999999</v>
      </c>
      <c r="O1376" s="4">
        <v>0.09</v>
      </c>
      <c r="P1376" t="s">
        <v>1772</v>
      </c>
      <c r="Q1376" s="4">
        <v>547.74720000000002</v>
      </c>
    </row>
    <row r="1377" spans="1:17" x14ac:dyDescent="0.3">
      <c r="A1377" t="s">
        <v>3149</v>
      </c>
      <c r="B1377" t="str">
        <f t="shared" si="21"/>
        <v>Q3</v>
      </c>
      <c r="C1377" t="str">
        <f>TEXT(Table1[[#This Row],[Order_Date]],"mmmm")</f>
        <v>August</v>
      </c>
      <c r="D1377">
        <f>YEAR(Table1[[#This Row],[Order_Date]])</f>
        <v>2024</v>
      </c>
      <c r="E1377" s="7">
        <v>45534</v>
      </c>
      <c r="F1377" s="2" t="str">
        <f>VLOOKUP(Table1[[#This Row],[Customer_ID]],Customer_Dim!$A$2:$H$501,2,FALSE)</f>
        <v>Laura Soto</v>
      </c>
      <c r="G1377" s="2" t="str">
        <f>_xlfn.XLOOKUP(Table1[[#This Row],[Customer_ID]],Customer_Dim!$A$2:$A$501,Customer_Dim!$E$2:$E$501)</f>
        <v>Rodriguezton</v>
      </c>
      <c r="H1377" t="s">
        <v>779</v>
      </c>
      <c r="I1377" t="str">
        <f>VLOOKUP(Table1[[#This Row],[Product_ID]],Product_Dim!$A$2:$G$101,2,FALSE)</f>
        <v>Wooden Nightstand-Home</v>
      </c>
      <c r="J1377" t="s">
        <v>1659</v>
      </c>
      <c r="K1377" t="str">
        <f>VLOOKUP(Table1[[#This Row],[Store_ID]],Store_Dim!$A$3:$D$22,2,FALSE)</f>
        <v>Mcdonald Inc-South</v>
      </c>
      <c r="L1377" t="s">
        <v>1754</v>
      </c>
      <c r="M1377" t="s">
        <v>3959</v>
      </c>
      <c r="N1377" s="3">
        <v>207.41</v>
      </c>
      <c r="O1377" s="4">
        <v>0.02</v>
      </c>
      <c r="P1377" t="s">
        <v>1772</v>
      </c>
      <c r="Q1377" s="4">
        <v>813.04719999999998</v>
      </c>
    </row>
    <row r="1378" spans="1:17" x14ac:dyDescent="0.3">
      <c r="A1378" t="s">
        <v>3150</v>
      </c>
      <c r="B1378" t="str">
        <f t="shared" si="21"/>
        <v>Q2</v>
      </c>
      <c r="C1378" t="str">
        <f>TEXT(Table1[[#This Row],[Order_Date]],"mmmm")</f>
        <v>May</v>
      </c>
      <c r="D1378">
        <f>YEAR(Table1[[#This Row],[Order_Date]])</f>
        <v>2025</v>
      </c>
      <c r="E1378" s="7">
        <v>45803</v>
      </c>
      <c r="F1378" s="2" t="str">
        <f>VLOOKUP(Table1[[#This Row],[Customer_ID]],Customer_Dim!$A$2:$H$501,2,FALSE)</f>
        <v>Thomas Rhodes</v>
      </c>
      <c r="G1378" s="2" t="str">
        <f>_xlfn.XLOOKUP(Table1[[#This Row],[Customer_ID]],Customer_Dim!$A$2:$A$501,Customer_Dim!$E$2:$E$501)</f>
        <v>Port Richard</v>
      </c>
      <c r="H1378" t="s">
        <v>565</v>
      </c>
      <c r="I1378" t="str">
        <f>VLOOKUP(Table1[[#This Row],[Product_ID]],Product_Dim!$A$2:$G$101,2,FALSE)</f>
        <v>HD Smart TV Stick-Electronics</v>
      </c>
      <c r="J1378" t="s">
        <v>1545</v>
      </c>
      <c r="K1378" t="str">
        <f>VLOOKUP(Table1[[#This Row],[Store_ID]],Store_Dim!$A$3:$D$22,2,FALSE)</f>
        <v>Benson-Elliott-East</v>
      </c>
      <c r="L1378" t="s">
        <v>1740</v>
      </c>
      <c r="M1378" t="s">
        <v>3957</v>
      </c>
      <c r="N1378" s="3">
        <v>56.59</v>
      </c>
      <c r="O1378" s="4">
        <v>0.15</v>
      </c>
      <c r="P1378" t="s">
        <v>1774</v>
      </c>
      <c r="Q1378" s="4">
        <v>48.101500000000001</v>
      </c>
    </row>
    <row r="1379" spans="1:17" x14ac:dyDescent="0.3">
      <c r="A1379" t="s">
        <v>3151</v>
      </c>
      <c r="B1379" t="str">
        <f t="shared" si="21"/>
        <v>Q1</v>
      </c>
      <c r="C1379" t="str">
        <f>TEXT(Table1[[#This Row],[Order_Date]],"mmmm")</f>
        <v>January</v>
      </c>
      <c r="D1379">
        <f>YEAR(Table1[[#This Row],[Order_Date]])</f>
        <v>2025</v>
      </c>
      <c r="E1379" s="7">
        <v>45667</v>
      </c>
      <c r="F1379" s="2" t="str">
        <f>VLOOKUP(Table1[[#This Row],[Customer_ID]],Customer_Dim!$A$2:$H$501,2,FALSE)</f>
        <v>Eric Wolfe</v>
      </c>
      <c r="G1379" s="2" t="str">
        <f>_xlfn.XLOOKUP(Table1[[#This Row],[Customer_ID]],Customer_Dim!$A$2:$A$501,Customer_Dim!$E$2:$E$501)</f>
        <v>Garciaview</v>
      </c>
      <c r="H1379" t="s">
        <v>1246</v>
      </c>
      <c r="I1379" t="str">
        <f>VLOOKUP(Table1[[#This Row],[Product_ID]],Product_Dim!$A$2:$G$101,2,FALSE)</f>
        <v>Portable Power Bank-Electronics</v>
      </c>
      <c r="J1379" t="s">
        <v>1601</v>
      </c>
      <c r="K1379" t="str">
        <f>VLOOKUP(Table1[[#This Row],[Store_ID]],Store_Dim!$A$3:$D$22,2,FALSE)</f>
        <v>Alexander Group-South</v>
      </c>
      <c r="L1379" t="s">
        <v>1735</v>
      </c>
      <c r="M1379" t="s">
        <v>3959</v>
      </c>
      <c r="N1379" s="3">
        <v>995.4</v>
      </c>
      <c r="O1379" s="4">
        <v>0.27</v>
      </c>
      <c r="P1379" t="s">
        <v>1772</v>
      </c>
      <c r="Q1379" s="4">
        <v>2906.5680000000002</v>
      </c>
    </row>
    <row r="1380" spans="1:17" x14ac:dyDescent="0.3">
      <c r="A1380" t="s">
        <v>3152</v>
      </c>
      <c r="B1380" t="str">
        <f t="shared" si="21"/>
        <v>Q4</v>
      </c>
      <c r="C1380" t="str">
        <f>TEXT(Table1[[#This Row],[Order_Date]],"mmmm")</f>
        <v>December</v>
      </c>
      <c r="D1380">
        <f>YEAR(Table1[[#This Row],[Order_Date]])</f>
        <v>2024</v>
      </c>
      <c r="E1380" s="7">
        <v>45656</v>
      </c>
      <c r="F1380" s="2" t="str">
        <f>VLOOKUP(Table1[[#This Row],[Customer_ID]],Customer_Dim!$A$2:$H$501,2,FALSE)</f>
        <v>Mr. Mason Butler</v>
      </c>
      <c r="G1380" s="2" t="str">
        <f>_xlfn.XLOOKUP(Table1[[#This Row],[Customer_ID]],Customer_Dim!$A$2:$A$501,Customer_Dim!$E$2:$E$501)</f>
        <v>Port Kathrynhaven</v>
      </c>
      <c r="H1380" t="s">
        <v>235</v>
      </c>
      <c r="I1380" t="str">
        <f>VLOOKUP(Table1[[#This Row],[Product_ID]],Product_Dim!$A$2:$G$101,2,FALSE)</f>
        <v>Makeup Brush Set-Beauty</v>
      </c>
      <c r="J1380" t="s">
        <v>1617</v>
      </c>
      <c r="K1380" t="str">
        <f>VLOOKUP(Table1[[#This Row],[Store_ID]],Store_Dim!$A$3:$D$22,2,FALSE)</f>
        <v>Thomas, Bridges and Harris-North</v>
      </c>
      <c r="L1380" t="s">
        <v>1751</v>
      </c>
      <c r="M1380" t="s">
        <v>3960</v>
      </c>
      <c r="N1380" s="3">
        <v>591.33000000000004</v>
      </c>
      <c r="O1380" s="4">
        <v>0.24</v>
      </c>
      <c r="P1380" t="s">
        <v>1772</v>
      </c>
      <c r="Q1380" s="4">
        <v>898.8216000000001</v>
      </c>
    </row>
    <row r="1381" spans="1:17" x14ac:dyDescent="0.3">
      <c r="A1381" t="s">
        <v>3153</v>
      </c>
      <c r="B1381" t="str">
        <f t="shared" si="21"/>
        <v>Q3</v>
      </c>
      <c r="C1381" t="str">
        <f>TEXT(Table1[[#This Row],[Order_Date]],"mmmm")</f>
        <v>July</v>
      </c>
      <c r="D1381">
        <f>YEAR(Table1[[#This Row],[Order_Date]])</f>
        <v>2025</v>
      </c>
      <c r="E1381" s="7">
        <v>45869</v>
      </c>
      <c r="F1381" s="2" t="str">
        <f>VLOOKUP(Table1[[#This Row],[Customer_ID]],Customer_Dim!$A$2:$H$501,2,FALSE)</f>
        <v>Frank Stewart</v>
      </c>
      <c r="G1381" s="2" t="str">
        <f>_xlfn.XLOOKUP(Table1[[#This Row],[Customer_ID]],Customer_Dim!$A$2:$A$501,Customer_Dim!$E$2:$E$501)</f>
        <v>Fischerborough</v>
      </c>
      <c r="H1381" t="s">
        <v>1168</v>
      </c>
      <c r="I1381" t="str">
        <f>VLOOKUP(Table1[[#This Row],[Product_ID]],Product_Dim!$A$2:$G$101,2,FALSE)</f>
        <v>Car Dashboard Phone Holder-Electronics</v>
      </c>
      <c r="J1381" t="s">
        <v>1619</v>
      </c>
      <c r="K1381" t="str">
        <f>VLOOKUP(Table1[[#This Row],[Store_ID]],Store_Dim!$A$3:$D$22,2,FALSE)</f>
        <v>Holloway Ltd-North</v>
      </c>
      <c r="L1381" t="s">
        <v>1759</v>
      </c>
      <c r="M1381" t="s">
        <v>3960</v>
      </c>
      <c r="N1381" s="3">
        <v>204.89</v>
      </c>
      <c r="O1381" s="4">
        <v>0.24</v>
      </c>
      <c r="P1381" t="s">
        <v>1772</v>
      </c>
      <c r="Q1381" s="4">
        <v>311.43279999999999</v>
      </c>
    </row>
    <row r="1382" spans="1:17" x14ac:dyDescent="0.3">
      <c r="A1382" t="s">
        <v>3154</v>
      </c>
      <c r="B1382" t="str">
        <f t="shared" si="21"/>
        <v>Q3</v>
      </c>
      <c r="C1382" t="str">
        <f>TEXT(Table1[[#This Row],[Order_Date]],"mmmm")</f>
        <v>September</v>
      </c>
      <c r="D1382">
        <f>YEAR(Table1[[#This Row],[Order_Date]])</f>
        <v>2024</v>
      </c>
      <c r="E1382" s="7">
        <v>45549</v>
      </c>
      <c r="F1382" s="2" t="str">
        <f>VLOOKUP(Table1[[#This Row],[Customer_ID]],Customer_Dim!$A$2:$H$501,2,FALSE)</f>
        <v>Oscar Moon</v>
      </c>
      <c r="G1382" s="2" t="str">
        <f>_xlfn.XLOOKUP(Table1[[#This Row],[Customer_ID]],Customer_Dim!$A$2:$A$501,Customer_Dim!$E$2:$E$501)</f>
        <v>West Cody</v>
      </c>
      <c r="H1382" t="s">
        <v>320</v>
      </c>
      <c r="I1382" t="str">
        <f>VLOOKUP(Table1[[#This Row],[Product_ID]],Product_Dim!$A$2:$G$101,2,FALSE)</f>
        <v>Adjustable Dumbbells 20kg-Sports</v>
      </c>
      <c r="J1382" t="s">
        <v>1653</v>
      </c>
      <c r="K1382" t="str">
        <f>VLOOKUP(Table1[[#This Row],[Store_ID]],Store_Dim!$A$3:$D$22,2,FALSE)</f>
        <v>Mcdonald Inc-South</v>
      </c>
      <c r="L1382" t="s">
        <v>1754</v>
      </c>
      <c r="M1382" t="s">
        <v>3960</v>
      </c>
      <c r="N1382" s="3">
        <v>546.41</v>
      </c>
      <c r="O1382" s="4">
        <v>0.08</v>
      </c>
      <c r="P1382" t="s">
        <v>1777</v>
      </c>
      <c r="Q1382" s="4">
        <v>1005.3944</v>
      </c>
    </row>
    <row r="1383" spans="1:17" x14ac:dyDescent="0.3">
      <c r="A1383" t="s">
        <v>3155</v>
      </c>
      <c r="B1383" t="str">
        <f t="shared" si="21"/>
        <v>Q2</v>
      </c>
      <c r="C1383" t="str">
        <f>TEXT(Table1[[#This Row],[Order_Date]],"mmmm")</f>
        <v>April</v>
      </c>
      <c r="D1383">
        <f>YEAR(Table1[[#This Row],[Order_Date]])</f>
        <v>2024</v>
      </c>
      <c r="E1383" s="7">
        <v>45409</v>
      </c>
      <c r="F1383" s="2" t="str">
        <f>VLOOKUP(Table1[[#This Row],[Customer_ID]],Customer_Dim!$A$2:$H$501,2,FALSE)</f>
        <v>Christopher Sutton</v>
      </c>
      <c r="G1383" s="2" t="str">
        <f>_xlfn.XLOOKUP(Table1[[#This Row],[Customer_ID]],Customer_Dim!$A$2:$A$501,Customer_Dim!$E$2:$E$501)</f>
        <v>Deborahberg</v>
      </c>
      <c r="H1383" t="s">
        <v>208</v>
      </c>
      <c r="I1383" t="str">
        <f>VLOOKUP(Table1[[#This Row],[Product_ID]],Product_Dim!$A$2:$G$101,2,FALSE)</f>
        <v>Women's Denim Jeans-Clothing</v>
      </c>
      <c r="J1383" t="s">
        <v>1559</v>
      </c>
      <c r="K1383" t="str">
        <f>VLOOKUP(Table1[[#This Row],[Store_ID]],Store_Dim!$A$3:$D$22,2,FALSE)</f>
        <v>Thomas, Bridges and Harris-North</v>
      </c>
      <c r="L1383" t="s">
        <v>1751</v>
      </c>
      <c r="M1383" t="s">
        <v>3959</v>
      </c>
      <c r="N1383" s="3">
        <v>455.49</v>
      </c>
      <c r="O1383" s="4">
        <v>0.17</v>
      </c>
      <c r="P1383" t="s">
        <v>1772</v>
      </c>
      <c r="Q1383" s="4">
        <v>1512.2267999999999</v>
      </c>
    </row>
    <row r="1384" spans="1:17" x14ac:dyDescent="0.3">
      <c r="A1384" t="s">
        <v>3156</v>
      </c>
      <c r="B1384" t="str">
        <f t="shared" si="21"/>
        <v>Q1</v>
      </c>
      <c r="C1384" t="str">
        <f>TEXT(Table1[[#This Row],[Order_Date]],"mmmm")</f>
        <v>March</v>
      </c>
      <c r="D1384">
        <f>YEAR(Table1[[#This Row],[Order_Date]])</f>
        <v>2024</v>
      </c>
      <c r="E1384" s="7">
        <v>45374</v>
      </c>
      <c r="F1384" s="2" t="str">
        <f>VLOOKUP(Table1[[#This Row],[Customer_ID]],Customer_Dim!$A$2:$H$501,2,FALSE)</f>
        <v>Brittany Edwards Dds</v>
      </c>
      <c r="G1384" s="2" t="str">
        <f>_xlfn.XLOOKUP(Table1[[#This Row],[Customer_ID]],Customer_Dim!$A$2:$A$501,Customer_Dim!$E$2:$E$501)</f>
        <v>Aliciahaven</v>
      </c>
      <c r="H1384" t="s">
        <v>1295</v>
      </c>
      <c r="I1384" t="str">
        <f>VLOOKUP(Table1[[#This Row],[Product_ID]],Product_Dim!$A$2:$G$101,2,FALSE)</f>
        <v>Ceramic Kitchen Bowl Set-Home</v>
      </c>
      <c r="J1384" t="s">
        <v>1543</v>
      </c>
      <c r="K1384" t="str">
        <f>VLOOKUP(Table1[[#This Row],[Store_ID]],Store_Dim!$A$3:$D$22,2,FALSE)</f>
        <v>Frederick-Wright-West</v>
      </c>
      <c r="L1384" t="s">
        <v>1757</v>
      </c>
      <c r="M1384" t="s">
        <v>3960</v>
      </c>
      <c r="N1384" s="3">
        <v>700.27</v>
      </c>
      <c r="O1384" s="4">
        <v>0.16</v>
      </c>
      <c r="P1384" t="s">
        <v>1772</v>
      </c>
      <c r="Q1384" s="4">
        <v>1176.4536000000001</v>
      </c>
    </row>
    <row r="1385" spans="1:17" x14ac:dyDescent="0.3">
      <c r="A1385" t="s">
        <v>3157</v>
      </c>
      <c r="B1385" t="str">
        <f t="shared" si="21"/>
        <v>Q4</v>
      </c>
      <c r="C1385" t="str">
        <f>TEXT(Table1[[#This Row],[Order_Date]],"mmmm")</f>
        <v>December</v>
      </c>
      <c r="D1385">
        <f>YEAR(Table1[[#This Row],[Order_Date]])</f>
        <v>2023</v>
      </c>
      <c r="E1385" s="7">
        <v>45282</v>
      </c>
      <c r="F1385" s="2" t="str">
        <f>VLOOKUP(Table1[[#This Row],[Customer_ID]],Customer_Dim!$A$2:$H$501,2,FALSE)</f>
        <v>Daniel Nelson</v>
      </c>
      <c r="G1385" s="2" t="str">
        <f>_xlfn.XLOOKUP(Table1[[#This Row],[Customer_ID]],Customer_Dim!$A$2:$A$501,Customer_Dim!$E$2:$E$501)</f>
        <v>North Jonathan</v>
      </c>
      <c r="H1385" t="s">
        <v>1072</v>
      </c>
      <c r="I1385" t="str">
        <f>VLOOKUP(Table1[[#This Row],[Product_ID]],Product_Dim!$A$2:$G$101,2,FALSE)</f>
        <v>Fitness Resistance Bands-Sports</v>
      </c>
      <c r="J1385" t="s">
        <v>1687</v>
      </c>
      <c r="K1385" t="str">
        <f>VLOOKUP(Table1[[#This Row],[Store_ID]],Store_Dim!$A$3:$D$22,2,FALSE)</f>
        <v>Holloway Ltd-North</v>
      </c>
      <c r="L1385" t="s">
        <v>1759</v>
      </c>
      <c r="M1385" t="s">
        <v>3960</v>
      </c>
      <c r="N1385" s="3">
        <v>160.21</v>
      </c>
      <c r="O1385" s="4">
        <v>0.09</v>
      </c>
      <c r="P1385" t="s">
        <v>1772</v>
      </c>
      <c r="Q1385" s="4">
        <v>291.5822</v>
      </c>
    </row>
    <row r="1386" spans="1:17" x14ac:dyDescent="0.3">
      <c r="A1386" t="s">
        <v>3158</v>
      </c>
      <c r="B1386" t="str">
        <f t="shared" si="21"/>
        <v>Q1</v>
      </c>
      <c r="C1386" t="str">
        <f>TEXT(Table1[[#This Row],[Order_Date]],"mmmm")</f>
        <v>March</v>
      </c>
      <c r="D1386">
        <f>YEAR(Table1[[#This Row],[Order_Date]])</f>
        <v>2025</v>
      </c>
      <c r="E1386" s="7">
        <v>45742</v>
      </c>
      <c r="F1386" s="2" t="str">
        <f>VLOOKUP(Table1[[#This Row],[Customer_ID]],Customer_Dim!$A$2:$H$501,2,FALSE)</f>
        <v>Sarah Vance</v>
      </c>
      <c r="G1386" s="2" t="str">
        <f>_xlfn.XLOOKUP(Table1[[#This Row],[Customer_ID]],Customer_Dim!$A$2:$A$501,Customer_Dim!$E$2:$E$501)</f>
        <v>Johnsonville</v>
      </c>
      <c r="H1386" t="s">
        <v>127</v>
      </c>
      <c r="I1386" t="str">
        <f>VLOOKUP(Table1[[#This Row],[Product_ID]],Product_Dim!$A$2:$G$101,2,FALSE)</f>
        <v>Makeup Brush Set-Beauty</v>
      </c>
      <c r="J1386" t="s">
        <v>1617</v>
      </c>
      <c r="K1386" t="str">
        <f>VLOOKUP(Table1[[#This Row],[Store_ID]],Store_Dim!$A$3:$D$22,2,FALSE)</f>
        <v>Aguirre-Keller-South</v>
      </c>
      <c r="L1386" t="s">
        <v>1750</v>
      </c>
      <c r="M1386" t="s">
        <v>3957</v>
      </c>
      <c r="N1386" s="3">
        <v>713.63</v>
      </c>
      <c r="O1386" s="4">
        <v>0.28000000000000003</v>
      </c>
      <c r="P1386" t="s">
        <v>1777</v>
      </c>
      <c r="Q1386" s="4">
        <v>513.81359999999995</v>
      </c>
    </row>
    <row r="1387" spans="1:17" x14ac:dyDescent="0.3">
      <c r="A1387" t="s">
        <v>3159</v>
      </c>
      <c r="B1387" t="str">
        <f t="shared" si="21"/>
        <v>Q2</v>
      </c>
      <c r="C1387" t="str">
        <f>TEXT(Table1[[#This Row],[Order_Date]],"mmmm")</f>
        <v>June</v>
      </c>
      <c r="D1387">
        <f>YEAR(Table1[[#This Row],[Order_Date]])</f>
        <v>2024</v>
      </c>
      <c r="E1387" s="7">
        <v>45447</v>
      </c>
      <c r="F1387" s="2" t="str">
        <f>VLOOKUP(Table1[[#This Row],[Customer_ID]],Customer_Dim!$A$2:$H$501,2,FALSE)</f>
        <v>Gregory Pham</v>
      </c>
      <c r="G1387" s="2" t="str">
        <f>_xlfn.XLOOKUP(Table1[[#This Row],[Customer_ID]],Customer_Dim!$A$2:$A$501,Customer_Dim!$E$2:$E$501)</f>
        <v>Pollardton</v>
      </c>
      <c r="H1387" t="s">
        <v>726</v>
      </c>
      <c r="I1387" t="str">
        <f>VLOOKUP(Table1[[#This Row],[Product_ID]],Product_Dim!$A$2:$G$101,2,FALSE)</f>
        <v>USB-C Laptop Charger-Electronics</v>
      </c>
      <c r="J1387" t="s">
        <v>1709</v>
      </c>
      <c r="K1387" t="str">
        <f>VLOOKUP(Table1[[#This Row],[Store_ID]],Store_Dim!$A$3:$D$22,2,FALSE)</f>
        <v>Martinez-Mullins-South</v>
      </c>
      <c r="L1387" t="s">
        <v>1742</v>
      </c>
      <c r="M1387" t="s">
        <v>3960</v>
      </c>
      <c r="N1387" s="3">
        <v>224.69</v>
      </c>
      <c r="O1387" s="4">
        <v>0.2</v>
      </c>
      <c r="P1387" t="s">
        <v>1777</v>
      </c>
      <c r="Q1387" s="4">
        <v>359.50400000000002</v>
      </c>
    </row>
    <row r="1388" spans="1:17" x14ac:dyDescent="0.3">
      <c r="A1388" t="s">
        <v>3160</v>
      </c>
      <c r="B1388" t="str">
        <f t="shared" si="21"/>
        <v>Q1</v>
      </c>
      <c r="C1388" t="str">
        <f>TEXT(Table1[[#This Row],[Order_Date]],"mmmm")</f>
        <v>March</v>
      </c>
      <c r="D1388">
        <f>YEAR(Table1[[#This Row],[Order_Date]])</f>
        <v>2025</v>
      </c>
      <c r="E1388" s="7">
        <v>45733</v>
      </c>
      <c r="F1388" s="2" t="str">
        <f>VLOOKUP(Table1[[#This Row],[Customer_ID]],Customer_Dim!$A$2:$H$501,2,FALSE)</f>
        <v>April Phillips</v>
      </c>
      <c r="G1388" s="2" t="str">
        <f>_xlfn.XLOOKUP(Table1[[#This Row],[Customer_ID]],Customer_Dim!$A$2:$A$501,Customer_Dim!$E$2:$E$501)</f>
        <v>Lake Carolyn</v>
      </c>
      <c r="H1388" t="s">
        <v>1384</v>
      </c>
      <c r="I1388" t="str">
        <f>VLOOKUP(Table1[[#This Row],[Product_ID]],Product_Dim!$A$2:$G$101,2,FALSE)</f>
        <v>Outdoor Sports Water Bottle-Sports</v>
      </c>
      <c r="J1388" t="s">
        <v>1563</v>
      </c>
      <c r="K1388" t="str">
        <f>VLOOKUP(Table1[[#This Row],[Store_ID]],Store_Dim!$A$3:$D$22,2,FALSE)</f>
        <v>Mcdonald Inc-South</v>
      </c>
      <c r="L1388" t="s">
        <v>1754</v>
      </c>
      <c r="M1388" t="s">
        <v>3960</v>
      </c>
      <c r="N1388" s="3">
        <v>740.57</v>
      </c>
      <c r="O1388" s="4">
        <v>0.06</v>
      </c>
      <c r="P1388" t="s">
        <v>1772</v>
      </c>
      <c r="Q1388" s="4">
        <v>1392.2716</v>
      </c>
    </row>
    <row r="1389" spans="1:17" x14ac:dyDescent="0.3">
      <c r="A1389" t="s">
        <v>3161</v>
      </c>
      <c r="B1389" t="str">
        <f t="shared" si="21"/>
        <v>Q1</v>
      </c>
      <c r="C1389" t="str">
        <f>TEXT(Table1[[#This Row],[Order_Date]],"mmmm")</f>
        <v>March</v>
      </c>
      <c r="D1389">
        <f>YEAR(Table1[[#This Row],[Order_Date]])</f>
        <v>2024</v>
      </c>
      <c r="E1389" s="7">
        <v>45373</v>
      </c>
      <c r="F1389" s="2" t="str">
        <f>VLOOKUP(Table1[[#This Row],[Customer_ID]],Customer_Dim!$A$2:$H$501,2,FALSE)</f>
        <v>Maria Ramirez</v>
      </c>
      <c r="G1389" s="2" t="str">
        <f>_xlfn.XLOOKUP(Table1[[#This Row],[Customer_ID]],Customer_Dim!$A$2:$A$501,Customer_Dim!$E$2:$E$501)</f>
        <v>West Brandon</v>
      </c>
      <c r="H1389" t="s">
        <v>476</v>
      </c>
      <c r="I1389" t="str">
        <f>VLOOKUP(Table1[[#This Row],[Product_ID]],Product_Dim!$A$2:$G$101,2,FALSE)</f>
        <v>HD Smart TV Stick-Electronics</v>
      </c>
      <c r="J1389" t="s">
        <v>1545</v>
      </c>
      <c r="K1389" t="str">
        <f>VLOOKUP(Table1[[#This Row],[Store_ID]],Store_Dim!$A$3:$D$22,2,FALSE)</f>
        <v>Johnson-Wright-North</v>
      </c>
      <c r="L1389" t="s">
        <v>1733</v>
      </c>
      <c r="M1389" t="s">
        <v>3958</v>
      </c>
      <c r="N1389" s="3">
        <v>250.14</v>
      </c>
      <c r="O1389" s="4">
        <v>0.23</v>
      </c>
      <c r="P1389" t="s">
        <v>1774</v>
      </c>
      <c r="Q1389" s="4">
        <v>577.82339999999999</v>
      </c>
    </row>
    <row r="1390" spans="1:17" x14ac:dyDescent="0.3">
      <c r="A1390" t="s">
        <v>3162</v>
      </c>
      <c r="B1390" t="str">
        <f t="shared" si="21"/>
        <v>Q4</v>
      </c>
      <c r="C1390" t="str">
        <f>TEXT(Table1[[#This Row],[Order_Date]],"mmmm")</f>
        <v>December</v>
      </c>
      <c r="D1390">
        <f>YEAR(Table1[[#This Row],[Order_Date]])</f>
        <v>2024</v>
      </c>
      <c r="E1390" s="7">
        <v>45655</v>
      </c>
      <c r="F1390" s="2" t="str">
        <f>VLOOKUP(Table1[[#This Row],[Customer_ID]],Customer_Dim!$A$2:$H$501,2,FALSE)</f>
        <v>Bridget Allen</v>
      </c>
      <c r="G1390" s="2" t="str">
        <f>_xlfn.XLOOKUP(Table1[[#This Row],[Customer_ID]],Customer_Dim!$A$2:$A$501,Customer_Dim!$E$2:$E$501)</f>
        <v>Lake Shaneburgh</v>
      </c>
      <c r="H1390" t="s">
        <v>89</v>
      </c>
      <c r="I1390" t="str">
        <f>VLOOKUP(Table1[[#This Row],[Product_ID]],Product_Dim!$A$2:$G$101,2,FALSE)</f>
        <v>Portable Bluetooth Speaker-Electronics</v>
      </c>
      <c r="J1390" t="s">
        <v>1719</v>
      </c>
      <c r="K1390" t="str">
        <f>VLOOKUP(Table1[[#This Row],[Store_ID]],Store_Dim!$A$3:$D$22,2,FALSE)</f>
        <v>Mann-Austin-East</v>
      </c>
      <c r="L1390" t="s">
        <v>1763</v>
      </c>
      <c r="M1390" t="s">
        <v>3958</v>
      </c>
      <c r="N1390" s="3">
        <v>34.97</v>
      </c>
      <c r="O1390" s="4">
        <v>0.01</v>
      </c>
      <c r="P1390" t="s">
        <v>1772</v>
      </c>
      <c r="Q1390" s="4">
        <v>103.8609</v>
      </c>
    </row>
    <row r="1391" spans="1:17" x14ac:dyDescent="0.3">
      <c r="A1391" t="s">
        <v>3163</v>
      </c>
      <c r="B1391" t="str">
        <f t="shared" si="21"/>
        <v>Q3</v>
      </c>
      <c r="C1391" t="str">
        <f>TEXT(Table1[[#This Row],[Order_Date]],"mmmm")</f>
        <v>July</v>
      </c>
      <c r="D1391">
        <f>YEAR(Table1[[#This Row],[Order_Date]])</f>
        <v>2025</v>
      </c>
      <c r="E1391" s="7">
        <v>45868</v>
      </c>
      <c r="F1391" s="2" t="str">
        <f>VLOOKUP(Table1[[#This Row],[Customer_ID]],Customer_Dim!$A$2:$H$501,2,FALSE)</f>
        <v>Miss Alexandria Li Dvm</v>
      </c>
      <c r="G1391" s="2" t="str">
        <f>_xlfn.XLOOKUP(Table1[[#This Row],[Customer_ID]],Customer_Dim!$A$2:$A$501,Customer_Dim!$E$2:$E$501)</f>
        <v>Port Jenniferton</v>
      </c>
      <c r="H1391" t="s">
        <v>951</v>
      </c>
      <c r="I1391" t="str">
        <f>VLOOKUP(Table1[[#This Row],[Product_ID]],Product_Dim!$A$2:$G$101,2,FALSE)</f>
        <v>Smart Home WiFi Camera-Electronics</v>
      </c>
      <c r="J1391" t="s">
        <v>1607</v>
      </c>
      <c r="K1391" t="str">
        <f>VLOOKUP(Table1[[#This Row],[Store_ID]],Store_Dim!$A$3:$D$22,2,FALSE)</f>
        <v>Frederick-Wright-West</v>
      </c>
      <c r="L1391" t="s">
        <v>1757</v>
      </c>
      <c r="M1391" t="s">
        <v>3957</v>
      </c>
      <c r="N1391" s="3">
        <v>653.91</v>
      </c>
      <c r="O1391" s="4">
        <v>0.3</v>
      </c>
      <c r="P1391" t="s">
        <v>1774</v>
      </c>
      <c r="Q1391" s="4">
        <v>457.73700000000002</v>
      </c>
    </row>
    <row r="1392" spans="1:17" x14ac:dyDescent="0.3">
      <c r="A1392" t="s">
        <v>3164</v>
      </c>
      <c r="B1392" t="str">
        <f t="shared" si="21"/>
        <v>Q1</v>
      </c>
      <c r="C1392" t="str">
        <f>TEXT(Table1[[#This Row],[Order_Date]],"mmmm")</f>
        <v>February</v>
      </c>
      <c r="D1392">
        <f>YEAR(Table1[[#This Row],[Order_Date]])</f>
        <v>2024</v>
      </c>
      <c r="E1392" s="7">
        <v>45338</v>
      </c>
      <c r="F1392" s="2" t="str">
        <f>VLOOKUP(Table1[[#This Row],[Customer_ID]],Customer_Dim!$A$2:$H$501,2,FALSE)</f>
        <v>Elizabeth Smith</v>
      </c>
      <c r="G1392" s="2" t="str">
        <f>_xlfn.XLOOKUP(Table1[[#This Row],[Customer_ID]],Customer_Dim!$A$2:$A$501,Customer_Dim!$E$2:$E$501)</f>
        <v>Murphytown</v>
      </c>
      <c r="H1392" t="s">
        <v>1123</v>
      </c>
      <c r="I1392" t="str">
        <f>VLOOKUP(Table1[[#This Row],[Product_ID]],Product_Dim!$A$2:$G$101,2,FALSE)</f>
        <v>Women's Hair Dryer Brush-Beauty</v>
      </c>
      <c r="J1392" t="s">
        <v>1655</v>
      </c>
      <c r="K1392" t="str">
        <f>VLOOKUP(Table1[[#This Row],[Store_ID]],Store_Dim!$A$3:$D$22,2,FALSE)</f>
        <v>Johnson-Wright-North</v>
      </c>
      <c r="L1392" t="s">
        <v>1733</v>
      </c>
      <c r="M1392" t="s">
        <v>3957</v>
      </c>
      <c r="N1392" s="3">
        <v>997.87</v>
      </c>
      <c r="O1392" s="4">
        <v>0.24</v>
      </c>
      <c r="P1392" t="s">
        <v>1772</v>
      </c>
      <c r="Q1392" s="4">
        <v>758.38120000000004</v>
      </c>
    </row>
    <row r="1393" spans="1:17" x14ac:dyDescent="0.3">
      <c r="A1393" t="s">
        <v>3165</v>
      </c>
      <c r="B1393" t="str">
        <f t="shared" si="21"/>
        <v>Q1</v>
      </c>
      <c r="C1393" t="str">
        <f>TEXT(Table1[[#This Row],[Order_Date]],"mmmm")</f>
        <v>February</v>
      </c>
      <c r="D1393">
        <f>YEAR(Table1[[#This Row],[Order_Date]])</f>
        <v>2024</v>
      </c>
      <c r="E1393" s="7">
        <v>45349</v>
      </c>
      <c r="F1393" s="2" t="str">
        <f>VLOOKUP(Table1[[#This Row],[Customer_ID]],Customer_Dim!$A$2:$H$501,2,FALSE)</f>
        <v>John Perez</v>
      </c>
      <c r="G1393" s="2" t="str">
        <f>_xlfn.XLOOKUP(Table1[[#This Row],[Customer_ID]],Customer_Dim!$A$2:$A$501,Customer_Dim!$E$2:$E$501)</f>
        <v>Kathrynview</v>
      </c>
      <c r="H1393" t="s">
        <v>672</v>
      </c>
      <c r="I1393" t="str">
        <f>VLOOKUP(Table1[[#This Row],[Product_ID]],Product_Dim!$A$2:$G$101,2,FALSE)</f>
        <v>Face Foundation Kit-Beauty</v>
      </c>
      <c r="J1393" t="s">
        <v>1701</v>
      </c>
      <c r="K1393" t="str">
        <f>VLOOKUP(Table1[[#This Row],[Store_ID]],Store_Dim!$A$3:$D$22,2,FALSE)</f>
        <v>Mcdonald Inc-South</v>
      </c>
      <c r="L1393" t="s">
        <v>1754</v>
      </c>
      <c r="M1393" t="s">
        <v>3957</v>
      </c>
      <c r="N1393" s="3">
        <v>174.27</v>
      </c>
      <c r="O1393" s="4">
        <v>0.27</v>
      </c>
      <c r="P1393" t="s">
        <v>1777</v>
      </c>
      <c r="Q1393" s="4">
        <v>127.2171</v>
      </c>
    </row>
    <row r="1394" spans="1:17" x14ac:dyDescent="0.3">
      <c r="A1394" t="s">
        <v>3166</v>
      </c>
      <c r="B1394" t="str">
        <f t="shared" si="21"/>
        <v>Q1</v>
      </c>
      <c r="C1394" t="str">
        <f>TEXT(Table1[[#This Row],[Order_Date]],"mmmm")</f>
        <v>March</v>
      </c>
      <c r="D1394">
        <f>YEAR(Table1[[#This Row],[Order_Date]])</f>
        <v>2024</v>
      </c>
      <c r="E1394" s="7">
        <v>45368</v>
      </c>
      <c r="F1394" s="2" t="str">
        <f>VLOOKUP(Table1[[#This Row],[Customer_ID]],Customer_Dim!$A$2:$H$501,2,FALSE)</f>
        <v>Tyler Conrad</v>
      </c>
      <c r="G1394" s="2" t="str">
        <f>_xlfn.XLOOKUP(Table1[[#This Row],[Customer_ID]],Customer_Dim!$A$2:$A$501,Customer_Dim!$E$2:$E$501)</f>
        <v>North Curtischester</v>
      </c>
      <c r="H1394" t="s">
        <v>397</v>
      </c>
      <c r="I1394" t="str">
        <f>VLOOKUP(Table1[[#This Row],[Product_ID]],Product_Dim!$A$2:$G$101,2,FALSE)</f>
        <v>Men's Roll-On Perfume-Beauty</v>
      </c>
      <c r="J1394" t="s">
        <v>1621</v>
      </c>
      <c r="K1394" t="str">
        <f>VLOOKUP(Table1[[#This Row],[Store_ID]],Store_Dim!$A$3:$D$22,2,FALSE)</f>
        <v>Martinez-Mullins-South</v>
      </c>
      <c r="L1394" t="s">
        <v>1742</v>
      </c>
      <c r="M1394" t="s">
        <v>3958</v>
      </c>
      <c r="N1394" s="3">
        <v>847.44</v>
      </c>
      <c r="O1394" s="4">
        <v>0.17</v>
      </c>
      <c r="P1394" t="s">
        <v>1772</v>
      </c>
      <c r="Q1394" s="4">
        <v>2110.1255999999998</v>
      </c>
    </row>
    <row r="1395" spans="1:17" x14ac:dyDescent="0.3">
      <c r="A1395" t="s">
        <v>3167</v>
      </c>
      <c r="B1395" t="str">
        <f t="shared" si="21"/>
        <v>Q4</v>
      </c>
      <c r="C1395" t="str">
        <f>TEXT(Table1[[#This Row],[Order_Date]],"mmmm")</f>
        <v>November</v>
      </c>
      <c r="D1395">
        <f>YEAR(Table1[[#This Row],[Order_Date]])</f>
        <v>2023</v>
      </c>
      <c r="E1395" s="7">
        <v>45243</v>
      </c>
      <c r="F1395" s="2" t="str">
        <f>VLOOKUP(Table1[[#This Row],[Customer_ID]],Customer_Dim!$A$2:$H$501,2,FALSE)</f>
        <v>Samuel Mullins</v>
      </c>
      <c r="G1395" s="2" t="str">
        <f>_xlfn.XLOOKUP(Table1[[#This Row],[Customer_ID]],Customer_Dim!$A$2:$A$501,Customer_Dim!$E$2:$E$501)</f>
        <v>Hartmouth</v>
      </c>
      <c r="H1395" t="s">
        <v>1312</v>
      </c>
      <c r="I1395" t="str">
        <f>VLOOKUP(Table1[[#This Row],[Product_ID]],Product_Dim!$A$2:$G$101,2,FALSE)</f>
        <v>Women's Casual Hoodie-Clothing</v>
      </c>
      <c r="J1395" t="s">
        <v>1527</v>
      </c>
      <c r="K1395" t="str">
        <f>VLOOKUP(Table1[[#This Row],[Store_ID]],Store_Dim!$A$3:$D$22,2,FALSE)</f>
        <v>Black-Horn-South</v>
      </c>
      <c r="L1395" t="s">
        <v>1730</v>
      </c>
      <c r="M1395" t="s">
        <v>3957</v>
      </c>
      <c r="N1395" s="3">
        <v>493.45</v>
      </c>
      <c r="O1395" s="4">
        <v>0.09</v>
      </c>
      <c r="P1395" t="s">
        <v>1772</v>
      </c>
      <c r="Q1395" s="4">
        <v>449.03949999999998</v>
      </c>
    </row>
    <row r="1396" spans="1:17" x14ac:dyDescent="0.3">
      <c r="A1396" t="s">
        <v>3168</v>
      </c>
      <c r="B1396" t="str">
        <f t="shared" si="21"/>
        <v>Q4</v>
      </c>
      <c r="C1396" t="str">
        <f>TEXT(Table1[[#This Row],[Order_Date]],"mmmm")</f>
        <v>October</v>
      </c>
      <c r="D1396">
        <f>YEAR(Table1[[#This Row],[Order_Date]])</f>
        <v>2024</v>
      </c>
      <c r="E1396" s="7">
        <v>45577</v>
      </c>
      <c r="F1396" s="2" t="str">
        <f>VLOOKUP(Table1[[#This Row],[Customer_ID]],Customer_Dim!$A$2:$H$501,2,FALSE)</f>
        <v>Christy Hill</v>
      </c>
      <c r="G1396" s="2" t="str">
        <f>_xlfn.XLOOKUP(Table1[[#This Row],[Customer_ID]],Customer_Dim!$A$2:$A$501,Customer_Dim!$E$2:$E$501)</f>
        <v>Tammyton</v>
      </c>
      <c r="H1396" t="s">
        <v>740</v>
      </c>
      <c r="I1396" t="str">
        <f>VLOOKUP(Table1[[#This Row],[Product_ID]],Product_Dim!$A$2:$G$101,2,FALSE)</f>
        <v>Laptop Cooling Pad-Electronics</v>
      </c>
      <c r="J1396" t="s">
        <v>1647</v>
      </c>
      <c r="K1396" t="str">
        <f>VLOOKUP(Table1[[#This Row],[Store_ID]],Store_Dim!$A$3:$D$22,2,FALSE)</f>
        <v>Black-Horn-South</v>
      </c>
      <c r="L1396" t="s">
        <v>1730</v>
      </c>
      <c r="M1396" t="s">
        <v>3959</v>
      </c>
      <c r="N1396" s="3">
        <v>111.66</v>
      </c>
      <c r="O1396" s="4">
        <v>0.14000000000000001</v>
      </c>
      <c r="P1396" t="s">
        <v>1772</v>
      </c>
      <c r="Q1396" s="4">
        <v>384.11040000000003</v>
      </c>
    </row>
    <row r="1397" spans="1:17" x14ac:dyDescent="0.3">
      <c r="A1397" t="s">
        <v>3169</v>
      </c>
      <c r="B1397" t="str">
        <f t="shared" si="21"/>
        <v>Q1</v>
      </c>
      <c r="C1397" t="str">
        <f>TEXT(Table1[[#This Row],[Order_Date]],"mmmm")</f>
        <v>February</v>
      </c>
      <c r="D1397">
        <f>YEAR(Table1[[#This Row],[Order_Date]])</f>
        <v>2024</v>
      </c>
      <c r="E1397" s="7">
        <v>45343</v>
      </c>
      <c r="F1397" s="2" t="str">
        <f>VLOOKUP(Table1[[#This Row],[Customer_ID]],Customer_Dim!$A$2:$H$501,2,FALSE)</f>
        <v>Stephen Fowler</v>
      </c>
      <c r="G1397" s="2" t="str">
        <f>_xlfn.XLOOKUP(Table1[[#This Row],[Customer_ID]],Customer_Dim!$A$2:$A$501,Customer_Dim!$E$2:$E$501)</f>
        <v>Port Mariastad</v>
      </c>
      <c r="H1397" t="s">
        <v>876</v>
      </c>
      <c r="I1397" t="str">
        <f>VLOOKUP(Table1[[#This Row],[Product_ID]],Product_Dim!$A$2:$G$101,2,FALSE)</f>
        <v>Gaming Mouse Pad XL-Electronics</v>
      </c>
      <c r="J1397" t="s">
        <v>1703</v>
      </c>
      <c r="K1397" t="str">
        <f>VLOOKUP(Table1[[#This Row],[Store_ID]],Store_Dim!$A$3:$D$22,2,FALSE)</f>
        <v>Aguirre-Keller-South</v>
      </c>
      <c r="L1397" t="s">
        <v>1750</v>
      </c>
      <c r="M1397" t="s">
        <v>3957</v>
      </c>
      <c r="N1397" s="3">
        <v>413.65</v>
      </c>
      <c r="O1397" s="4">
        <v>0.1</v>
      </c>
      <c r="P1397" t="s">
        <v>1777</v>
      </c>
      <c r="Q1397" s="4">
        <v>372.28500000000003</v>
      </c>
    </row>
    <row r="1398" spans="1:17" x14ac:dyDescent="0.3">
      <c r="A1398" t="s">
        <v>3170</v>
      </c>
      <c r="B1398" t="str">
        <f t="shared" si="21"/>
        <v>Q1</v>
      </c>
      <c r="C1398" t="str">
        <f>TEXT(Table1[[#This Row],[Order_Date]],"mmmm")</f>
        <v>March</v>
      </c>
      <c r="D1398">
        <f>YEAR(Table1[[#This Row],[Order_Date]])</f>
        <v>2025</v>
      </c>
      <c r="E1398" s="7">
        <v>45744</v>
      </c>
      <c r="F1398" s="2" t="str">
        <f>VLOOKUP(Table1[[#This Row],[Customer_ID]],Customer_Dim!$A$2:$H$501,2,FALSE)</f>
        <v>Barbara Berry</v>
      </c>
      <c r="G1398" s="2" t="str">
        <f>_xlfn.XLOOKUP(Table1[[#This Row],[Customer_ID]],Customer_Dim!$A$2:$A$501,Customer_Dim!$E$2:$E$501)</f>
        <v>Lake Michael</v>
      </c>
      <c r="H1398" t="s">
        <v>1448</v>
      </c>
      <c r="I1398" t="str">
        <f>VLOOKUP(Table1[[#This Row],[Product_ID]],Product_Dim!$A$2:$G$101,2,FALSE)</f>
        <v>Face Foundation Kit-Beauty</v>
      </c>
      <c r="J1398" t="s">
        <v>1701</v>
      </c>
      <c r="K1398" t="str">
        <f>VLOOKUP(Table1[[#This Row],[Store_ID]],Store_Dim!$A$3:$D$22,2,FALSE)</f>
        <v>Moore, Padilla and Butler-South</v>
      </c>
      <c r="L1398" t="s">
        <v>1746</v>
      </c>
      <c r="M1398" t="s">
        <v>3957</v>
      </c>
      <c r="N1398" s="3">
        <v>317.14999999999998</v>
      </c>
      <c r="O1398" s="4">
        <v>0.24</v>
      </c>
      <c r="P1398" t="s">
        <v>1777</v>
      </c>
      <c r="Q1398" s="4">
        <v>241.03399999999999</v>
      </c>
    </row>
    <row r="1399" spans="1:17" x14ac:dyDescent="0.3">
      <c r="A1399" t="s">
        <v>3171</v>
      </c>
      <c r="B1399" t="str">
        <f t="shared" si="21"/>
        <v>Q3</v>
      </c>
      <c r="C1399" t="str">
        <f>TEXT(Table1[[#This Row],[Order_Date]],"mmmm")</f>
        <v>August</v>
      </c>
      <c r="D1399">
        <f>YEAR(Table1[[#This Row],[Order_Date]])</f>
        <v>2025</v>
      </c>
      <c r="E1399" s="7">
        <v>45873</v>
      </c>
      <c r="F1399" s="2" t="str">
        <f>VLOOKUP(Table1[[#This Row],[Customer_ID]],Customer_Dim!$A$2:$H$501,2,FALSE)</f>
        <v>Melanie Lam</v>
      </c>
      <c r="G1399" s="2" t="str">
        <f>_xlfn.XLOOKUP(Table1[[#This Row],[Customer_ID]],Customer_Dim!$A$2:$A$501,Customer_Dim!$E$2:$E$501)</f>
        <v>East Michaelton</v>
      </c>
      <c r="H1399" t="s">
        <v>1112</v>
      </c>
      <c r="I1399" t="str">
        <f>VLOOKUP(Table1[[#This Row],[Product_ID]],Product_Dim!$A$2:$G$101,2,FALSE)</f>
        <v>Sports Wrist Sweatbands-Sports</v>
      </c>
      <c r="J1399" t="s">
        <v>1699</v>
      </c>
      <c r="K1399" t="str">
        <f>VLOOKUP(Table1[[#This Row],[Store_ID]],Store_Dim!$A$3:$D$22,2,FALSE)</f>
        <v>Martinez, Adkins and Johnson-North</v>
      </c>
      <c r="L1399" t="s">
        <v>1728</v>
      </c>
      <c r="M1399" t="s">
        <v>3958</v>
      </c>
      <c r="N1399" s="3">
        <v>642.94000000000005</v>
      </c>
      <c r="O1399" s="4">
        <v>0.05</v>
      </c>
      <c r="P1399" t="s">
        <v>1777</v>
      </c>
      <c r="Q1399" s="4">
        <v>1832.3789999999999</v>
      </c>
    </row>
    <row r="1400" spans="1:17" x14ac:dyDescent="0.3">
      <c r="A1400" t="s">
        <v>3172</v>
      </c>
      <c r="B1400" t="str">
        <f t="shared" si="21"/>
        <v>Q4</v>
      </c>
      <c r="C1400" t="str">
        <f>TEXT(Table1[[#This Row],[Order_Date]],"mmmm")</f>
        <v>November</v>
      </c>
      <c r="D1400">
        <f>YEAR(Table1[[#This Row],[Order_Date]])</f>
        <v>2024</v>
      </c>
      <c r="E1400" s="7">
        <v>45601</v>
      </c>
      <c r="F1400" s="2" t="str">
        <f>VLOOKUP(Table1[[#This Row],[Customer_ID]],Customer_Dim!$A$2:$H$501,2,FALSE)</f>
        <v>Hayley Pope</v>
      </c>
      <c r="G1400" s="2" t="str">
        <f>_xlfn.XLOOKUP(Table1[[#This Row],[Customer_ID]],Customer_Dim!$A$2:$A$501,Customer_Dim!$E$2:$E$501)</f>
        <v>West Stephenville</v>
      </c>
      <c r="H1400" t="s">
        <v>450</v>
      </c>
      <c r="I1400" t="str">
        <f>VLOOKUP(Table1[[#This Row],[Product_ID]],Product_Dim!$A$2:$G$101,2,FALSE)</f>
        <v>Foam Roller-Sports</v>
      </c>
      <c r="J1400" t="s">
        <v>1637</v>
      </c>
      <c r="K1400" t="str">
        <f>VLOOKUP(Table1[[#This Row],[Store_ID]],Store_Dim!$A$3:$D$22,2,FALSE)</f>
        <v>Hill, Wagner and Ballard-East</v>
      </c>
      <c r="L1400" t="s">
        <v>1748</v>
      </c>
      <c r="M1400" t="s">
        <v>3959</v>
      </c>
      <c r="N1400" s="3">
        <v>559.59</v>
      </c>
      <c r="O1400" s="4">
        <v>0.19</v>
      </c>
      <c r="P1400" t="s">
        <v>1777</v>
      </c>
      <c r="Q1400" s="4">
        <v>1813.0716</v>
      </c>
    </row>
    <row r="1401" spans="1:17" x14ac:dyDescent="0.3">
      <c r="A1401" t="s">
        <v>3173</v>
      </c>
      <c r="B1401" t="str">
        <f t="shared" si="21"/>
        <v>Q2</v>
      </c>
      <c r="C1401" t="str">
        <f>TEXT(Table1[[#This Row],[Order_Date]],"mmmm")</f>
        <v>June</v>
      </c>
      <c r="D1401">
        <f>YEAR(Table1[[#This Row],[Order_Date]])</f>
        <v>2024</v>
      </c>
      <c r="E1401" s="7">
        <v>45458</v>
      </c>
      <c r="F1401" s="2" t="str">
        <f>VLOOKUP(Table1[[#This Row],[Customer_ID]],Customer_Dim!$A$2:$H$501,2,FALSE)</f>
        <v>Ryan Hernandez</v>
      </c>
      <c r="G1401" s="2" t="str">
        <f>_xlfn.XLOOKUP(Table1[[#This Row],[Customer_ID]],Customer_Dim!$A$2:$A$501,Customer_Dim!$E$2:$E$501)</f>
        <v>East Donna</v>
      </c>
      <c r="H1401" t="s">
        <v>394</v>
      </c>
      <c r="I1401" t="str">
        <f>VLOOKUP(Table1[[#This Row],[Product_ID]],Product_Dim!$A$2:$G$101,2,FALSE)</f>
        <v>Fabric Sofa Throw Blanket-Home</v>
      </c>
      <c r="J1401" t="s">
        <v>1581</v>
      </c>
      <c r="K1401" t="str">
        <f>VLOOKUP(Table1[[#This Row],[Store_ID]],Store_Dim!$A$3:$D$22,2,FALSE)</f>
        <v>Guerrero-Schmitt-East</v>
      </c>
      <c r="L1401" t="s">
        <v>1761</v>
      </c>
      <c r="M1401" t="s">
        <v>3957</v>
      </c>
      <c r="N1401" s="3">
        <v>758.54</v>
      </c>
      <c r="O1401" s="4">
        <v>0.28999999999999998</v>
      </c>
      <c r="P1401" t="s">
        <v>1774</v>
      </c>
      <c r="Q1401" s="4">
        <v>538.5634</v>
      </c>
    </row>
    <row r="1402" spans="1:17" x14ac:dyDescent="0.3">
      <c r="A1402" t="s">
        <v>3174</v>
      </c>
      <c r="B1402" t="str">
        <f t="shared" si="21"/>
        <v>Q4</v>
      </c>
      <c r="C1402" t="str">
        <f>TEXT(Table1[[#This Row],[Order_Date]],"mmmm")</f>
        <v>December</v>
      </c>
      <c r="D1402">
        <f>YEAR(Table1[[#This Row],[Order_Date]])</f>
        <v>2024</v>
      </c>
      <c r="E1402" s="7">
        <v>45649</v>
      </c>
      <c r="F1402" s="2" t="str">
        <f>VLOOKUP(Table1[[#This Row],[Customer_ID]],Customer_Dim!$A$2:$H$501,2,FALSE)</f>
        <v>Beth Martin</v>
      </c>
      <c r="G1402" s="2" t="str">
        <f>_xlfn.XLOOKUP(Table1[[#This Row],[Customer_ID]],Customer_Dim!$A$2:$A$501,Customer_Dim!$E$2:$E$501)</f>
        <v>Burkefurt</v>
      </c>
      <c r="H1402" t="s">
        <v>1409</v>
      </c>
      <c r="I1402" t="str">
        <f>VLOOKUP(Table1[[#This Row],[Product_ID]],Product_Dim!$A$2:$G$101,2,FALSE)</f>
        <v>Wall-Mounted Spice Rack-Home</v>
      </c>
      <c r="J1402" t="s">
        <v>1683</v>
      </c>
      <c r="K1402" t="str">
        <f>VLOOKUP(Table1[[#This Row],[Store_ID]],Store_Dim!$A$3:$D$22,2,FALSE)</f>
        <v>Shelton PLC-North</v>
      </c>
      <c r="L1402" t="s">
        <v>1755</v>
      </c>
      <c r="M1402" t="s">
        <v>3959</v>
      </c>
      <c r="N1402" s="3">
        <v>643.96</v>
      </c>
      <c r="O1402" s="4">
        <v>0.16</v>
      </c>
      <c r="P1402" t="s">
        <v>1774</v>
      </c>
      <c r="Q1402" s="4">
        <v>2163.7055999999998</v>
      </c>
    </row>
    <row r="1403" spans="1:17" x14ac:dyDescent="0.3">
      <c r="A1403" t="s">
        <v>3175</v>
      </c>
      <c r="B1403" t="str">
        <f t="shared" si="21"/>
        <v>Q4</v>
      </c>
      <c r="C1403" t="str">
        <f>TEXT(Table1[[#This Row],[Order_Date]],"mmmm")</f>
        <v>December</v>
      </c>
      <c r="D1403">
        <f>YEAR(Table1[[#This Row],[Order_Date]])</f>
        <v>2024</v>
      </c>
      <c r="E1403" s="7">
        <v>45653</v>
      </c>
      <c r="F1403" s="2" t="str">
        <f>VLOOKUP(Table1[[#This Row],[Customer_ID]],Customer_Dim!$A$2:$H$501,2,FALSE)</f>
        <v>Brian Hammond</v>
      </c>
      <c r="G1403" s="2" t="str">
        <f>_xlfn.XLOOKUP(Table1[[#This Row],[Customer_ID]],Customer_Dim!$A$2:$A$501,Customer_Dim!$E$2:$E$501)</f>
        <v>North Nicholas</v>
      </c>
      <c r="H1403" t="s">
        <v>773</v>
      </c>
      <c r="I1403" t="str">
        <f>VLOOKUP(Table1[[#This Row],[Product_ID]],Product_Dim!$A$2:$G$101,2,FALSE)</f>
        <v>Foldable Camping Chair-Sports</v>
      </c>
      <c r="J1403" t="s">
        <v>1571</v>
      </c>
      <c r="K1403" t="str">
        <f>VLOOKUP(Table1[[#This Row],[Store_ID]],Store_Dim!$A$3:$D$22,2,FALSE)</f>
        <v>Moore, Padilla and Butler-South</v>
      </c>
      <c r="L1403" t="s">
        <v>1746</v>
      </c>
      <c r="M1403" t="s">
        <v>3957</v>
      </c>
      <c r="N1403" s="3">
        <v>882.73</v>
      </c>
      <c r="O1403" s="4">
        <v>0.1</v>
      </c>
      <c r="P1403" t="s">
        <v>1772</v>
      </c>
      <c r="Q1403" s="4">
        <v>794.45699999999999</v>
      </c>
    </row>
    <row r="1404" spans="1:17" x14ac:dyDescent="0.3">
      <c r="A1404" t="s">
        <v>3176</v>
      </c>
      <c r="B1404" t="str">
        <f t="shared" si="21"/>
        <v>Q1</v>
      </c>
      <c r="C1404" t="str">
        <f>TEXT(Table1[[#This Row],[Order_Date]],"mmmm")</f>
        <v>March</v>
      </c>
      <c r="D1404">
        <f>YEAR(Table1[[#This Row],[Order_Date]])</f>
        <v>2024</v>
      </c>
      <c r="E1404" s="7">
        <v>45378</v>
      </c>
      <c r="F1404" s="2" t="str">
        <f>VLOOKUP(Table1[[#This Row],[Customer_ID]],Customer_Dim!$A$2:$H$501,2,FALSE)</f>
        <v>Andrew Smith</v>
      </c>
      <c r="G1404" s="2" t="str">
        <f>_xlfn.XLOOKUP(Table1[[#This Row],[Customer_ID]],Customer_Dim!$A$2:$A$501,Customer_Dim!$E$2:$E$501)</f>
        <v>East Matthew</v>
      </c>
      <c r="H1404" t="s">
        <v>1012</v>
      </c>
      <c r="I1404" t="str">
        <f>VLOOKUP(Table1[[#This Row],[Product_ID]],Product_Dim!$A$2:$G$101,2,FALSE)</f>
        <v>Women's High Heels-Clothing</v>
      </c>
      <c r="J1404" t="s">
        <v>1705</v>
      </c>
      <c r="K1404" t="str">
        <f>VLOOKUP(Table1[[#This Row],[Store_ID]],Store_Dim!$A$3:$D$22,2,FALSE)</f>
        <v>Mann-Austin-East</v>
      </c>
      <c r="L1404" t="s">
        <v>1763</v>
      </c>
      <c r="M1404" t="s">
        <v>3960</v>
      </c>
      <c r="N1404" s="3">
        <v>600.03</v>
      </c>
      <c r="O1404" s="4">
        <v>0.26</v>
      </c>
      <c r="P1404" t="s">
        <v>1774</v>
      </c>
      <c r="Q1404" s="4">
        <v>888.0444</v>
      </c>
    </row>
    <row r="1405" spans="1:17" x14ac:dyDescent="0.3">
      <c r="A1405" t="s">
        <v>3177</v>
      </c>
      <c r="B1405" t="str">
        <f t="shared" si="21"/>
        <v>Q4</v>
      </c>
      <c r="C1405" t="str">
        <f>TEXT(Table1[[#This Row],[Order_Date]],"mmmm")</f>
        <v>December</v>
      </c>
      <c r="D1405">
        <f>YEAR(Table1[[#This Row],[Order_Date]])</f>
        <v>2024</v>
      </c>
      <c r="E1405" s="7">
        <v>45638</v>
      </c>
      <c r="F1405" s="2" t="str">
        <f>VLOOKUP(Table1[[#This Row],[Customer_ID]],Customer_Dim!$A$2:$H$501,2,FALSE)</f>
        <v>Paul Zamora</v>
      </c>
      <c r="G1405" s="2" t="str">
        <f>_xlfn.XLOOKUP(Table1[[#This Row],[Customer_ID]],Customer_Dim!$A$2:$A$501,Customer_Dim!$E$2:$E$501)</f>
        <v>North Larryfurt</v>
      </c>
      <c r="H1405" t="s">
        <v>521</v>
      </c>
      <c r="I1405" t="str">
        <f>VLOOKUP(Table1[[#This Row],[Product_ID]],Product_Dim!$A$2:$G$101,2,FALSE)</f>
        <v>Sports Stopwatch Pro-Sports</v>
      </c>
      <c r="J1405" t="s">
        <v>1631</v>
      </c>
      <c r="K1405" t="str">
        <f>VLOOKUP(Table1[[#This Row],[Store_ID]],Store_Dim!$A$3:$D$22,2,FALSE)</f>
        <v>Gray Ltd-North</v>
      </c>
      <c r="L1405" t="s">
        <v>1738</v>
      </c>
      <c r="M1405" t="s">
        <v>3960</v>
      </c>
      <c r="N1405" s="3">
        <v>628.83000000000004</v>
      </c>
      <c r="O1405" s="4">
        <v>7.0000000000000007E-2</v>
      </c>
      <c r="P1405" t="s">
        <v>1774</v>
      </c>
      <c r="Q1405" s="4">
        <v>1169.6238000000001</v>
      </c>
    </row>
    <row r="1406" spans="1:17" x14ac:dyDescent="0.3">
      <c r="A1406" t="s">
        <v>3178</v>
      </c>
      <c r="B1406" t="str">
        <f t="shared" si="21"/>
        <v>Q4</v>
      </c>
      <c r="C1406" t="str">
        <f>TEXT(Table1[[#This Row],[Order_Date]],"mmmm")</f>
        <v>December</v>
      </c>
      <c r="D1406">
        <f>YEAR(Table1[[#This Row],[Order_Date]])</f>
        <v>2023</v>
      </c>
      <c r="E1406" s="7">
        <v>45277</v>
      </c>
      <c r="F1406" s="2" t="str">
        <f>VLOOKUP(Table1[[#This Row],[Customer_ID]],Customer_Dim!$A$2:$H$501,2,FALSE)</f>
        <v>Michelle Rogers</v>
      </c>
      <c r="G1406" s="2" t="str">
        <f>_xlfn.XLOOKUP(Table1[[#This Row],[Customer_ID]],Customer_Dim!$A$2:$A$501,Customer_Dim!$E$2:$E$501)</f>
        <v>East Jessicaborough</v>
      </c>
      <c r="H1406" t="s">
        <v>573</v>
      </c>
      <c r="I1406" t="str">
        <f>VLOOKUP(Table1[[#This Row],[Product_ID]],Product_Dim!$A$2:$G$101,2,FALSE)</f>
        <v>Badminton Racket Set-Sports</v>
      </c>
      <c r="J1406" t="s">
        <v>1685</v>
      </c>
      <c r="K1406" t="str">
        <f>VLOOKUP(Table1[[#This Row],[Store_ID]],Store_Dim!$A$3:$D$22,2,FALSE)</f>
        <v>Moore, Padilla and Butler-South</v>
      </c>
      <c r="L1406" t="s">
        <v>1746</v>
      </c>
      <c r="M1406" t="s">
        <v>3958</v>
      </c>
      <c r="N1406" s="3">
        <v>113.87</v>
      </c>
      <c r="O1406" s="4">
        <v>0.21</v>
      </c>
      <c r="P1406" t="s">
        <v>1777</v>
      </c>
      <c r="Q1406" s="4">
        <v>269.87189999999998</v>
      </c>
    </row>
    <row r="1407" spans="1:17" x14ac:dyDescent="0.3">
      <c r="A1407" t="s">
        <v>3179</v>
      </c>
      <c r="B1407" t="str">
        <f t="shared" si="21"/>
        <v>Q1</v>
      </c>
      <c r="C1407" t="str">
        <f>TEXT(Table1[[#This Row],[Order_Date]],"mmmm")</f>
        <v>February</v>
      </c>
      <c r="D1407">
        <f>YEAR(Table1[[#This Row],[Order_Date]])</f>
        <v>2024</v>
      </c>
      <c r="E1407" s="7">
        <v>45351</v>
      </c>
      <c r="F1407" s="2" t="str">
        <f>VLOOKUP(Table1[[#This Row],[Customer_ID]],Customer_Dim!$A$2:$H$501,2,FALSE)</f>
        <v>Luke Parks</v>
      </c>
      <c r="G1407" s="2" t="str">
        <f>_xlfn.XLOOKUP(Table1[[#This Row],[Customer_ID]],Customer_Dim!$A$2:$A$501,Customer_Dim!$E$2:$E$501)</f>
        <v>West Mario</v>
      </c>
      <c r="H1407" t="s">
        <v>1284</v>
      </c>
      <c r="I1407" t="str">
        <f>VLOOKUP(Table1[[#This Row],[Product_ID]],Product_Dim!$A$2:$G$101,2,FALSE)</f>
        <v>Professional Jump Rope-Sports</v>
      </c>
      <c r="J1407" t="s">
        <v>1667</v>
      </c>
      <c r="K1407" t="str">
        <f>VLOOKUP(Table1[[#This Row],[Store_ID]],Store_Dim!$A$3:$D$22,2,FALSE)</f>
        <v>Martinez-Mullins-South</v>
      </c>
      <c r="L1407" t="s">
        <v>1742</v>
      </c>
      <c r="M1407" t="s">
        <v>3959</v>
      </c>
      <c r="N1407" s="3">
        <v>282.07</v>
      </c>
      <c r="O1407" s="4">
        <v>0.18</v>
      </c>
      <c r="P1407" t="s">
        <v>1774</v>
      </c>
      <c r="Q1407" s="4">
        <v>925.18960000000004</v>
      </c>
    </row>
    <row r="1408" spans="1:17" x14ac:dyDescent="0.3">
      <c r="A1408" t="s">
        <v>3180</v>
      </c>
      <c r="B1408" t="str">
        <f t="shared" si="21"/>
        <v>Q4</v>
      </c>
      <c r="C1408" t="str">
        <f>TEXT(Table1[[#This Row],[Order_Date]],"mmmm")</f>
        <v>December</v>
      </c>
      <c r="D1408">
        <f>YEAR(Table1[[#This Row],[Order_Date]])</f>
        <v>2023</v>
      </c>
      <c r="E1408" s="7">
        <v>45290</v>
      </c>
      <c r="F1408" s="2" t="str">
        <f>VLOOKUP(Table1[[#This Row],[Customer_ID]],Customer_Dim!$A$2:$H$501,2,FALSE)</f>
        <v>Maria Sanchez</v>
      </c>
      <c r="G1408" s="2" t="str">
        <f>_xlfn.XLOOKUP(Table1[[#This Row],[Customer_ID]],Customer_Dim!$A$2:$A$501,Customer_Dim!$E$2:$E$501)</f>
        <v>East Peterbury</v>
      </c>
      <c r="H1408" t="s">
        <v>518</v>
      </c>
      <c r="I1408" t="str">
        <f>VLOOKUP(Table1[[#This Row],[Product_ID]],Product_Dim!$A$2:$G$101,2,FALSE)</f>
        <v>Sports Stopwatch Pro-Sports</v>
      </c>
      <c r="J1408" t="s">
        <v>1631</v>
      </c>
      <c r="K1408" t="str">
        <f>VLOOKUP(Table1[[#This Row],[Store_ID]],Store_Dim!$A$3:$D$22,2,FALSE)</f>
        <v>Benson-Elliott-East</v>
      </c>
      <c r="L1408" t="s">
        <v>1740</v>
      </c>
      <c r="M1408" t="s">
        <v>3958</v>
      </c>
      <c r="N1408" s="3">
        <v>676.77</v>
      </c>
      <c r="O1408" s="4">
        <v>0.17</v>
      </c>
      <c r="P1408" t="s">
        <v>1774</v>
      </c>
      <c r="Q1408" s="4">
        <v>1685.1573000000001</v>
      </c>
    </row>
    <row r="1409" spans="1:17" x14ac:dyDescent="0.3">
      <c r="A1409" t="s">
        <v>3181</v>
      </c>
      <c r="B1409" t="str">
        <f t="shared" si="21"/>
        <v>Q4</v>
      </c>
      <c r="C1409" t="str">
        <f>TEXT(Table1[[#This Row],[Order_Date]],"mmmm")</f>
        <v>December</v>
      </c>
      <c r="D1409">
        <f>YEAR(Table1[[#This Row],[Order_Date]])</f>
        <v>2024</v>
      </c>
      <c r="E1409" s="7">
        <v>45638</v>
      </c>
      <c r="F1409" s="2" t="str">
        <f>VLOOKUP(Table1[[#This Row],[Customer_ID]],Customer_Dim!$A$2:$H$501,2,FALSE)</f>
        <v>George Davis</v>
      </c>
      <c r="G1409" s="2" t="str">
        <f>_xlfn.XLOOKUP(Table1[[#This Row],[Customer_ID]],Customer_Dim!$A$2:$A$501,Customer_Dim!$E$2:$E$501)</f>
        <v xml:space="preserve">    lake lisa</v>
      </c>
      <c r="H1409" t="s">
        <v>707</v>
      </c>
      <c r="I1409" t="str">
        <f>VLOOKUP(Table1[[#This Row],[Product_ID]],Product_Dim!$A$2:$G$101,2,FALSE)</f>
        <v>LED Table Lamp-Home</v>
      </c>
      <c r="J1409" t="s">
        <v>1537</v>
      </c>
      <c r="K1409" t="str">
        <f>VLOOKUP(Table1[[#This Row],[Store_ID]],Store_Dim!$A$3:$D$22,2,FALSE)</f>
        <v>Frederick-Wright-West</v>
      </c>
      <c r="L1409" t="s">
        <v>1757</v>
      </c>
      <c r="M1409" t="s">
        <v>3960</v>
      </c>
      <c r="N1409" s="3">
        <v>362.7</v>
      </c>
      <c r="O1409" s="4">
        <v>0.09</v>
      </c>
      <c r="P1409" t="s">
        <v>1772</v>
      </c>
      <c r="Q1409" s="4">
        <v>660.11400000000003</v>
      </c>
    </row>
    <row r="1410" spans="1:17" x14ac:dyDescent="0.3">
      <c r="A1410" t="s">
        <v>3182</v>
      </c>
      <c r="B1410" t="str">
        <f t="shared" ref="B1410:B1473" si="22">"Q" &amp;ROUNDUP(MONTH(E1410)/3,0)</f>
        <v>Q1</v>
      </c>
      <c r="C1410" t="str">
        <f>TEXT(Table1[[#This Row],[Order_Date]],"mmmm")</f>
        <v>January</v>
      </c>
      <c r="D1410">
        <f>YEAR(Table1[[#This Row],[Order_Date]])</f>
        <v>2025</v>
      </c>
      <c r="E1410" s="7">
        <v>45679</v>
      </c>
      <c r="F1410" s="2" t="str">
        <f>VLOOKUP(Table1[[#This Row],[Customer_ID]],Customer_Dim!$A$2:$H$501,2,FALSE)</f>
        <v>Matthew Hanna</v>
      </c>
      <c r="G1410" s="2" t="str">
        <f>_xlfn.XLOOKUP(Table1[[#This Row],[Customer_ID]],Customer_Dim!$A$2:$A$501,Customer_Dim!$E$2:$E$501)</f>
        <v>Gonzalezbury</v>
      </c>
      <c r="H1410" t="s">
        <v>456</v>
      </c>
      <c r="I1410" t="str">
        <f>VLOOKUP(Table1[[#This Row],[Product_ID]],Product_Dim!$A$2:$G$101,2,FALSE)</f>
        <v>USB-C Fast Charger-Electronics</v>
      </c>
      <c r="J1410" t="s">
        <v>1549</v>
      </c>
      <c r="K1410" t="str">
        <f>VLOOKUP(Table1[[#This Row],[Store_ID]],Store_Dim!$A$3:$D$22,2,FALSE)</f>
        <v>Black-Horn-South</v>
      </c>
      <c r="L1410" t="s">
        <v>1730</v>
      </c>
      <c r="M1410" t="s">
        <v>3957</v>
      </c>
      <c r="N1410" s="3">
        <v>908.5</v>
      </c>
      <c r="O1410" s="4">
        <v>0.2</v>
      </c>
      <c r="P1410" t="s">
        <v>1777</v>
      </c>
      <c r="Q1410" s="4">
        <v>726.80000000000007</v>
      </c>
    </row>
    <row r="1411" spans="1:17" x14ac:dyDescent="0.3">
      <c r="A1411" t="s">
        <v>3183</v>
      </c>
      <c r="B1411" t="str">
        <f t="shared" si="22"/>
        <v>Q1</v>
      </c>
      <c r="C1411" t="str">
        <f>TEXT(Table1[[#This Row],[Order_Date]],"mmmm")</f>
        <v>January</v>
      </c>
      <c r="D1411">
        <f>YEAR(Table1[[#This Row],[Order_Date]])</f>
        <v>2024</v>
      </c>
      <c r="E1411" s="7">
        <v>45296</v>
      </c>
      <c r="F1411" s="2" t="str">
        <f>VLOOKUP(Table1[[#This Row],[Customer_ID]],Customer_Dim!$A$2:$H$501,2,FALSE)</f>
        <v>Amber Mcclain</v>
      </c>
      <c r="G1411" s="2" t="str">
        <f>_xlfn.XLOOKUP(Table1[[#This Row],[Customer_ID]],Customer_Dim!$A$2:$A$501,Customer_Dim!$E$2:$E$501)</f>
        <v>Brendaburgh</v>
      </c>
      <c r="H1411" t="s">
        <v>244</v>
      </c>
      <c r="I1411" t="str">
        <f>VLOOKUP(Table1[[#This Row],[Product_ID]],Product_Dim!$A$2:$G$101,2,FALSE)</f>
        <v>Women's Scarf Set-Clothing</v>
      </c>
      <c r="J1411" t="s">
        <v>1573</v>
      </c>
      <c r="K1411" t="str">
        <f>VLOOKUP(Table1[[#This Row],[Store_ID]],Store_Dim!$A$3:$D$22,2,FALSE)</f>
        <v>Shelton PLC-North</v>
      </c>
      <c r="L1411" t="s">
        <v>1755</v>
      </c>
      <c r="M1411" t="s">
        <v>3960</v>
      </c>
      <c r="N1411" s="3">
        <v>795.37</v>
      </c>
      <c r="O1411" s="4">
        <v>0.2</v>
      </c>
      <c r="P1411" t="s">
        <v>1777</v>
      </c>
      <c r="Q1411" s="4">
        <v>1272.5920000000001</v>
      </c>
    </row>
    <row r="1412" spans="1:17" x14ac:dyDescent="0.3">
      <c r="A1412" t="s">
        <v>3184</v>
      </c>
      <c r="B1412" t="str">
        <f t="shared" si="22"/>
        <v>Q2</v>
      </c>
      <c r="C1412" t="str">
        <f>TEXT(Table1[[#This Row],[Order_Date]],"mmmm")</f>
        <v>April</v>
      </c>
      <c r="D1412">
        <f>YEAR(Table1[[#This Row],[Order_Date]])</f>
        <v>2025</v>
      </c>
      <c r="E1412" s="7">
        <v>45760</v>
      </c>
      <c r="F1412" s="2" t="str">
        <f>VLOOKUP(Table1[[#This Row],[Customer_ID]],Customer_Dim!$A$2:$H$501,2,FALSE)</f>
        <v>Justin Cross</v>
      </c>
      <c r="G1412" s="2" t="str">
        <f>_xlfn.XLOOKUP(Table1[[#This Row],[Customer_ID]],Customer_Dim!$A$2:$A$501,Customer_Dim!$E$2:$E$501)</f>
        <v>North Anthonychester</v>
      </c>
      <c r="H1412" t="s">
        <v>482</v>
      </c>
      <c r="I1412" t="str">
        <f>VLOOKUP(Table1[[#This Row],[Product_ID]],Product_Dim!$A$2:$G$101,2,FALSE)</f>
        <v>Bedroom Table Lamp-Home</v>
      </c>
      <c r="J1412" t="s">
        <v>1593</v>
      </c>
      <c r="K1412" t="str">
        <f>VLOOKUP(Table1[[#This Row],[Store_ID]],Store_Dim!$A$3:$D$22,2,FALSE)</f>
        <v>Alexander Group-South</v>
      </c>
      <c r="L1412" t="s">
        <v>1735</v>
      </c>
      <c r="M1412" t="s">
        <v>3960</v>
      </c>
      <c r="N1412" s="3">
        <v>326.85000000000002</v>
      </c>
      <c r="O1412" s="4">
        <v>0.17</v>
      </c>
      <c r="P1412" t="s">
        <v>1777</v>
      </c>
      <c r="Q1412" s="4">
        <v>542.57100000000003</v>
      </c>
    </row>
    <row r="1413" spans="1:17" x14ac:dyDescent="0.3">
      <c r="A1413" t="s">
        <v>3185</v>
      </c>
      <c r="B1413" t="str">
        <f t="shared" si="22"/>
        <v>Q4</v>
      </c>
      <c r="C1413" t="str">
        <f>TEXT(Table1[[#This Row],[Order_Date]],"mmmm")</f>
        <v>November</v>
      </c>
      <c r="D1413">
        <f>YEAR(Table1[[#This Row],[Order_Date]])</f>
        <v>2024</v>
      </c>
      <c r="E1413" s="7">
        <v>45603</v>
      </c>
      <c r="F1413" s="2" t="str">
        <f>VLOOKUP(Table1[[#This Row],[Customer_ID]],Customer_Dim!$A$2:$H$501,2,FALSE)</f>
        <v>Charles Miller</v>
      </c>
      <c r="G1413" s="2" t="str">
        <f>_xlfn.XLOOKUP(Table1[[#This Row],[Customer_ID]],Customer_Dim!$A$2:$A$501,Customer_Dim!$E$2:$E$501)</f>
        <v>Lake Allisonborough</v>
      </c>
      <c r="H1413" t="s">
        <v>1086</v>
      </c>
      <c r="I1413" t="str">
        <f>VLOOKUP(Table1[[#This Row],[Product_ID]],Product_Dim!$A$2:$G$101,2,FALSE)</f>
        <v>Premium Blanket Throw-Home</v>
      </c>
      <c r="J1413" t="s">
        <v>1635</v>
      </c>
      <c r="K1413" t="str">
        <f>VLOOKUP(Table1[[#This Row],[Store_ID]],Store_Dim!$A$3:$D$22,2,FALSE)</f>
        <v>Mcdonald Inc-South</v>
      </c>
      <c r="L1413" t="s">
        <v>1754</v>
      </c>
      <c r="M1413" t="s">
        <v>3958</v>
      </c>
      <c r="N1413" s="3">
        <v>169.43</v>
      </c>
      <c r="O1413" s="4">
        <v>0.19</v>
      </c>
      <c r="P1413" t="s">
        <v>1772</v>
      </c>
      <c r="Q1413" s="4">
        <v>411.71490000000011</v>
      </c>
    </row>
    <row r="1414" spans="1:17" x14ac:dyDescent="0.3">
      <c r="A1414" t="s">
        <v>3186</v>
      </c>
      <c r="B1414" t="str">
        <f t="shared" si="22"/>
        <v>Q2</v>
      </c>
      <c r="C1414" t="str">
        <f>TEXT(Table1[[#This Row],[Order_Date]],"mmmm")</f>
        <v>May</v>
      </c>
      <c r="D1414">
        <f>YEAR(Table1[[#This Row],[Order_Date]])</f>
        <v>2024</v>
      </c>
      <c r="E1414" s="7">
        <v>45413</v>
      </c>
      <c r="F1414" s="2" t="str">
        <f>VLOOKUP(Table1[[#This Row],[Customer_ID]],Customer_Dim!$A$2:$H$501,2,FALSE)</f>
        <v>Joseph Jones</v>
      </c>
      <c r="G1414" s="2" t="str">
        <f>_xlfn.XLOOKUP(Table1[[#This Row],[Customer_ID]],Customer_Dim!$A$2:$A$501,Customer_Dim!$E$2:$E$501)</f>
        <v>North Matthew</v>
      </c>
      <c r="H1414" t="s">
        <v>539</v>
      </c>
      <c r="I1414" t="str">
        <f>VLOOKUP(Table1[[#This Row],[Product_ID]],Product_Dim!$A$2:$G$101,2,FALSE)</f>
        <v>Hydrating Face Cleanser-Beauty</v>
      </c>
      <c r="J1414" t="s">
        <v>1689</v>
      </c>
      <c r="K1414" t="str">
        <f>VLOOKUP(Table1[[#This Row],[Store_ID]],Store_Dim!$A$3:$D$22,2,FALSE)</f>
        <v>Benson-Elliott-East</v>
      </c>
      <c r="L1414" t="s">
        <v>1740</v>
      </c>
      <c r="M1414" t="s">
        <v>3957</v>
      </c>
      <c r="N1414" s="3">
        <v>254.47</v>
      </c>
      <c r="O1414" s="4">
        <v>0.1</v>
      </c>
      <c r="P1414" t="s">
        <v>1772</v>
      </c>
      <c r="Q1414" s="4">
        <v>229.023</v>
      </c>
    </row>
    <row r="1415" spans="1:17" x14ac:dyDescent="0.3">
      <c r="A1415" t="s">
        <v>3187</v>
      </c>
      <c r="B1415" t="str">
        <f t="shared" si="22"/>
        <v>Q3</v>
      </c>
      <c r="C1415" t="str">
        <f>TEXT(Table1[[#This Row],[Order_Date]],"mmmm")</f>
        <v>August</v>
      </c>
      <c r="D1415">
        <f>YEAR(Table1[[#This Row],[Order_Date]])</f>
        <v>2024</v>
      </c>
      <c r="E1415" s="7">
        <v>45506</v>
      </c>
      <c r="F1415" s="2" t="str">
        <f>VLOOKUP(Table1[[#This Row],[Customer_ID]],Customer_Dim!$A$2:$H$501,2,FALSE)</f>
        <v>Luke Parks</v>
      </c>
      <c r="G1415" s="2" t="str">
        <f>_xlfn.XLOOKUP(Table1[[#This Row],[Customer_ID]],Customer_Dim!$A$2:$A$501,Customer_Dim!$E$2:$E$501)</f>
        <v>West Mario</v>
      </c>
      <c r="H1415" t="s">
        <v>1284</v>
      </c>
      <c r="I1415" t="str">
        <f>VLOOKUP(Table1[[#This Row],[Product_ID]],Product_Dim!$A$2:$G$101,2,FALSE)</f>
        <v>Women's Scarf Set-Clothing</v>
      </c>
      <c r="J1415" t="s">
        <v>1573</v>
      </c>
      <c r="K1415" t="str">
        <f>VLOOKUP(Table1[[#This Row],[Store_ID]],Store_Dim!$A$3:$D$22,2,FALSE)</f>
        <v>Frederick-Wright-West</v>
      </c>
      <c r="L1415" t="s">
        <v>1757</v>
      </c>
      <c r="M1415" t="s">
        <v>3959</v>
      </c>
      <c r="N1415" s="3">
        <v>627.73</v>
      </c>
      <c r="O1415" s="4">
        <v>0.11</v>
      </c>
      <c r="P1415" t="s">
        <v>1777</v>
      </c>
      <c r="Q1415" s="4">
        <v>2234.7188000000001</v>
      </c>
    </row>
    <row r="1416" spans="1:17" x14ac:dyDescent="0.3">
      <c r="A1416" t="s">
        <v>3188</v>
      </c>
      <c r="B1416" t="str">
        <f t="shared" si="22"/>
        <v>Q2</v>
      </c>
      <c r="C1416" t="str">
        <f>TEXT(Table1[[#This Row],[Order_Date]],"mmmm")</f>
        <v>April</v>
      </c>
      <c r="D1416">
        <f>YEAR(Table1[[#This Row],[Order_Date]])</f>
        <v>2024</v>
      </c>
      <c r="E1416" s="7">
        <v>45394</v>
      </c>
      <c r="F1416" s="2" t="str">
        <f>VLOOKUP(Table1[[#This Row],[Customer_ID]],Customer_Dim!$A$2:$H$501,2,FALSE)</f>
        <v>Michael Garner</v>
      </c>
      <c r="G1416" s="2" t="str">
        <f>_xlfn.XLOOKUP(Table1[[#This Row],[Customer_ID]],Customer_Dim!$A$2:$A$501,Customer_Dim!$E$2:$E$501)</f>
        <v>Port Crystal</v>
      </c>
      <c r="H1416" t="s">
        <v>1147</v>
      </c>
      <c r="I1416" t="str">
        <f>VLOOKUP(Table1[[#This Row],[Product_ID]],Product_Dim!$A$2:$G$101,2,FALSE)</f>
        <v>Basketball-Sports</v>
      </c>
      <c r="J1416" t="s">
        <v>1585</v>
      </c>
      <c r="K1416" t="str">
        <f>VLOOKUP(Table1[[#This Row],[Store_ID]],Store_Dim!$A$3:$D$22,2,FALSE)</f>
        <v>Mann-Austin-East</v>
      </c>
      <c r="L1416" t="s">
        <v>1763</v>
      </c>
      <c r="M1416" t="s">
        <v>3959</v>
      </c>
      <c r="N1416" s="3">
        <v>327.25</v>
      </c>
      <c r="O1416" s="4">
        <v>0.13</v>
      </c>
      <c r="P1416" t="s">
        <v>1777</v>
      </c>
      <c r="Q1416" s="4">
        <v>1138.83</v>
      </c>
    </row>
    <row r="1417" spans="1:17" x14ac:dyDescent="0.3">
      <c r="A1417" t="s">
        <v>3189</v>
      </c>
      <c r="B1417" t="str">
        <f t="shared" si="22"/>
        <v>Q2</v>
      </c>
      <c r="C1417" t="str">
        <f>TEXT(Table1[[#This Row],[Order_Date]],"mmmm")</f>
        <v>April</v>
      </c>
      <c r="D1417">
        <f>YEAR(Table1[[#This Row],[Order_Date]])</f>
        <v>2025</v>
      </c>
      <c r="E1417" s="7">
        <v>45755</v>
      </c>
      <c r="F1417" s="2" t="str">
        <f>VLOOKUP(Table1[[#This Row],[Customer_ID]],Customer_Dim!$A$2:$H$501,2,FALSE)</f>
        <v>Cameron Simpson</v>
      </c>
      <c r="G1417" s="2" t="str">
        <f>_xlfn.XLOOKUP(Table1[[#This Row],[Customer_ID]],Customer_Dim!$A$2:$A$501,Customer_Dim!$E$2:$E$501)</f>
        <v>Michaelfort</v>
      </c>
      <c r="H1417" t="s">
        <v>485</v>
      </c>
      <c r="I1417" t="str">
        <f>VLOOKUP(Table1[[#This Row],[Product_ID]],Product_Dim!$A$2:$G$101,2,FALSE)</f>
        <v>Men's Hair Styling Gel-Beauty</v>
      </c>
      <c r="J1417" t="s">
        <v>1641</v>
      </c>
      <c r="K1417" t="str">
        <f>VLOOKUP(Table1[[#This Row],[Store_ID]],Store_Dim!$A$3:$D$22,2,FALSE)</f>
        <v>Aguirre-Keller-South</v>
      </c>
      <c r="L1417" t="s">
        <v>1750</v>
      </c>
      <c r="M1417" t="s">
        <v>3959</v>
      </c>
      <c r="N1417" s="3">
        <v>511.43</v>
      </c>
      <c r="O1417" s="4">
        <v>0.18</v>
      </c>
      <c r="P1417" t="s">
        <v>1777</v>
      </c>
      <c r="Q1417" s="4">
        <v>1677.4903999999999</v>
      </c>
    </row>
    <row r="1418" spans="1:17" x14ac:dyDescent="0.3">
      <c r="A1418" t="s">
        <v>3190</v>
      </c>
      <c r="B1418" t="str">
        <f t="shared" si="22"/>
        <v>Q2</v>
      </c>
      <c r="C1418" t="str">
        <f>TEXT(Table1[[#This Row],[Order_Date]],"mmmm")</f>
        <v>June</v>
      </c>
      <c r="D1418">
        <f>YEAR(Table1[[#This Row],[Order_Date]])</f>
        <v>2024</v>
      </c>
      <c r="E1418" s="7">
        <v>45473</v>
      </c>
      <c r="F1418" s="2" t="str">
        <f>VLOOKUP(Table1[[#This Row],[Customer_ID]],Customer_Dim!$A$2:$H$501,2,FALSE)</f>
        <v>Jason Wheeler</v>
      </c>
      <c r="G1418" s="2" t="str">
        <f>_xlfn.XLOOKUP(Table1[[#This Row],[Customer_ID]],Customer_Dim!$A$2:$A$501,Customer_Dim!$E$2:$E$501)</f>
        <v>Carolview</v>
      </c>
      <c r="H1418" t="s">
        <v>545</v>
      </c>
      <c r="I1418" t="str">
        <f>VLOOKUP(Table1[[#This Row],[Product_ID]],Product_Dim!$A$2:$G$101,2,FALSE)</f>
        <v>Organic Sunscreen Lotion-Beauty</v>
      </c>
      <c r="J1418" t="s">
        <v>1649</v>
      </c>
      <c r="K1418" t="str">
        <f>VLOOKUP(Table1[[#This Row],[Store_ID]],Store_Dim!$A$3:$D$22,2,FALSE)</f>
        <v>Holloway Ltd-North</v>
      </c>
      <c r="L1418" t="s">
        <v>1759</v>
      </c>
      <c r="M1418" t="s">
        <v>3959</v>
      </c>
      <c r="N1418" s="3">
        <v>194.67</v>
      </c>
      <c r="O1418" s="4">
        <v>0.23</v>
      </c>
      <c r="P1418" t="s">
        <v>1774</v>
      </c>
      <c r="Q1418" s="4">
        <v>599.58359999999993</v>
      </c>
    </row>
    <row r="1419" spans="1:17" x14ac:dyDescent="0.3">
      <c r="A1419" t="s">
        <v>3191</v>
      </c>
      <c r="B1419" t="str">
        <f t="shared" si="22"/>
        <v>Q1</v>
      </c>
      <c r="C1419" t="str">
        <f>TEXT(Table1[[#This Row],[Order_Date]],"mmmm")</f>
        <v>January</v>
      </c>
      <c r="D1419">
        <f>YEAR(Table1[[#This Row],[Order_Date]])</f>
        <v>2024</v>
      </c>
      <c r="E1419" s="7">
        <v>45304</v>
      </c>
      <c r="F1419" s="2" t="str">
        <f>VLOOKUP(Table1[[#This Row],[Customer_ID]],Customer_Dim!$A$2:$H$501,2,FALSE)</f>
        <v>Alyssa Vargas</v>
      </c>
      <c r="G1419" s="2" t="str">
        <f>_xlfn.XLOOKUP(Table1[[#This Row],[Customer_ID]],Customer_Dim!$A$2:$A$501,Customer_Dim!$E$2:$E$501)</f>
        <v>New Kathrynland</v>
      </c>
      <c r="H1419" t="s">
        <v>218</v>
      </c>
      <c r="I1419" t="str">
        <f>VLOOKUP(Table1[[#This Row],[Product_ID]],Product_Dim!$A$2:$G$101,2,FALSE)</f>
        <v>Men's Formal Shirt-Clothing</v>
      </c>
      <c r="J1419" t="s">
        <v>1569</v>
      </c>
      <c r="K1419" t="str">
        <f>VLOOKUP(Table1[[#This Row],[Store_ID]],Store_Dim!$A$3:$D$22,2,FALSE)</f>
        <v>Martinez, Adkins and Johnson-North</v>
      </c>
      <c r="L1419" t="s">
        <v>1728</v>
      </c>
      <c r="M1419" t="s">
        <v>3960</v>
      </c>
      <c r="N1419" s="3">
        <v>54.51</v>
      </c>
      <c r="O1419" s="4">
        <v>7.0000000000000007E-2</v>
      </c>
      <c r="P1419" t="s">
        <v>1772</v>
      </c>
      <c r="Q1419" s="4">
        <v>101.3886</v>
      </c>
    </row>
    <row r="1420" spans="1:17" x14ac:dyDescent="0.3">
      <c r="A1420" t="s">
        <v>3192</v>
      </c>
      <c r="B1420" t="str">
        <f t="shared" si="22"/>
        <v>Q3</v>
      </c>
      <c r="C1420" t="str">
        <f>TEXT(Table1[[#This Row],[Order_Date]],"mmmm")</f>
        <v>September</v>
      </c>
      <c r="D1420">
        <f>YEAR(Table1[[#This Row],[Order_Date]])</f>
        <v>2024</v>
      </c>
      <c r="E1420" s="7">
        <v>45557</v>
      </c>
      <c r="F1420" s="2" t="str">
        <f>VLOOKUP(Table1[[#This Row],[Customer_ID]],Customer_Dim!$A$2:$H$501,2,FALSE)</f>
        <v>Nathan Campbell</v>
      </c>
      <c r="G1420" s="2" t="str">
        <f>_xlfn.XLOOKUP(Table1[[#This Row],[Customer_ID]],Customer_Dim!$A$2:$A$501,Customer_Dim!$E$2:$E$501)</f>
        <v>Rodrigueztown</v>
      </c>
      <c r="H1420" t="s">
        <v>275</v>
      </c>
      <c r="I1420" t="str">
        <f>VLOOKUP(Table1[[#This Row],[Product_ID]],Product_Dim!$A$2:$G$101,2,FALSE)</f>
        <v>Laptop Cooling Pad-Electronics</v>
      </c>
      <c r="J1420" t="s">
        <v>1647</v>
      </c>
      <c r="K1420" t="str">
        <f>VLOOKUP(Table1[[#This Row],[Store_ID]],Store_Dim!$A$3:$D$22,2,FALSE)</f>
        <v>Aguirre-Keller-South</v>
      </c>
      <c r="L1420" t="s">
        <v>1750</v>
      </c>
      <c r="M1420" t="s">
        <v>3959</v>
      </c>
      <c r="N1420" s="3">
        <v>964</v>
      </c>
      <c r="O1420" s="4">
        <v>0.14000000000000001</v>
      </c>
      <c r="P1420" t="s">
        <v>1774</v>
      </c>
      <c r="Q1420" s="4">
        <v>3316.16</v>
      </c>
    </row>
    <row r="1421" spans="1:17" x14ac:dyDescent="0.3">
      <c r="A1421" t="s">
        <v>3193</v>
      </c>
      <c r="B1421" t="str">
        <f t="shared" si="22"/>
        <v>Q3</v>
      </c>
      <c r="C1421" t="str">
        <f>TEXT(Table1[[#This Row],[Order_Date]],"mmmm")</f>
        <v>August</v>
      </c>
      <c r="D1421">
        <f>YEAR(Table1[[#This Row],[Order_Date]])</f>
        <v>2024</v>
      </c>
      <c r="E1421" s="7">
        <v>45527</v>
      </c>
      <c r="F1421" s="2" t="str">
        <f>VLOOKUP(Table1[[#This Row],[Customer_ID]],Customer_Dim!$A$2:$H$501,2,FALSE)</f>
        <v>Eric Vega</v>
      </c>
      <c r="G1421" s="2" t="str">
        <f>_xlfn.XLOOKUP(Table1[[#This Row],[Customer_ID]],Customer_Dim!$A$2:$A$501,Customer_Dim!$E$2:$E$501)</f>
        <v>Williamsonland</v>
      </c>
      <c r="H1421" t="s">
        <v>156</v>
      </c>
      <c r="I1421" t="str">
        <f>VLOOKUP(Table1[[#This Row],[Product_ID]],Product_Dim!$A$2:$G$101,2,FALSE)</f>
        <v>Face Foundation Kit-Beauty</v>
      </c>
      <c r="J1421" t="s">
        <v>1701</v>
      </c>
      <c r="K1421" t="str">
        <f>VLOOKUP(Table1[[#This Row],[Store_ID]],Store_Dim!$A$3:$D$22,2,FALSE)</f>
        <v>Alexander Group-South</v>
      </c>
      <c r="L1421" t="s">
        <v>1735</v>
      </c>
      <c r="M1421" t="s">
        <v>3957</v>
      </c>
      <c r="N1421" s="3">
        <v>170.12</v>
      </c>
      <c r="O1421" s="4">
        <v>0.26</v>
      </c>
      <c r="P1421" t="s">
        <v>1774</v>
      </c>
      <c r="Q1421" s="4">
        <v>125.8888</v>
      </c>
    </row>
    <row r="1422" spans="1:17" x14ac:dyDescent="0.3">
      <c r="A1422" t="s">
        <v>3194</v>
      </c>
      <c r="B1422" t="str">
        <f t="shared" si="22"/>
        <v>Q3</v>
      </c>
      <c r="C1422" t="str">
        <f>TEXT(Table1[[#This Row],[Order_Date]],"mmmm")</f>
        <v>August</v>
      </c>
      <c r="D1422">
        <f>YEAR(Table1[[#This Row],[Order_Date]])</f>
        <v>2025</v>
      </c>
      <c r="E1422" s="7">
        <v>45875</v>
      </c>
      <c r="F1422" s="2" t="str">
        <f>VLOOKUP(Table1[[#This Row],[Customer_ID]],Customer_Dim!$A$2:$H$501,2,FALSE)</f>
        <v>Patrick Roberts</v>
      </c>
      <c r="G1422" s="2" t="str">
        <f>_xlfn.XLOOKUP(Table1[[#This Row],[Customer_ID]],Customer_Dim!$A$2:$A$501,Customer_Dim!$E$2:$E$501)</f>
        <v>Jaredville</v>
      </c>
      <c r="H1422" t="s">
        <v>506</v>
      </c>
      <c r="I1422" t="str">
        <f>VLOOKUP(Table1[[#This Row],[Product_ID]],Product_Dim!$A$2:$G$101,2,FALSE)</f>
        <v>Men's Track Pants-Clothing</v>
      </c>
      <c r="J1422" t="s">
        <v>1629</v>
      </c>
      <c r="K1422" t="str">
        <f>VLOOKUP(Table1[[#This Row],[Store_ID]],Store_Dim!$A$3:$D$22,2,FALSE)</f>
        <v>Mann-Austin-East</v>
      </c>
      <c r="L1422" t="s">
        <v>1763</v>
      </c>
      <c r="M1422" t="s">
        <v>3960</v>
      </c>
      <c r="N1422" s="3">
        <v>664.5</v>
      </c>
      <c r="O1422" s="4">
        <v>0.23</v>
      </c>
      <c r="P1422" t="s">
        <v>1772</v>
      </c>
      <c r="Q1422" s="4">
        <v>1023.33</v>
      </c>
    </row>
    <row r="1423" spans="1:17" x14ac:dyDescent="0.3">
      <c r="A1423" t="s">
        <v>3195</v>
      </c>
      <c r="B1423" t="str">
        <f t="shared" si="22"/>
        <v>Q4</v>
      </c>
      <c r="C1423" t="str">
        <f>TEXT(Table1[[#This Row],[Order_Date]],"mmmm")</f>
        <v>October</v>
      </c>
      <c r="D1423">
        <f>YEAR(Table1[[#This Row],[Order_Date]])</f>
        <v>2025</v>
      </c>
      <c r="E1423" s="7">
        <v>45936</v>
      </c>
      <c r="F1423" s="2" t="str">
        <f>VLOOKUP(Table1[[#This Row],[Customer_ID]],Customer_Dim!$A$2:$H$501,2,FALSE)</f>
        <v>Michael Garner</v>
      </c>
      <c r="G1423" s="2" t="str">
        <f>_xlfn.XLOOKUP(Table1[[#This Row],[Customer_ID]],Customer_Dim!$A$2:$A$501,Customer_Dim!$E$2:$E$501)</f>
        <v>Port Crystal</v>
      </c>
      <c r="H1423" t="s">
        <v>1147</v>
      </c>
      <c r="I1423" t="str">
        <f>VLOOKUP(Table1[[#This Row],[Product_ID]],Product_Dim!$A$2:$G$101,2,FALSE)</f>
        <v>High-Grip Football-Sports</v>
      </c>
      <c r="J1423" t="s">
        <v>1613</v>
      </c>
      <c r="K1423" t="str">
        <f>VLOOKUP(Table1[[#This Row],[Store_ID]],Store_Dim!$A$3:$D$22,2,FALSE)</f>
        <v>Hill, Wagner and Ballard-East</v>
      </c>
      <c r="L1423" t="s">
        <v>1748</v>
      </c>
      <c r="M1423" t="s">
        <v>3959</v>
      </c>
      <c r="N1423" s="3">
        <v>557.51</v>
      </c>
      <c r="O1423" s="4">
        <v>0.11</v>
      </c>
      <c r="P1423" t="s">
        <v>1772</v>
      </c>
      <c r="Q1423" s="4">
        <v>1984.7356</v>
      </c>
    </row>
    <row r="1424" spans="1:17" x14ac:dyDescent="0.3">
      <c r="A1424" t="s">
        <v>3196</v>
      </c>
      <c r="B1424" t="str">
        <f t="shared" si="22"/>
        <v>Q2</v>
      </c>
      <c r="C1424" t="str">
        <f>TEXT(Table1[[#This Row],[Order_Date]],"mmmm")</f>
        <v>May</v>
      </c>
      <c r="D1424">
        <f>YEAR(Table1[[#This Row],[Order_Date]])</f>
        <v>2025</v>
      </c>
      <c r="E1424" s="7">
        <v>45807</v>
      </c>
      <c r="F1424" s="2" t="str">
        <f>VLOOKUP(Table1[[#This Row],[Customer_ID]],Customer_Dim!$A$2:$H$501,2,FALSE)</f>
        <v>Charles Norman Phd</v>
      </c>
      <c r="G1424" s="2" t="str">
        <f>_xlfn.XLOOKUP(Table1[[#This Row],[Customer_ID]],Customer_Dim!$A$2:$A$501,Customer_Dim!$E$2:$E$501)</f>
        <v>East Jennifer</v>
      </c>
      <c r="H1424" t="s">
        <v>1225</v>
      </c>
      <c r="I1424" t="str">
        <f>VLOOKUP(Table1[[#This Row],[Product_ID]],Product_Dim!$A$2:$G$101,2,FALSE)</f>
        <v>Gaming Mouse Pad XL-Electronics</v>
      </c>
      <c r="J1424" t="s">
        <v>1703</v>
      </c>
      <c r="K1424" t="str">
        <f>VLOOKUP(Table1[[#This Row],[Store_ID]],Store_Dim!$A$3:$D$22,2,FALSE)</f>
        <v>Martinez, Adkins and Johnson-North</v>
      </c>
      <c r="L1424" t="s">
        <v>1728</v>
      </c>
      <c r="M1424" t="s">
        <v>3960</v>
      </c>
      <c r="N1424" s="3">
        <v>410</v>
      </c>
      <c r="O1424" s="4">
        <v>0.13</v>
      </c>
      <c r="P1424" t="s">
        <v>1777</v>
      </c>
      <c r="Q1424" s="4">
        <v>713.4</v>
      </c>
    </row>
    <row r="1425" spans="1:17" x14ac:dyDescent="0.3">
      <c r="A1425" t="s">
        <v>3197</v>
      </c>
      <c r="B1425" t="str">
        <f t="shared" si="22"/>
        <v>Q2</v>
      </c>
      <c r="C1425" t="str">
        <f>TEXT(Table1[[#This Row],[Order_Date]],"mmmm")</f>
        <v>June</v>
      </c>
      <c r="D1425">
        <f>YEAR(Table1[[#This Row],[Order_Date]])</f>
        <v>2024</v>
      </c>
      <c r="E1425" s="7">
        <v>45473</v>
      </c>
      <c r="F1425" s="2" t="str">
        <f>VLOOKUP(Table1[[#This Row],[Customer_ID]],Customer_Dim!$A$2:$H$501,2,FALSE)</f>
        <v>Angela Robinson</v>
      </c>
      <c r="G1425" s="2" t="str">
        <f>_xlfn.XLOOKUP(Table1[[#This Row],[Customer_ID]],Customer_Dim!$A$2:$A$501,Customer_Dim!$E$2:$E$501)</f>
        <v>New Nicholasstad</v>
      </c>
      <c r="H1425" t="s">
        <v>956</v>
      </c>
      <c r="I1425" t="str">
        <f>VLOOKUP(Table1[[#This Row],[Product_ID]],Product_Dim!$A$2:$G$101,2,FALSE)</f>
        <v>Hydrating Face Cleanser-Beauty</v>
      </c>
      <c r="J1425" t="s">
        <v>1689</v>
      </c>
      <c r="K1425" t="str">
        <f>VLOOKUP(Table1[[#This Row],[Store_ID]],Store_Dim!$A$3:$D$22,2,FALSE)</f>
        <v>Gray Ltd-North</v>
      </c>
      <c r="L1425" t="s">
        <v>1738</v>
      </c>
      <c r="M1425" t="s">
        <v>3960</v>
      </c>
      <c r="N1425" s="3">
        <v>879.93</v>
      </c>
      <c r="O1425" s="4">
        <v>0.28999999999999998</v>
      </c>
      <c r="P1425" t="s">
        <v>1777</v>
      </c>
      <c r="Q1425" s="4">
        <v>1249.5006000000001</v>
      </c>
    </row>
    <row r="1426" spans="1:17" x14ac:dyDescent="0.3">
      <c r="A1426" t="s">
        <v>3198</v>
      </c>
      <c r="B1426" t="str">
        <f t="shared" si="22"/>
        <v>Q1</v>
      </c>
      <c r="C1426" t="str">
        <f>TEXT(Table1[[#This Row],[Order_Date]],"mmmm")</f>
        <v>January</v>
      </c>
      <c r="D1426">
        <f>YEAR(Table1[[#This Row],[Order_Date]])</f>
        <v>2025</v>
      </c>
      <c r="E1426" s="7">
        <v>45664</v>
      </c>
      <c r="F1426" s="2" t="str">
        <f>VLOOKUP(Table1[[#This Row],[Customer_ID]],Customer_Dim!$A$2:$H$501,2,FALSE)</f>
        <v>Daniel Boyd</v>
      </c>
      <c r="G1426" s="2" t="str">
        <f>_xlfn.XLOOKUP(Table1[[#This Row],[Customer_ID]],Customer_Dim!$A$2:$A$501,Customer_Dim!$E$2:$E$501)</f>
        <v>West Pamelafurt</v>
      </c>
      <c r="H1426" t="s">
        <v>40</v>
      </c>
      <c r="I1426" t="str">
        <f>VLOOKUP(Table1[[#This Row],[Product_ID]],Product_Dim!$A$2:$G$101,2,FALSE)</f>
        <v>USB-C Fast Charger-Electronics</v>
      </c>
      <c r="J1426" t="s">
        <v>1549</v>
      </c>
      <c r="K1426" t="str">
        <f>VLOOKUP(Table1[[#This Row],[Store_ID]],Store_Dim!$A$3:$D$22,2,FALSE)</f>
        <v>Guerrero-Schmitt-East</v>
      </c>
      <c r="L1426" t="s">
        <v>1761</v>
      </c>
      <c r="M1426" t="s">
        <v>3957</v>
      </c>
      <c r="N1426" s="3">
        <v>350.58</v>
      </c>
      <c r="O1426" s="4">
        <v>0.03</v>
      </c>
      <c r="P1426" t="s">
        <v>1777</v>
      </c>
      <c r="Q1426" s="4">
        <v>340.06259999999997</v>
      </c>
    </row>
    <row r="1427" spans="1:17" x14ac:dyDescent="0.3">
      <c r="A1427" t="s">
        <v>3199</v>
      </c>
      <c r="B1427" t="str">
        <f t="shared" si="22"/>
        <v>Q4</v>
      </c>
      <c r="C1427" t="str">
        <f>TEXT(Table1[[#This Row],[Order_Date]],"mmmm")</f>
        <v>December</v>
      </c>
      <c r="D1427">
        <f>YEAR(Table1[[#This Row],[Order_Date]])</f>
        <v>2024</v>
      </c>
      <c r="E1427" s="7">
        <v>45633</v>
      </c>
      <c r="F1427" s="2" t="str">
        <f>VLOOKUP(Table1[[#This Row],[Customer_ID]],Customer_Dim!$A$2:$H$501,2,FALSE)</f>
        <v>Charles Miller</v>
      </c>
      <c r="G1427" s="2" t="str">
        <f>_xlfn.XLOOKUP(Table1[[#This Row],[Customer_ID]],Customer_Dim!$A$2:$A$501,Customer_Dim!$E$2:$E$501)</f>
        <v>Lake Allisonborough</v>
      </c>
      <c r="H1427" t="s">
        <v>1086</v>
      </c>
      <c r="I1427" t="str">
        <f>VLOOKUP(Table1[[#This Row],[Product_ID]],Product_Dim!$A$2:$G$101,2,FALSE)</f>
        <v>Womens Cotton Scarf-Clothing</v>
      </c>
      <c r="J1427" t="s">
        <v>1639</v>
      </c>
      <c r="K1427" t="str">
        <f>VLOOKUP(Table1[[#This Row],[Store_ID]],Store_Dim!$A$3:$D$22,2,FALSE)</f>
        <v>Johnson-Wright-North</v>
      </c>
      <c r="L1427" t="s">
        <v>1733</v>
      </c>
      <c r="M1427" t="s">
        <v>3959</v>
      </c>
      <c r="N1427" s="3">
        <v>348.58</v>
      </c>
      <c r="O1427" s="4">
        <v>0.16</v>
      </c>
      <c r="P1427" t="s">
        <v>1772</v>
      </c>
      <c r="Q1427" s="4">
        <v>1171.2288000000001</v>
      </c>
    </row>
    <row r="1428" spans="1:17" x14ac:dyDescent="0.3">
      <c r="A1428" t="s">
        <v>3200</v>
      </c>
      <c r="B1428" t="str">
        <f t="shared" si="22"/>
        <v>Q3</v>
      </c>
      <c r="C1428" t="str">
        <f>TEXT(Table1[[#This Row],[Order_Date]],"mmmm")</f>
        <v>September</v>
      </c>
      <c r="D1428">
        <f>YEAR(Table1[[#This Row],[Order_Date]])</f>
        <v>2024</v>
      </c>
      <c r="E1428" s="7">
        <v>45548</v>
      </c>
      <c r="F1428" s="2" t="str">
        <f>VLOOKUP(Table1[[#This Row],[Customer_ID]],Customer_Dim!$A$2:$H$501,2,FALSE)</f>
        <v>John Perez</v>
      </c>
      <c r="G1428" s="2" t="str">
        <f>_xlfn.XLOOKUP(Table1[[#This Row],[Customer_ID]],Customer_Dim!$A$2:$A$501,Customer_Dim!$E$2:$E$501)</f>
        <v>Brandontown</v>
      </c>
      <c r="H1428" t="s">
        <v>1401</v>
      </c>
      <c r="I1428" t="str">
        <f>VLOOKUP(Table1[[#This Row],[Product_ID]],Product_Dim!$A$2:$G$101,2,FALSE)</f>
        <v>Women's Scarf Set-Clothing</v>
      </c>
      <c r="J1428" t="s">
        <v>1573</v>
      </c>
      <c r="K1428" t="str">
        <f>VLOOKUP(Table1[[#This Row],[Store_ID]],Store_Dim!$A$3:$D$22,2,FALSE)</f>
        <v>Johnson-Wright-North</v>
      </c>
      <c r="L1428" t="s">
        <v>1733</v>
      </c>
      <c r="M1428" t="s">
        <v>3958</v>
      </c>
      <c r="N1428" s="3">
        <v>247.66</v>
      </c>
      <c r="O1428" s="4">
        <v>0.02</v>
      </c>
      <c r="P1428" t="s">
        <v>1777</v>
      </c>
      <c r="Q1428" s="4">
        <v>728.12040000000002</v>
      </c>
    </row>
    <row r="1429" spans="1:17" x14ac:dyDescent="0.3">
      <c r="A1429" t="s">
        <v>3201</v>
      </c>
      <c r="B1429" t="str">
        <f t="shared" si="22"/>
        <v>Q4</v>
      </c>
      <c r="C1429" t="str">
        <f>TEXT(Table1[[#This Row],[Order_Date]],"mmmm")</f>
        <v>November</v>
      </c>
      <c r="D1429">
        <f>YEAR(Table1[[#This Row],[Order_Date]])</f>
        <v>2023</v>
      </c>
      <c r="E1429" s="7">
        <v>45244</v>
      </c>
      <c r="F1429" s="2" t="str">
        <f>VLOOKUP(Table1[[#This Row],[Customer_ID]],Customer_Dim!$A$2:$H$501,2,FALSE)</f>
        <v>Timothy Valenzuela</v>
      </c>
      <c r="G1429" s="2" t="str">
        <f>_xlfn.XLOOKUP(Table1[[#This Row],[Customer_ID]],Customer_Dim!$A$2:$A$501,Customer_Dim!$E$2:$E$501)</f>
        <v>Stevensshire</v>
      </c>
      <c r="H1429" t="s">
        <v>1198</v>
      </c>
      <c r="I1429" t="str">
        <f>VLOOKUP(Table1[[#This Row],[Product_ID]],Product_Dim!$A$2:$G$101,2,FALSE)</f>
        <v>Portable Power Bank-Electronics</v>
      </c>
      <c r="J1429" t="s">
        <v>1601</v>
      </c>
      <c r="K1429" t="str">
        <f>VLOOKUP(Table1[[#This Row],[Store_ID]],Store_Dim!$A$3:$D$22,2,FALSE)</f>
        <v>Shelton PLC-North</v>
      </c>
      <c r="L1429" t="s">
        <v>1755</v>
      </c>
      <c r="M1429" t="s">
        <v>3958</v>
      </c>
      <c r="N1429" s="3">
        <v>836.27</v>
      </c>
      <c r="O1429" s="4">
        <v>0.16</v>
      </c>
      <c r="P1429" t="s">
        <v>1772</v>
      </c>
      <c r="Q1429" s="4">
        <v>2107.4004</v>
      </c>
    </row>
    <row r="1430" spans="1:17" x14ac:dyDescent="0.3">
      <c r="A1430" t="s">
        <v>3202</v>
      </c>
      <c r="B1430" t="str">
        <f t="shared" si="22"/>
        <v>Q2</v>
      </c>
      <c r="C1430" t="str">
        <f>TEXT(Table1[[#This Row],[Order_Date]],"mmmm")</f>
        <v>April</v>
      </c>
      <c r="D1430">
        <f>YEAR(Table1[[#This Row],[Order_Date]])</f>
        <v>2025</v>
      </c>
      <c r="E1430" s="7">
        <v>45753</v>
      </c>
      <c r="F1430" s="2" t="str">
        <f>VLOOKUP(Table1[[#This Row],[Customer_ID]],Customer_Dim!$A$2:$H$501,2,FALSE)</f>
        <v>Anthony Garcia</v>
      </c>
      <c r="G1430" s="2" t="str">
        <f>_xlfn.XLOOKUP(Table1[[#This Row],[Customer_ID]],Customer_Dim!$A$2:$A$501,Customer_Dim!$E$2:$E$501)</f>
        <v>Taraberg</v>
      </c>
      <c r="H1430" t="s">
        <v>634</v>
      </c>
      <c r="I1430" t="str">
        <f>VLOOKUP(Table1[[#This Row],[Product_ID]],Product_Dim!$A$2:$G$101,2,FALSE)</f>
        <v>Decorative Wall Mirror-Home</v>
      </c>
      <c r="J1430" t="s">
        <v>1551</v>
      </c>
      <c r="K1430" t="str">
        <f>VLOOKUP(Table1[[#This Row],[Store_ID]],Store_Dim!$A$3:$D$22,2,FALSE)</f>
        <v>Hill, Wagner and Ballard-East</v>
      </c>
      <c r="L1430" t="s">
        <v>1748</v>
      </c>
      <c r="M1430" t="s">
        <v>3958</v>
      </c>
      <c r="N1430" s="3">
        <v>696.74</v>
      </c>
      <c r="O1430" s="4">
        <v>0.13</v>
      </c>
      <c r="P1430" t="s">
        <v>1777</v>
      </c>
      <c r="Q1430" s="4">
        <v>1818.4914000000001</v>
      </c>
    </row>
    <row r="1431" spans="1:17" x14ac:dyDescent="0.3">
      <c r="A1431" t="s">
        <v>3203</v>
      </c>
      <c r="B1431" t="str">
        <f t="shared" si="22"/>
        <v>Q2</v>
      </c>
      <c r="C1431" t="str">
        <f>TEXT(Table1[[#This Row],[Order_Date]],"mmmm")</f>
        <v>May</v>
      </c>
      <c r="D1431">
        <f>YEAR(Table1[[#This Row],[Order_Date]])</f>
        <v>2025</v>
      </c>
      <c r="E1431" s="7">
        <v>45804</v>
      </c>
      <c r="F1431" s="2" t="str">
        <f>VLOOKUP(Table1[[#This Row],[Customer_ID]],Customer_Dim!$A$2:$H$501,2,FALSE)</f>
        <v>Laura Soto</v>
      </c>
      <c r="G1431" s="2" t="str">
        <f>_xlfn.XLOOKUP(Table1[[#This Row],[Customer_ID]],Customer_Dim!$A$2:$A$501,Customer_Dim!$E$2:$E$501)</f>
        <v>Rodriguezton</v>
      </c>
      <c r="H1431" t="s">
        <v>779</v>
      </c>
      <c r="I1431" t="str">
        <f>VLOOKUP(Table1[[#This Row],[Product_ID]],Product_Dim!$A$2:$G$101,2,FALSE)</f>
        <v>Vitamin E Body Lotion-Beauty</v>
      </c>
      <c r="J1431" t="s">
        <v>1711</v>
      </c>
      <c r="K1431" t="str">
        <f>VLOOKUP(Table1[[#This Row],[Store_ID]],Store_Dim!$A$3:$D$22,2,FALSE)</f>
        <v>Gardner, Humphrey and Contreras-East</v>
      </c>
      <c r="L1431" t="s">
        <v>1753</v>
      </c>
      <c r="M1431" t="s">
        <v>3960</v>
      </c>
      <c r="N1431" s="3">
        <v>822.59</v>
      </c>
      <c r="O1431" s="4">
        <v>0.22</v>
      </c>
      <c r="P1431" t="s">
        <v>1774</v>
      </c>
      <c r="Q1431" s="4">
        <v>1283.2403999999999</v>
      </c>
    </row>
    <row r="1432" spans="1:17" x14ac:dyDescent="0.3">
      <c r="A1432" t="s">
        <v>3204</v>
      </c>
      <c r="B1432" t="str">
        <f t="shared" si="22"/>
        <v>Q4</v>
      </c>
      <c r="C1432" t="str">
        <f>TEXT(Table1[[#This Row],[Order_Date]],"mmmm")</f>
        <v>December</v>
      </c>
      <c r="D1432">
        <f>YEAR(Table1[[#This Row],[Order_Date]])</f>
        <v>2023</v>
      </c>
      <c r="E1432" s="7">
        <v>45263</v>
      </c>
      <c r="F1432" s="2" t="str">
        <f>VLOOKUP(Table1[[#This Row],[Customer_ID]],Customer_Dim!$A$2:$H$501,2,FALSE)</f>
        <v>Alejandro Doyle</v>
      </c>
      <c r="G1432" s="2" t="str">
        <f>_xlfn.XLOOKUP(Table1[[#This Row],[Customer_ID]],Customer_Dim!$A$2:$A$501,Customer_Dim!$E$2:$E$501)</f>
        <v>East Crystalton</v>
      </c>
      <c r="H1432" t="s">
        <v>713</v>
      </c>
      <c r="I1432" t="str">
        <f>VLOOKUP(Table1[[#This Row],[Product_ID]],Product_Dim!$A$2:$G$101,2,FALSE)</f>
        <v>Decorative Lamp Shade-Home</v>
      </c>
      <c r="J1432" t="s">
        <v>1681</v>
      </c>
      <c r="K1432" t="str">
        <f>VLOOKUP(Table1[[#This Row],[Store_ID]],Store_Dim!$A$3:$D$22,2,FALSE)</f>
        <v>Black-Horn-South</v>
      </c>
      <c r="L1432" t="s">
        <v>1730</v>
      </c>
      <c r="M1432" t="s">
        <v>3957</v>
      </c>
      <c r="N1432" s="3">
        <v>462.23</v>
      </c>
      <c r="O1432" s="4">
        <v>0.3</v>
      </c>
      <c r="P1432" t="s">
        <v>1774</v>
      </c>
      <c r="Q1432" s="4">
        <v>323.56099999999998</v>
      </c>
    </row>
    <row r="1433" spans="1:17" x14ac:dyDescent="0.3">
      <c r="A1433" t="s">
        <v>3205</v>
      </c>
      <c r="B1433" t="str">
        <f t="shared" si="22"/>
        <v>Q3</v>
      </c>
      <c r="C1433" t="str">
        <f>TEXT(Table1[[#This Row],[Order_Date]],"mmmm")</f>
        <v>September</v>
      </c>
      <c r="D1433">
        <f>YEAR(Table1[[#This Row],[Order_Date]])</f>
        <v>2025</v>
      </c>
      <c r="E1433" s="7">
        <v>45906</v>
      </c>
      <c r="F1433" s="2" t="str">
        <f>VLOOKUP(Table1[[#This Row],[Customer_ID]],Customer_Dim!$A$2:$H$501,2,FALSE)</f>
        <v>Monica Wright</v>
      </c>
      <c r="G1433" s="2" t="str">
        <f>_xlfn.XLOOKUP(Table1[[#This Row],[Customer_ID]],Customer_Dim!$A$2:$A$501,Customer_Dim!$E$2:$E$501)</f>
        <v>Paulside</v>
      </c>
      <c r="H1433" t="s">
        <v>1367</v>
      </c>
      <c r="I1433" t="str">
        <f>VLOOKUP(Table1[[#This Row],[Product_ID]],Product_Dim!$A$2:$G$101,2,FALSE)</f>
        <v>Smart Home WiFi Camera-Electronics</v>
      </c>
      <c r="J1433" t="s">
        <v>1607</v>
      </c>
      <c r="K1433" t="str">
        <f>VLOOKUP(Table1[[#This Row],[Store_ID]],Store_Dim!$A$3:$D$22,2,FALSE)</f>
        <v>Holloway Ltd-North</v>
      </c>
      <c r="L1433" t="s">
        <v>1759</v>
      </c>
      <c r="M1433" t="s">
        <v>3957</v>
      </c>
      <c r="N1433" s="3">
        <v>361.09</v>
      </c>
      <c r="O1433" s="4">
        <v>0.06</v>
      </c>
      <c r="P1433" t="s">
        <v>1774</v>
      </c>
      <c r="Q1433" s="4">
        <v>339.42459999999988</v>
      </c>
    </row>
    <row r="1434" spans="1:17" x14ac:dyDescent="0.3">
      <c r="A1434" t="s">
        <v>3206</v>
      </c>
      <c r="B1434" t="str">
        <f t="shared" si="22"/>
        <v>Q4</v>
      </c>
      <c r="C1434" t="str">
        <f>TEXT(Table1[[#This Row],[Order_Date]],"mmmm")</f>
        <v>November</v>
      </c>
      <c r="D1434">
        <f>YEAR(Table1[[#This Row],[Order_Date]])</f>
        <v>2023</v>
      </c>
      <c r="E1434" s="7">
        <v>45243</v>
      </c>
      <c r="F1434" s="2" t="str">
        <f>VLOOKUP(Table1[[#This Row],[Customer_ID]],Customer_Dim!$A$2:$H$501,2,FALSE)</f>
        <v>Kristine Higgins</v>
      </c>
      <c r="G1434" s="2" t="str">
        <f>_xlfn.XLOOKUP(Table1[[#This Row],[Customer_ID]],Customer_Dim!$A$2:$A$501,Customer_Dim!$E$2:$E$501)</f>
        <v>Jennifertown</v>
      </c>
      <c r="H1434" t="s">
        <v>1183</v>
      </c>
      <c r="I1434" t="str">
        <f>VLOOKUP(Table1[[#This Row],[Product_ID]],Product_Dim!$A$2:$G$101,2,FALSE)</f>
        <v>Shin Guards – Adult-Sports</v>
      </c>
      <c r="J1434" t="s">
        <v>1669</v>
      </c>
      <c r="K1434" t="str">
        <f>VLOOKUP(Table1[[#This Row],[Store_ID]],Store_Dim!$A$3:$D$22,2,FALSE)</f>
        <v>Mann-Austin-East</v>
      </c>
      <c r="L1434" t="s">
        <v>1763</v>
      </c>
      <c r="M1434" t="s">
        <v>3958</v>
      </c>
      <c r="N1434" s="3">
        <v>59.37</v>
      </c>
      <c r="O1434" s="4">
        <v>0.03</v>
      </c>
      <c r="P1434" t="s">
        <v>1774</v>
      </c>
      <c r="Q1434" s="4">
        <v>172.76669999999999</v>
      </c>
    </row>
    <row r="1435" spans="1:17" x14ac:dyDescent="0.3">
      <c r="A1435" t="s">
        <v>3207</v>
      </c>
      <c r="B1435" t="str">
        <f t="shared" si="22"/>
        <v>Q1</v>
      </c>
      <c r="C1435" t="str">
        <f>TEXT(Table1[[#This Row],[Order_Date]],"mmmm")</f>
        <v>January</v>
      </c>
      <c r="D1435">
        <f>YEAR(Table1[[#This Row],[Order_Date]])</f>
        <v>2025</v>
      </c>
      <c r="E1435" s="7">
        <v>45686</v>
      </c>
      <c r="F1435" s="2" t="str">
        <f>VLOOKUP(Table1[[#This Row],[Customer_ID]],Customer_Dim!$A$2:$H$501,2,FALSE)</f>
        <v>Thomas Phillips</v>
      </c>
      <c r="G1435" s="2" t="str">
        <f>_xlfn.XLOOKUP(Table1[[#This Row],[Customer_ID]],Customer_Dim!$A$2:$A$501,Customer_Dim!$E$2:$E$501)</f>
        <v>Luisfurt</v>
      </c>
      <c r="H1435" t="s">
        <v>143</v>
      </c>
      <c r="I1435" t="str">
        <f>VLOOKUP(Table1[[#This Row],[Product_ID]],Product_Dim!$A$2:$G$101,2,FALSE)</f>
        <v>Noise-Canceling Headphones-Electronics</v>
      </c>
      <c r="J1435" t="s">
        <v>1603</v>
      </c>
      <c r="K1435" t="str">
        <f>VLOOKUP(Table1[[#This Row],[Store_ID]],Store_Dim!$A$3:$D$22,2,FALSE)</f>
        <v>Martinez, Adkins and Johnson-North</v>
      </c>
      <c r="L1435" t="s">
        <v>1728</v>
      </c>
      <c r="M1435" t="s">
        <v>3958</v>
      </c>
      <c r="N1435" s="3">
        <v>765.21</v>
      </c>
      <c r="O1435" s="4">
        <v>0.14000000000000001</v>
      </c>
      <c r="P1435" t="s">
        <v>1777</v>
      </c>
      <c r="Q1435" s="4">
        <v>1974.2418</v>
      </c>
    </row>
    <row r="1436" spans="1:17" x14ac:dyDescent="0.3">
      <c r="A1436" t="s">
        <v>3208</v>
      </c>
      <c r="B1436" t="str">
        <f t="shared" si="22"/>
        <v>Q2</v>
      </c>
      <c r="C1436" t="str">
        <f>TEXT(Table1[[#This Row],[Order_Date]],"mmmm")</f>
        <v>June</v>
      </c>
      <c r="D1436">
        <f>YEAR(Table1[[#This Row],[Order_Date]])</f>
        <v>2024</v>
      </c>
      <c r="E1436" s="7">
        <v>45472</v>
      </c>
      <c r="F1436" s="2" t="str">
        <f>VLOOKUP(Table1[[#This Row],[Customer_ID]],Customer_Dim!$A$2:$H$501,2,FALSE)</f>
        <v>Brian Hammond</v>
      </c>
      <c r="G1436" s="2" t="str">
        <f>_xlfn.XLOOKUP(Table1[[#This Row],[Customer_ID]],Customer_Dim!$A$2:$A$501,Customer_Dim!$E$2:$E$501)</f>
        <v>North Nicholas</v>
      </c>
      <c r="H1436" t="s">
        <v>773</v>
      </c>
      <c r="I1436" t="str">
        <f>VLOOKUP(Table1[[#This Row],[Product_ID]],Product_Dim!$A$2:$G$101,2,FALSE)</f>
        <v>Vitamin C Face Serum-Beauty</v>
      </c>
      <c r="J1436" t="s">
        <v>1587</v>
      </c>
      <c r="K1436" t="str">
        <f>VLOOKUP(Table1[[#This Row],[Store_ID]],Store_Dim!$A$3:$D$22,2,FALSE)</f>
        <v>Thomas, Bridges and Harris-North</v>
      </c>
      <c r="L1436" t="s">
        <v>1751</v>
      </c>
      <c r="M1436" t="s">
        <v>3959</v>
      </c>
      <c r="N1436" s="3">
        <v>303.56</v>
      </c>
      <c r="O1436" s="4">
        <v>0.2</v>
      </c>
      <c r="P1436" t="s">
        <v>1777</v>
      </c>
      <c r="Q1436" s="4">
        <v>971.39200000000005</v>
      </c>
    </row>
    <row r="1437" spans="1:17" x14ac:dyDescent="0.3">
      <c r="A1437" t="s">
        <v>3209</v>
      </c>
      <c r="B1437" t="str">
        <f t="shared" si="22"/>
        <v>Q2</v>
      </c>
      <c r="C1437" t="str">
        <f>TEXT(Table1[[#This Row],[Order_Date]],"mmmm")</f>
        <v>May</v>
      </c>
      <c r="D1437">
        <f>YEAR(Table1[[#This Row],[Order_Date]])</f>
        <v>2025</v>
      </c>
      <c r="E1437" s="7">
        <v>45779</v>
      </c>
      <c r="F1437" s="2" t="str">
        <f>VLOOKUP(Table1[[#This Row],[Customer_ID]],Customer_Dim!$A$2:$H$501,2,FALSE)</f>
        <v>Adam Castro</v>
      </c>
      <c r="G1437" s="2" t="str">
        <f>_xlfn.XLOOKUP(Table1[[#This Row],[Customer_ID]],Customer_Dim!$A$2:$A$501,Customer_Dim!$E$2:$E$501)</f>
        <v>New Donnabury</v>
      </c>
      <c r="H1437" t="s">
        <v>1355</v>
      </c>
      <c r="I1437" t="str">
        <f>VLOOKUP(Table1[[#This Row],[Product_ID]],Product_Dim!$A$2:$G$101,2,FALSE)</f>
        <v>Decorative Floor Vase-Home</v>
      </c>
      <c r="J1437" t="s">
        <v>1577</v>
      </c>
      <c r="K1437" t="str">
        <f>VLOOKUP(Table1[[#This Row],[Store_ID]],Store_Dim!$A$3:$D$22,2,FALSE)</f>
        <v>Rivera-Warner-East</v>
      </c>
      <c r="L1437" t="s">
        <v>1725</v>
      </c>
      <c r="M1437" t="s">
        <v>3957</v>
      </c>
      <c r="N1437" s="3">
        <v>640.92999999999995</v>
      </c>
      <c r="O1437" s="4">
        <v>0.19</v>
      </c>
      <c r="P1437" t="s">
        <v>1774</v>
      </c>
      <c r="Q1437" s="4">
        <v>519.15329999999994</v>
      </c>
    </row>
    <row r="1438" spans="1:17" x14ac:dyDescent="0.3">
      <c r="A1438" t="s">
        <v>3210</v>
      </c>
      <c r="B1438" t="str">
        <f t="shared" si="22"/>
        <v>Q2</v>
      </c>
      <c r="C1438" t="str">
        <f>TEXT(Table1[[#This Row],[Order_Date]],"mmmm")</f>
        <v>June</v>
      </c>
      <c r="D1438">
        <f>YEAR(Table1[[#This Row],[Order_Date]])</f>
        <v>2025</v>
      </c>
      <c r="E1438" s="7">
        <v>45830</v>
      </c>
      <c r="F1438" s="2" t="str">
        <f>VLOOKUP(Table1[[#This Row],[Customer_ID]],Customer_Dim!$A$2:$H$501,2,FALSE)</f>
        <v>Maria Davis</v>
      </c>
      <c r="G1438" s="2" t="str">
        <f>_xlfn.XLOOKUP(Table1[[#This Row],[Customer_ID]],Customer_Dim!$A$2:$A$501,Customer_Dim!$E$2:$E$501)</f>
        <v>Avilahaven</v>
      </c>
      <c r="H1438" t="s">
        <v>570</v>
      </c>
      <c r="I1438" t="str">
        <f>VLOOKUP(Table1[[#This Row],[Product_ID]],Product_Dim!$A$2:$G$101,2,FALSE)</f>
        <v>Kitchen Cutting Board-Home</v>
      </c>
      <c r="J1438" t="s">
        <v>1695</v>
      </c>
      <c r="K1438" t="str">
        <f>VLOOKUP(Table1[[#This Row],[Store_ID]],Store_Dim!$A$3:$D$22,2,FALSE)</f>
        <v>Hill, Wagner and Ballard-East</v>
      </c>
      <c r="L1438" t="s">
        <v>1748</v>
      </c>
      <c r="M1438" t="s">
        <v>3960</v>
      </c>
      <c r="N1438" s="3">
        <v>611.25</v>
      </c>
      <c r="O1438" s="4">
        <v>0.22</v>
      </c>
      <c r="P1438" t="s">
        <v>1772</v>
      </c>
      <c r="Q1438" s="4">
        <v>953.55000000000007</v>
      </c>
    </row>
    <row r="1439" spans="1:17" x14ac:dyDescent="0.3">
      <c r="A1439" t="s">
        <v>3211</v>
      </c>
      <c r="B1439" t="str">
        <f t="shared" si="22"/>
        <v>Q2</v>
      </c>
      <c r="C1439" t="str">
        <f>TEXT(Table1[[#This Row],[Order_Date]],"mmmm")</f>
        <v>April</v>
      </c>
      <c r="D1439">
        <f>YEAR(Table1[[#This Row],[Order_Date]])</f>
        <v>2025</v>
      </c>
      <c r="E1439" s="7">
        <v>45756</v>
      </c>
      <c r="F1439" s="2" t="str">
        <f>VLOOKUP(Table1[[#This Row],[Customer_ID]],Customer_Dim!$A$2:$H$501,2,FALSE)</f>
        <v>Paul Cox</v>
      </c>
      <c r="G1439" s="2" t="str">
        <f>_xlfn.XLOOKUP(Table1[[#This Row],[Customer_ID]],Customer_Dim!$A$2:$A$501,Customer_Dim!$E$2:$E$501)</f>
        <v>East Julie</v>
      </c>
      <c r="H1439" t="s">
        <v>1406</v>
      </c>
      <c r="I1439" t="str">
        <f>VLOOKUP(Table1[[#This Row],[Product_ID]],Product_Dim!$A$2:$G$101,2,FALSE)</f>
        <v>Women's Hair Dryer Brush-Beauty</v>
      </c>
      <c r="J1439" t="s">
        <v>1655</v>
      </c>
      <c r="K1439" t="str">
        <f>VLOOKUP(Table1[[#This Row],[Store_ID]],Store_Dim!$A$3:$D$22,2,FALSE)</f>
        <v>Martinez, Adkins and Johnson-North</v>
      </c>
      <c r="L1439" t="s">
        <v>1728</v>
      </c>
      <c r="M1439" t="s">
        <v>3957</v>
      </c>
      <c r="N1439" s="3">
        <v>209.93</v>
      </c>
      <c r="O1439" s="4">
        <v>0.21</v>
      </c>
      <c r="P1439" t="s">
        <v>1772</v>
      </c>
      <c r="Q1439" s="4">
        <v>165.84469999999999</v>
      </c>
    </row>
    <row r="1440" spans="1:17" x14ac:dyDescent="0.3">
      <c r="A1440" t="s">
        <v>3212</v>
      </c>
      <c r="B1440" t="str">
        <f t="shared" si="22"/>
        <v>Q3</v>
      </c>
      <c r="C1440" t="str">
        <f>TEXT(Table1[[#This Row],[Order_Date]],"mmmm")</f>
        <v>July</v>
      </c>
      <c r="D1440">
        <f>YEAR(Table1[[#This Row],[Order_Date]])</f>
        <v>2025</v>
      </c>
      <c r="E1440" s="7">
        <v>45847</v>
      </c>
      <c r="F1440" s="2" t="str">
        <f>VLOOKUP(Table1[[#This Row],[Customer_ID]],Customer_Dim!$A$2:$H$501,2,FALSE)</f>
        <v>Ashley Griffin</v>
      </c>
      <c r="G1440" s="2" t="str">
        <f>_xlfn.XLOOKUP(Table1[[#This Row],[Customer_ID]],Customer_Dim!$A$2:$A$501,Customer_Dim!$E$2:$E$501)</f>
        <v>New Dawnton</v>
      </c>
      <c r="H1440" t="s">
        <v>382</v>
      </c>
      <c r="I1440" t="str">
        <f>VLOOKUP(Table1[[#This Row],[Product_ID]],Product_Dim!$A$2:$G$101,2,FALSE)</f>
        <v>Stainless Steel Cookware Set-Home</v>
      </c>
      <c r="J1440" t="s">
        <v>1721</v>
      </c>
      <c r="K1440" t="str">
        <f>VLOOKUP(Table1[[#This Row],[Store_ID]],Store_Dim!$A$3:$D$22,2,FALSE)</f>
        <v>Hill, Wagner and Ballard-East</v>
      </c>
      <c r="L1440" t="s">
        <v>1748</v>
      </c>
      <c r="M1440" t="s">
        <v>3958</v>
      </c>
      <c r="N1440" s="3">
        <v>130.38999999999999</v>
      </c>
      <c r="O1440" s="4">
        <v>0.24</v>
      </c>
      <c r="P1440" t="s">
        <v>1774</v>
      </c>
      <c r="Q1440" s="4">
        <v>297.28919999999999</v>
      </c>
    </row>
    <row r="1441" spans="1:17" x14ac:dyDescent="0.3">
      <c r="A1441" t="s">
        <v>3213</v>
      </c>
      <c r="B1441" t="str">
        <f t="shared" si="22"/>
        <v>Q1</v>
      </c>
      <c r="C1441" t="str">
        <f>TEXT(Table1[[#This Row],[Order_Date]],"mmmm")</f>
        <v>January</v>
      </c>
      <c r="D1441">
        <f>YEAR(Table1[[#This Row],[Order_Date]])</f>
        <v>2024</v>
      </c>
      <c r="E1441" s="7">
        <v>45322</v>
      </c>
      <c r="F1441" s="2" t="str">
        <f>VLOOKUP(Table1[[#This Row],[Customer_ID]],Customer_Dim!$A$2:$H$501,2,FALSE)</f>
        <v>James Powell</v>
      </c>
      <c r="G1441" s="2" t="str">
        <f>_xlfn.XLOOKUP(Table1[[#This Row],[Customer_ID]],Customer_Dim!$A$2:$A$501,Customer_Dim!$E$2:$E$501)</f>
        <v>West Beverlymouth</v>
      </c>
      <c r="H1441" t="s">
        <v>914</v>
      </c>
      <c r="I1441" t="str">
        <f>VLOOKUP(Table1[[#This Row],[Product_ID]],Product_Dim!$A$2:$G$101,2,FALSE)</f>
        <v>USB-C Laptop Charger-Electronics</v>
      </c>
      <c r="J1441" t="s">
        <v>1709</v>
      </c>
      <c r="K1441" t="str">
        <f>VLOOKUP(Table1[[#This Row],[Store_ID]],Store_Dim!$A$3:$D$22,2,FALSE)</f>
        <v>Martinez-Mullins-South</v>
      </c>
      <c r="L1441" t="s">
        <v>1742</v>
      </c>
      <c r="M1441" t="s">
        <v>3960</v>
      </c>
      <c r="N1441" s="3">
        <v>846.18</v>
      </c>
      <c r="O1441" s="4">
        <v>0.1</v>
      </c>
      <c r="P1441" t="s">
        <v>1777</v>
      </c>
      <c r="Q1441" s="4">
        <v>1523.124</v>
      </c>
    </row>
    <row r="1442" spans="1:17" x14ac:dyDescent="0.3">
      <c r="A1442" t="s">
        <v>3214</v>
      </c>
      <c r="B1442" t="str">
        <f t="shared" si="22"/>
        <v>Q2</v>
      </c>
      <c r="C1442" t="str">
        <f>TEXT(Table1[[#This Row],[Order_Date]],"mmmm")</f>
        <v>June</v>
      </c>
      <c r="D1442">
        <f>YEAR(Table1[[#This Row],[Order_Date]])</f>
        <v>2025</v>
      </c>
      <c r="E1442" s="7">
        <v>45829</v>
      </c>
      <c r="F1442" s="2" t="str">
        <f>VLOOKUP(Table1[[#This Row],[Customer_ID]],Customer_Dim!$A$2:$H$501,2,FALSE)</f>
        <v>Ryan Torres</v>
      </c>
      <c r="G1442" s="2" t="str">
        <f>_xlfn.XLOOKUP(Table1[[#This Row],[Customer_ID]],Customer_Dim!$A$2:$A$501,Customer_Dim!$E$2:$E$501)</f>
        <v>Guerreroport</v>
      </c>
      <c r="H1442" t="s">
        <v>1097</v>
      </c>
      <c r="I1442" t="str">
        <f>VLOOKUP(Table1[[#This Row],[Product_ID]],Product_Dim!$A$2:$G$101,2,FALSE)</f>
        <v>Kitchen Storage Rack-Home</v>
      </c>
      <c r="J1442" t="s">
        <v>1663</v>
      </c>
      <c r="K1442" t="str">
        <f>VLOOKUP(Table1[[#This Row],[Store_ID]],Store_Dim!$A$3:$D$22,2,FALSE)</f>
        <v>Mcdonald Inc-South</v>
      </c>
      <c r="L1442" t="s">
        <v>1754</v>
      </c>
      <c r="M1442" t="s">
        <v>3960</v>
      </c>
      <c r="N1442" s="3">
        <v>424.53</v>
      </c>
      <c r="O1442" s="4">
        <v>0.14000000000000001</v>
      </c>
      <c r="P1442" t="s">
        <v>1777</v>
      </c>
      <c r="Q1442" s="4">
        <v>730.19159999999999</v>
      </c>
    </row>
    <row r="1443" spans="1:17" x14ac:dyDescent="0.3">
      <c r="A1443" t="s">
        <v>3215</v>
      </c>
      <c r="B1443" t="str">
        <f t="shared" si="22"/>
        <v>Q3</v>
      </c>
      <c r="C1443" t="str">
        <f>TEXT(Table1[[#This Row],[Order_Date]],"mmmm")</f>
        <v>September</v>
      </c>
      <c r="D1443">
        <f>YEAR(Table1[[#This Row],[Order_Date]])</f>
        <v>2024</v>
      </c>
      <c r="E1443" s="7">
        <v>45539</v>
      </c>
      <c r="F1443" s="2" t="str">
        <f>VLOOKUP(Table1[[#This Row],[Customer_ID]],Customer_Dim!$A$2:$H$501,2,FALSE)</f>
        <v>Sarah Stewart</v>
      </c>
      <c r="G1443" s="2" t="str">
        <f>_xlfn.XLOOKUP(Table1[[#This Row],[Customer_ID]],Customer_Dim!$A$2:$A$501,Customer_Dim!$E$2:$E$501)</f>
        <v>East Richard</v>
      </c>
      <c r="H1443" t="s">
        <v>817</v>
      </c>
      <c r="I1443" t="str">
        <f>VLOOKUP(Table1[[#This Row],[Product_ID]],Product_Dim!$A$2:$G$101,2,FALSE)</f>
        <v>Sports Wrist Sweatbands-Sports</v>
      </c>
      <c r="J1443" t="s">
        <v>1699</v>
      </c>
      <c r="K1443" t="str">
        <f>VLOOKUP(Table1[[#This Row],[Store_ID]],Store_Dim!$A$3:$D$22,2,FALSE)</f>
        <v>Mcdonald Inc-South</v>
      </c>
      <c r="L1443" t="s">
        <v>1754</v>
      </c>
      <c r="M1443" t="s">
        <v>3959</v>
      </c>
      <c r="N1443" s="3">
        <v>450.42</v>
      </c>
      <c r="O1443" s="4">
        <v>0.08</v>
      </c>
      <c r="P1443" t="s">
        <v>1777</v>
      </c>
      <c r="Q1443" s="4">
        <v>1657.5455999999999</v>
      </c>
    </row>
    <row r="1444" spans="1:17" x14ac:dyDescent="0.3">
      <c r="A1444" t="s">
        <v>3216</v>
      </c>
      <c r="B1444" t="str">
        <f t="shared" si="22"/>
        <v>Q3</v>
      </c>
      <c r="C1444" t="str">
        <f>TEXT(Table1[[#This Row],[Order_Date]],"mmmm")</f>
        <v>August</v>
      </c>
      <c r="D1444">
        <f>YEAR(Table1[[#This Row],[Order_Date]])</f>
        <v>2025</v>
      </c>
      <c r="E1444" s="7">
        <v>45893</v>
      </c>
      <c r="F1444" s="2" t="str">
        <f>VLOOKUP(Table1[[#This Row],[Customer_ID]],Customer_Dim!$A$2:$H$501,2,FALSE)</f>
        <v>Maria Sanchez</v>
      </c>
      <c r="G1444" s="2" t="str">
        <f>_xlfn.XLOOKUP(Table1[[#This Row],[Customer_ID]],Customer_Dim!$A$2:$A$501,Customer_Dim!$E$2:$E$501)</f>
        <v>East Peterbury</v>
      </c>
      <c r="H1444" t="s">
        <v>518</v>
      </c>
      <c r="I1444" t="str">
        <f>VLOOKUP(Table1[[#This Row],[Product_ID]],Product_Dim!$A$2:$G$101,2,FALSE)</f>
        <v>Wireless Bluetooth Speaker-Electronics</v>
      </c>
      <c r="J1444" t="s">
        <v>1575</v>
      </c>
      <c r="K1444" t="str">
        <f>VLOOKUP(Table1[[#This Row],[Store_ID]],Store_Dim!$A$3:$D$22,2,FALSE)</f>
        <v>Moore, Padilla and Butler-South</v>
      </c>
      <c r="L1444" t="s">
        <v>1746</v>
      </c>
      <c r="M1444" t="s">
        <v>3959</v>
      </c>
      <c r="N1444" s="3">
        <v>896.91</v>
      </c>
      <c r="O1444" s="4">
        <v>0.1</v>
      </c>
      <c r="P1444" t="s">
        <v>1772</v>
      </c>
      <c r="Q1444" s="4">
        <v>3228.8760000000002</v>
      </c>
    </row>
    <row r="1445" spans="1:17" x14ac:dyDescent="0.3">
      <c r="A1445" t="s">
        <v>3217</v>
      </c>
      <c r="B1445" t="str">
        <f t="shared" si="22"/>
        <v>Q2</v>
      </c>
      <c r="C1445" t="str">
        <f>TEXT(Table1[[#This Row],[Order_Date]],"mmmm")</f>
        <v>June</v>
      </c>
      <c r="D1445">
        <f>YEAR(Table1[[#This Row],[Order_Date]])</f>
        <v>2025</v>
      </c>
      <c r="E1445" s="7">
        <v>45814</v>
      </c>
      <c r="F1445" s="2" t="str">
        <f>VLOOKUP(Table1[[#This Row],[Customer_ID]],Customer_Dim!$A$2:$H$501,2,FALSE)</f>
        <v>Sara Ingram</v>
      </c>
      <c r="G1445" s="2" t="str">
        <f>_xlfn.XLOOKUP(Table1[[#This Row],[Customer_ID]],Customer_Dim!$A$2:$A$501,Customer_Dim!$E$2:$E$501)</f>
        <v>East Dillonview</v>
      </c>
      <c r="H1445" t="s">
        <v>1475</v>
      </c>
      <c r="I1445" t="str">
        <f>VLOOKUP(Table1[[#This Row],[Product_ID]],Product_Dim!$A$2:$G$101,2,FALSE)</f>
        <v>Cricket Bat-Sports</v>
      </c>
      <c r="J1445" t="s">
        <v>1717</v>
      </c>
      <c r="K1445" t="str">
        <f>VLOOKUP(Table1[[#This Row],[Store_ID]],Store_Dim!$A$3:$D$22,2,FALSE)</f>
        <v>Hill, Wagner and Ballard-East</v>
      </c>
      <c r="L1445" t="s">
        <v>1748</v>
      </c>
      <c r="M1445" t="s">
        <v>3958</v>
      </c>
      <c r="N1445" s="3">
        <v>679.38</v>
      </c>
      <c r="O1445" s="4">
        <v>0.3</v>
      </c>
      <c r="P1445" t="s">
        <v>1777</v>
      </c>
      <c r="Q1445" s="4">
        <v>1426.6980000000001</v>
      </c>
    </row>
    <row r="1446" spans="1:17" x14ac:dyDescent="0.3">
      <c r="A1446" t="s">
        <v>3218</v>
      </c>
      <c r="B1446" t="str">
        <f t="shared" si="22"/>
        <v>Q4</v>
      </c>
      <c r="C1446" t="str">
        <f>TEXT(Table1[[#This Row],[Order_Date]],"mmmm")</f>
        <v>October</v>
      </c>
      <c r="D1446">
        <f>YEAR(Table1[[#This Row],[Order_Date]])</f>
        <v>2024</v>
      </c>
      <c r="E1446" s="7">
        <v>45571</v>
      </c>
      <c r="F1446" s="2" t="str">
        <f>VLOOKUP(Table1[[#This Row],[Customer_ID]],Customer_Dim!$A$2:$H$501,2,FALSE)</f>
        <v>John Scott</v>
      </c>
      <c r="G1446" s="2" t="str">
        <f>_xlfn.XLOOKUP(Table1[[#This Row],[Customer_ID]],Customer_Dim!$A$2:$A$501,Customer_Dim!$E$2:$E$501)</f>
        <v>South Christopher</v>
      </c>
      <c r="H1446" t="s">
        <v>75</v>
      </c>
      <c r="I1446" t="str">
        <f>VLOOKUP(Table1[[#This Row],[Product_ID]],Product_Dim!$A$2:$G$101,2,FALSE)</f>
        <v>Wall-Mounted Spice Rack-Home</v>
      </c>
      <c r="J1446" t="s">
        <v>1683</v>
      </c>
      <c r="K1446" t="str">
        <f>VLOOKUP(Table1[[#This Row],[Store_ID]],Store_Dim!$A$3:$D$22,2,FALSE)</f>
        <v>Frederick-Wright-West</v>
      </c>
      <c r="L1446" t="s">
        <v>1757</v>
      </c>
      <c r="M1446" t="s">
        <v>3958</v>
      </c>
      <c r="N1446" s="3">
        <v>483.63</v>
      </c>
      <c r="O1446" s="4">
        <v>0</v>
      </c>
      <c r="P1446" t="s">
        <v>1772</v>
      </c>
      <c r="Q1446" s="4">
        <v>1450.89</v>
      </c>
    </row>
    <row r="1447" spans="1:17" x14ac:dyDescent="0.3">
      <c r="A1447" t="s">
        <v>3219</v>
      </c>
      <c r="B1447" t="str">
        <f t="shared" si="22"/>
        <v>Q3</v>
      </c>
      <c r="C1447" t="str">
        <f>TEXT(Table1[[#This Row],[Order_Date]],"mmmm")</f>
        <v>September</v>
      </c>
      <c r="D1447">
        <f>YEAR(Table1[[#This Row],[Order_Date]])</f>
        <v>2024</v>
      </c>
      <c r="E1447" s="7">
        <v>45542</v>
      </c>
      <c r="F1447" s="2" t="str">
        <f>VLOOKUP(Table1[[#This Row],[Customer_ID]],Customer_Dim!$A$2:$H$501,2,FALSE)</f>
        <v>Jessica Acevedo</v>
      </c>
      <c r="G1447" s="2" t="str">
        <f>_xlfn.XLOOKUP(Table1[[#This Row],[Customer_ID]],Customer_Dim!$A$2:$A$501,Customer_Dim!$E$2:$E$501)</f>
        <v>Amybury</v>
      </c>
      <c r="H1447" t="s">
        <v>124</v>
      </c>
      <c r="I1447" t="str">
        <f>VLOOKUP(Table1[[#This Row],[Product_ID]],Product_Dim!$A$2:$G$101,2,FALSE)</f>
        <v>Portable Power Bank-Electronics</v>
      </c>
      <c r="J1447" t="s">
        <v>1601</v>
      </c>
      <c r="K1447" t="str">
        <f>VLOOKUP(Table1[[#This Row],[Store_ID]],Store_Dim!$A$3:$D$22,2,FALSE)</f>
        <v>Rivera-Warner-East</v>
      </c>
      <c r="L1447" t="s">
        <v>1725</v>
      </c>
      <c r="M1447" t="s">
        <v>3958</v>
      </c>
      <c r="N1447" s="3">
        <v>158.27000000000001</v>
      </c>
      <c r="O1447" s="4">
        <v>0.24</v>
      </c>
      <c r="P1447" t="s">
        <v>1777</v>
      </c>
      <c r="Q1447" s="4">
        <v>360.85559999999998</v>
      </c>
    </row>
    <row r="1448" spans="1:17" x14ac:dyDescent="0.3">
      <c r="A1448" t="s">
        <v>3220</v>
      </c>
      <c r="B1448" t="str">
        <f t="shared" si="22"/>
        <v>Q2</v>
      </c>
      <c r="C1448" t="str">
        <f>TEXT(Table1[[#This Row],[Order_Date]],"mmmm")</f>
        <v>April</v>
      </c>
      <c r="D1448">
        <f>YEAR(Table1[[#This Row],[Order_Date]])</f>
        <v>2025</v>
      </c>
      <c r="E1448" s="7">
        <v>45758</v>
      </c>
      <c r="F1448" s="2" t="str">
        <f>VLOOKUP(Table1[[#This Row],[Customer_ID]],Customer_Dim!$A$2:$H$501,2,FALSE)</f>
        <v>Tyler Conrad</v>
      </c>
      <c r="G1448" s="2" t="str">
        <f>_xlfn.XLOOKUP(Table1[[#This Row],[Customer_ID]],Customer_Dim!$A$2:$A$501,Customer_Dim!$E$2:$E$501)</f>
        <v>North Curtischester</v>
      </c>
      <c r="H1448" t="s">
        <v>397</v>
      </c>
      <c r="I1448" t="str">
        <f>VLOOKUP(Table1[[#This Row],[Product_ID]],Product_Dim!$A$2:$G$101,2,FALSE)</f>
        <v>Women's Casual Hoodie-Clothing</v>
      </c>
      <c r="J1448" t="s">
        <v>1527</v>
      </c>
      <c r="K1448" t="str">
        <f>VLOOKUP(Table1[[#This Row],[Store_ID]],Store_Dim!$A$3:$D$22,2,FALSE)</f>
        <v>Shelton PLC-North</v>
      </c>
      <c r="L1448" t="s">
        <v>1755</v>
      </c>
      <c r="M1448" t="s">
        <v>3959</v>
      </c>
      <c r="N1448" s="3">
        <v>601.5</v>
      </c>
      <c r="O1448" s="4">
        <v>0.18</v>
      </c>
      <c r="P1448" t="s">
        <v>1772</v>
      </c>
      <c r="Q1448" s="4">
        <v>1972.92</v>
      </c>
    </row>
    <row r="1449" spans="1:17" x14ac:dyDescent="0.3">
      <c r="A1449" t="s">
        <v>3221</v>
      </c>
      <c r="B1449" t="str">
        <f t="shared" si="22"/>
        <v>Q1</v>
      </c>
      <c r="C1449" t="str">
        <f>TEXT(Table1[[#This Row],[Order_Date]],"mmmm")</f>
        <v>February</v>
      </c>
      <c r="D1449">
        <f>YEAR(Table1[[#This Row],[Order_Date]])</f>
        <v>2025</v>
      </c>
      <c r="E1449" s="7">
        <v>45709</v>
      </c>
      <c r="F1449" s="2" t="str">
        <f>VLOOKUP(Table1[[#This Row],[Customer_ID]],Customer_Dim!$A$2:$H$501,2,FALSE)</f>
        <v>Roy Cole</v>
      </c>
      <c r="G1449" s="2" t="str">
        <f>_xlfn.XLOOKUP(Table1[[#This Row],[Customer_ID]],Customer_Dim!$A$2:$A$501,Customer_Dim!$E$2:$E$501)</f>
        <v>North Cynthiatown</v>
      </c>
      <c r="H1449" t="s">
        <v>252</v>
      </c>
      <c r="I1449" t="str">
        <f>VLOOKUP(Table1[[#This Row],[Product_ID]],Product_Dim!$A$2:$G$101,2,FALSE)</f>
        <v>Basketball-Sports</v>
      </c>
      <c r="J1449" t="s">
        <v>1585</v>
      </c>
      <c r="K1449" t="str">
        <f>VLOOKUP(Table1[[#This Row],[Store_ID]],Store_Dim!$A$3:$D$22,2,FALSE)</f>
        <v>Guerrero-Schmitt-East</v>
      </c>
      <c r="L1449" t="s">
        <v>1761</v>
      </c>
      <c r="M1449" t="s">
        <v>3960</v>
      </c>
      <c r="N1449" s="3">
        <v>46.39</v>
      </c>
      <c r="O1449" s="4">
        <v>7.0000000000000007E-2</v>
      </c>
      <c r="P1449" t="s">
        <v>1772</v>
      </c>
      <c r="Q1449" s="4">
        <v>86.285399999999996</v>
      </c>
    </row>
    <row r="1450" spans="1:17" x14ac:dyDescent="0.3">
      <c r="A1450" t="s">
        <v>3222</v>
      </c>
      <c r="B1450" t="str">
        <f t="shared" si="22"/>
        <v>Q4</v>
      </c>
      <c r="C1450" t="str">
        <f>TEXT(Table1[[#This Row],[Order_Date]],"mmmm")</f>
        <v>October</v>
      </c>
      <c r="D1450">
        <f>YEAR(Table1[[#This Row],[Order_Date]])</f>
        <v>2024</v>
      </c>
      <c r="E1450" s="7">
        <v>45587</v>
      </c>
      <c r="F1450" s="2" t="str">
        <f>VLOOKUP(Table1[[#This Row],[Customer_ID]],Customer_Dim!$A$2:$H$501,2,FALSE)</f>
        <v>Michael Jones</v>
      </c>
      <c r="G1450" s="2" t="str">
        <f>_xlfn.XLOOKUP(Table1[[#This Row],[Customer_ID]],Customer_Dim!$A$2:$A$501,Customer_Dim!$E$2:$E$501)</f>
        <v>North Edwardton</v>
      </c>
      <c r="H1450" t="s">
        <v>409</v>
      </c>
      <c r="I1450" t="str">
        <f>VLOOKUP(Table1[[#This Row],[Product_ID]],Product_Dim!$A$2:$G$101,2,FALSE)</f>
        <v>Fitness Resistance Bands-Sports</v>
      </c>
      <c r="J1450" t="s">
        <v>1687</v>
      </c>
      <c r="K1450" t="str">
        <f>VLOOKUP(Table1[[#This Row],[Store_ID]],Store_Dim!$A$3:$D$22,2,FALSE)</f>
        <v>Bean, Jones and Park-West</v>
      </c>
      <c r="L1450" t="s">
        <v>1744</v>
      </c>
      <c r="M1450" t="s">
        <v>3959</v>
      </c>
      <c r="N1450" s="3">
        <v>892.28</v>
      </c>
      <c r="O1450" s="4">
        <v>0.23</v>
      </c>
      <c r="P1450" t="s">
        <v>1772</v>
      </c>
      <c r="Q1450" s="4">
        <v>2748.2224000000001</v>
      </c>
    </row>
    <row r="1451" spans="1:17" x14ac:dyDescent="0.3">
      <c r="A1451" t="s">
        <v>3223</v>
      </c>
      <c r="B1451" t="str">
        <f t="shared" si="22"/>
        <v>Q3</v>
      </c>
      <c r="C1451" t="str">
        <f>TEXT(Table1[[#This Row],[Order_Date]],"mmmm")</f>
        <v>July</v>
      </c>
      <c r="D1451">
        <f>YEAR(Table1[[#This Row],[Order_Date]])</f>
        <v>2024</v>
      </c>
      <c r="E1451" s="7">
        <v>45494</v>
      </c>
      <c r="F1451" s="2" t="str">
        <f>VLOOKUP(Table1[[#This Row],[Customer_ID]],Customer_Dim!$A$2:$H$501,2,FALSE)</f>
        <v>Lisa Young</v>
      </c>
      <c r="G1451" s="2" t="str">
        <f>_xlfn.XLOOKUP(Table1[[#This Row],[Customer_ID]],Customer_Dim!$A$2:$A$501,Customer_Dim!$E$2:$E$501)</f>
        <v>Maybury</v>
      </c>
      <c r="H1451" t="s">
        <v>710</v>
      </c>
      <c r="I1451" t="str">
        <f>VLOOKUP(Table1[[#This Row],[Product_ID]],Product_Dim!$A$2:$G$101,2,FALSE)</f>
        <v>Ceramic Kitchen Bowl Set-Home</v>
      </c>
      <c r="J1451" t="s">
        <v>1543</v>
      </c>
      <c r="K1451" t="str">
        <f>VLOOKUP(Table1[[#This Row],[Store_ID]],Store_Dim!$A$3:$D$22,2,FALSE)</f>
        <v>Martinez-Mullins-South</v>
      </c>
      <c r="L1451" t="s">
        <v>1742</v>
      </c>
      <c r="M1451" t="s">
        <v>3960</v>
      </c>
      <c r="N1451" s="3">
        <v>164.23</v>
      </c>
      <c r="O1451" s="4">
        <v>0.17</v>
      </c>
      <c r="P1451" t="s">
        <v>1772</v>
      </c>
      <c r="Q1451" s="4">
        <v>272.62180000000001</v>
      </c>
    </row>
    <row r="1452" spans="1:17" x14ac:dyDescent="0.3">
      <c r="A1452" t="s">
        <v>3224</v>
      </c>
      <c r="B1452" t="str">
        <f t="shared" si="22"/>
        <v>Q1</v>
      </c>
      <c r="C1452" t="str">
        <f>TEXT(Table1[[#This Row],[Order_Date]],"mmmm")</f>
        <v>January</v>
      </c>
      <c r="D1452">
        <f>YEAR(Table1[[#This Row],[Order_Date]])</f>
        <v>2024</v>
      </c>
      <c r="E1452" s="7">
        <v>45305</v>
      </c>
      <c r="F1452" s="2" t="str">
        <f>VLOOKUP(Table1[[#This Row],[Customer_ID]],Customer_Dim!$A$2:$H$501,2,FALSE)</f>
        <v>Jeffery Wolf</v>
      </c>
      <c r="G1452" s="2" t="str">
        <f>_xlfn.XLOOKUP(Table1[[#This Row],[Customer_ID]],Customer_Dim!$A$2:$A$501,Customer_Dim!$E$2:$E$501)</f>
        <v>New Laura</v>
      </c>
      <c r="H1452" t="s">
        <v>1381</v>
      </c>
      <c r="I1452" t="str">
        <f>VLOOKUP(Table1[[#This Row],[Product_ID]],Product_Dim!$A$2:$G$101,2,FALSE)</f>
        <v>Adjustable Dumbbell Set-Sports</v>
      </c>
      <c r="J1452" t="s">
        <v>1541</v>
      </c>
      <c r="K1452" t="str">
        <f>VLOOKUP(Table1[[#This Row],[Store_ID]],Store_Dim!$A$3:$D$22,2,FALSE)</f>
        <v>Martinez-Mullins-South</v>
      </c>
      <c r="L1452" t="s">
        <v>1742</v>
      </c>
      <c r="M1452" t="s">
        <v>3957</v>
      </c>
      <c r="N1452" s="3">
        <v>484.23</v>
      </c>
      <c r="O1452" s="4">
        <v>0.12</v>
      </c>
      <c r="P1452" t="s">
        <v>1777</v>
      </c>
      <c r="Q1452" s="4">
        <v>426.12240000000003</v>
      </c>
    </row>
    <row r="1453" spans="1:17" x14ac:dyDescent="0.3">
      <c r="A1453" t="s">
        <v>3225</v>
      </c>
      <c r="B1453" t="str">
        <f t="shared" si="22"/>
        <v>Q2</v>
      </c>
      <c r="C1453" t="str">
        <f>TEXT(Table1[[#This Row],[Order_Date]],"mmmm")</f>
        <v>April</v>
      </c>
      <c r="D1453">
        <f>YEAR(Table1[[#This Row],[Order_Date]])</f>
        <v>2024</v>
      </c>
      <c r="E1453" s="7">
        <v>45383</v>
      </c>
      <c r="F1453" s="2" t="str">
        <f>VLOOKUP(Table1[[#This Row],[Customer_ID]],Customer_Dim!$A$2:$H$501,2,FALSE)</f>
        <v>Christine Vaughn</v>
      </c>
      <c r="G1453" s="2" t="str">
        <f>_xlfn.XLOOKUP(Table1[[#This Row],[Customer_ID]],Customer_Dim!$A$2:$A$501,Customer_Dim!$E$2:$E$501)</f>
        <v>East Amandamouth</v>
      </c>
      <c r="H1453" t="s">
        <v>32</v>
      </c>
      <c r="I1453" t="str">
        <f>VLOOKUP(Table1[[#This Row],[Product_ID]],Product_Dim!$A$2:$G$101,2,FALSE)</f>
        <v>Bedroom Table Lamp-Home</v>
      </c>
      <c r="J1453" t="s">
        <v>1593</v>
      </c>
      <c r="K1453" t="str">
        <f>VLOOKUP(Table1[[#This Row],[Store_ID]],Store_Dim!$A$3:$D$22,2,FALSE)</f>
        <v>Guerrero-Schmitt-East</v>
      </c>
      <c r="L1453" t="s">
        <v>1761</v>
      </c>
      <c r="M1453" t="s">
        <v>3958</v>
      </c>
      <c r="N1453" s="3">
        <v>341.51</v>
      </c>
      <c r="O1453" s="4">
        <v>0.22</v>
      </c>
      <c r="P1453" t="s">
        <v>1777</v>
      </c>
      <c r="Q1453" s="4">
        <v>799.13340000000005</v>
      </c>
    </row>
    <row r="1454" spans="1:17" x14ac:dyDescent="0.3">
      <c r="A1454" t="s">
        <v>3226</v>
      </c>
      <c r="B1454" t="str">
        <f t="shared" si="22"/>
        <v>Q2</v>
      </c>
      <c r="C1454" t="str">
        <f>TEXT(Table1[[#This Row],[Order_Date]],"mmmm")</f>
        <v>May</v>
      </c>
      <c r="D1454">
        <f>YEAR(Table1[[#This Row],[Order_Date]])</f>
        <v>2025</v>
      </c>
      <c r="E1454" s="7">
        <v>45788</v>
      </c>
      <c r="F1454" s="2" t="str">
        <f>VLOOKUP(Table1[[#This Row],[Customer_ID]],Customer_Dim!$A$2:$H$501,2,FALSE)</f>
        <v>Amy Walker</v>
      </c>
      <c r="G1454" s="2" t="str">
        <f>_xlfn.XLOOKUP(Table1[[#This Row],[Customer_ID]],Customer_Dim!$A$2:$A$501,Customer_Dim!$E$2:$E$501)</f>
        <v>Smithland</v>
      </c>
      <c r="H1454" t="s">
        <v>379</v>
      </c>
      <c r="I1454" t="str">
        <f>VLOOKUP(Table1[[#This Row],[Product_ID]],Product_Dim!$A$2:$G$101,2,FALSE)</f>
        <v>Portable Bluetooth Speaker-Electronics</v>
      </c>
      <c r="J1454" t="s">
        <v>1719</v>
      </c>
      <c r="K1454" t="str">
        <f>VLOOKUP(Table1[[#This Row],[Store_ID]],Store_Dim!$A$3:$D$22,2,FALSE)</f>
        <v>Gardner, Humphrey and Contreras-East</v>
      </c>
      <c r="L1454" t="s">
        <v>1753</v>
      </c>
      <c r="M1454" t="s">
        <v>3958</v>
      </c>
      <c r="N1454" s="3">
        <v>758.87</v>
      </c>
      <c r="O1454" s="4">
        <v>0.11</v>
      </c>
      <c r="P1454" t="s">
        <v>1774</v>
      </c>
      <c r="Q1454" s="4">
        <v>2026.1829</v>
      </c>
    </row>
    <row r="1455" spans="1:17" x14ac:dyDescent="0.3">
      <c r="A1455" t="s">
        <v>3227</v>
      </c>
      <c r="B1455" t="str">
        <f t="shared" si="22"/>
        <v>Q3</v>
      </c>
      <c r="C1455" t="str">
        <f>TEXT(Table1[[#This Row],[Order_Date]],"mmmm")</f>
        <v>July</v>
      </c>
      <c r="D1455">
        <f>YEAR(Table1[[#This Row],[Order_Date]])</f>
        <v>2025</v>
      </c>
      <c r="E1455" s="7">
        <v>45855</v>
      </c>
      <c r="F1455" s="2" t="str">
        <f>VLOOKUP(Table1[[#This Row],[Customer_ID]],Customer_Dim!$A$2:$H$501,2,FALSE)</f>
        <v>Manuel Fisher</v>
      </c>
      <c r="G1455" s="2" t="str">
        <f>_xlfn.XLOOKUP(Table1[[#This Row],[Customer_ID]],Customer_Dim!$A$2:$A$501,Customer_Dim!$E$2:$E$501)</f>
        <v>Kanebury</v>
      </c>
      <c r="H1455" t="s">
        <v>1433</v>
      </c>
      <c r="I1455" t="str">
        <f>VLOOKUP(Table1[[#This Row],[Product_ID]],Product_Dim!$A$2:$G$101,2,FALSE)</f>
        <v>Premium Blanket Throw-Home</v>
      </c>
      <c r="J1455" t="s">
        <v>1635</v>
      </c>
      <c r="K1455" t="str">
        <f>VLOOKUP(Table1[[#This Row],[Store_ID]],Store_Dim!$A$3:$D$22,2,FALSE)</f>
        <v>Thomas, Bridges and Harris-North</v>
      </c>
      <c r="L1455" t="s">
        <v>1751</v>
      </c>
      <c r="M1455" t="s">
        <v>3958</v>
      </c>
      <c r="N1455" s="3">
        <v>560.52</v>
      </c>
      <c r="O1455" s="4">
        <v>0.17</v>
      </c>
      <c r="P1455" t="s">
        <v>1772</v>
      </c>
      <c r="Q1455" s="4">
        <v>1395.6948</v>
      </c>
    </row>
    <row r="1456" spans="1:17" x14ac:dyDescent="0.3">
      <c r="A1456" t="s">
        <v>3228</v>
      </c>
      <c r="B1456" t="str">
        <f t="shared" si="22"/>
        <v>Q3</v>
      </c>
      <c r="C1456" t="str">
        <f>TEXT(Table1[[#This Row],[Order_Date]],"mmmm")</f>
        <v>August</v>
      </c>
      <c r="D1456">
        <f>YEAR(Table1[[#This Row],[Order_Date]])</f>
        <v>2024</v>
      </c>
      <c r="E1456" s="7">
        <v>45533</v>
      </c>
      <c r="F1456" s="2" t="str">
        <f>VLOOKUP(Table1[[#This Row],[Customer_ID]],Customer_Dim!$A$2:$H$501,2,FALSE)</f>
        <v>Jeffrey Mccarthy</v>
      </c>
      <c r="G1456" s="2" t="str">
        <f>_xlfn.XLOOKUP(Table1[[#This Row],[Customer_ID]],Customer_Dim!$A$2:$A$501,Customer_Dim!$E$2:$E$501)</f>
        <v>North Samuel</v>
      </c>
      <c r="H1456" t="s">
        <v>1089</v>
      </c>
      <c r="I1456" t="str">
        <f>VLOOKUP(Table1[[#This Row],[Product_ID]],Product_Dim!$A$2:$G$101,2,FALSE)</f>
        <v>Women's Formal Blazer-Clothing</v>
      </c>
      <c r="J1456" t="s">
        <v>1715</v>
      </c>
      <c r="K1456" t="str">
        <f>VLOOKUP(Table1[[#This Row],[Store_ID]],Store_Dim!$A$3:$D$22,2,FALSE)</f>
        <v>Holloway Ltd-North</v>
      </c>
      <c r="L1456" t="s">
        <v>1759</v>
      </c>
      <c r="M1456" t="s">
        <v>3960</v>
      </c>
      <c r="N1456" s="3">
        <v>977.18</v>
      </c>
      <c r="O1456" s="4">
        <v>0.19</v>
      </c>
      <c r="P1456" t="s">
        <v>1772</v>
      </c>
      <c r="Q1456" s="4">
        <v>1583.0316</v>
      </c>
    </row>
    <row r="1457" spans="1:17" x14ac:dyDescent="0.3">
      <c r="A1457" t="s">
        <v>3229</v>
      </c>
      <c r="B1457" t="str">
        <f t="shared" si="22"/>
        <v>Q2</v>
      </c>
      <c r="C1457" t="str">
        <f>TEXT(Table1[[#This Row],[Order_Date]],"mmmm")</f>
        <v>April</v>
      </c>
      <c r="D1457">
        <f>YEAR(Table1[[#This Row],[Order_Date]])</f>
        <v>2025</v>
      </c>
      <c r="E1457" s="7">
        <v>45763</v>
      </c>
      <c r="F1457" s="2" t="str">
        <f>VLOOKUP(Table1[[#This Row],[Customer_ID]],Customer_Dim!$A$2:$H$501,2,FALSE)</f>
        <v>Joshua Wilson</v>
      </c>
      <c r="G1457" s="2" t="str">
        <f>_xlfn.XLOOKUP(Table1[[#This Row],[Customer_ID]],Customer_Dim!$A$2:$A$501,Customer_Dim!$E$2:$E$501)</f>
        <v>North Larryport</v>
      </c>
      <c r="H1457" t="s">
        <v>752</v>
      </c>
      <c r="I1457" t="str">
        <f>VLOOKUP(Table1[[#This Row],[Product_ID]],Product_Dim!$A$2:$G$101,2,FALSE)</f>
        <v>Beard Grooming Kit-Beauty</v>
      </c>
      <c r="J1457" t="s">
        <v>1555</v>
      </c>
      <c r="K1457" t="str">
        <f>VLOOKUP(Table1[[#This Row],[Store_ID]],Store_Dim!$A$3:$D$22,2,FALSE)</f>
        <v>Mcdonald Inc-South</v>
      </c>
      <c r="L1457" t="s">
        <v>1754</v>
      </c>
      <c r="M1457" t="s">
        <v>3959</v>
      </c>
      <c r="N1457" s="3">
        <v>761.35</v>
      </c>
      <c r="O1457" s="4">
        <v>0.08</v>
      </c>
      <c r="P1457" t="s">
        <v>1772</v>
      </c>
      <c r="Q1457" s="4">
        <v>2801.768</v>
      </c>
    </row>
    <row r="1458" spans="1:17" x14ac:dyDescent="0.3">
      <c r="A1458" t="s">
        <v>3230</v>
      </c>
      <c r="B1458" t="str">
        <f t="shared" si="22"/>
        <v>Q3</v>
      </c>
      <c r="C1458" t="str">
        <f>TEXT(Table1[[#This Row],[Order_Date]],"mmmm")</f>
        <v>August</v>
      </c>
      <c r="D1458">
        <f>YEAR(Table1[[#This Row],[Order_Date]])</f>
        <v>2025</v>
      </c>
      <c r="E1458" s="7">
        <v>45900</v>
      </c>
      <c r="F1458" s="2" t="str">
        <f>VLOOKUP(Table1[[#This Row],[Customer_ID]],Customer_Dim!$A$2:$H$501,2,FALSE)</f>
        <v>Nicholas Bradshaw</v>
      </c>
      <c r="G1458" s="2" t="str">
        <f>_xlfn.XLOOKUP(Table1[[#This Row],[Customer_ID]],Customer_Dim!$A$2:$A$501,Customer_Dim!$E$2:$E$501)</f>
        <v>Murphyfurt</v>
      </c>
      <c r="H1458" t="s">
        <v>586</v>
      </c>
      <c r="I1458" t="str">
        <f>VLOOKUP(Table1[[#This Row],[Product_ID]],Product_Dim!$A$2:$G$101,2,FALSE)</f>
        <v>Smart LED Light Strip-Electronics</v>
      </c>
      <c r="J1458" t="s">
        <v>1657</v>
      </c>
      <c r="K1458" t="str">
        <f>VLOOKUP(Table1[[#This Row],[Store_ID]],Store_Dim!$A$3:$D$22,2,FALSE)</f>
        <v>Guerrero-Schmitt-East</v>
      </c>
      <c r="L1458" t="s">
        <v>1761</v>
      </c>
      <c r="M1458" t="s">
        <v>3960</v>
      </c>
      <c r="N1458" s="3">
        <v>947.56</v>
      </c>
      <c r="O1458" s="4">
        <v>0.02</v>
      </c>
      <c r="P1458" t="s">
        <v>1777</v>
      </c>
      <c r="Q1458" s="4">
        <v>1857.2175999999999</v>
      </c>
    </row>
    <row r="1459" spans="1:17" x14ac:dyDescent="0.3">
      <c r="A1459" t="s">
        <v>3231</v>
      </c>
      <c r="B1459" t="str">
        <f t="shared" si="22"/>
        <v>Q4</v>
      </c>
      <c r="C1459" t="str">
        <f>TEXT(Table1[[#This Row],[Order_Date]],"mmmm")</f>
        <v>October</v>
      </c>
      <c r="D1459">
        <f>YEAR(Table1[[#This Row],[Order_Date]])</f>
        <v>2025</v>
      </c>
      <c r="E1459" s="7">
        <v>45943</v>
      </c>
      <c r="F1459" s="2" t="str">
        <f>VLOOKUP(Table1[[#This Row],[Customer_ID]],Customer_Dim!$A$2:$H$501,2,FALSE)</f>
        <v>Steven Smith</v>
      </c>
      <c r="G1459" s="2" t="str">
        <f>_xlfn.XLOOKUP(Table1[[#This Row],[Customer_ID]],Customer_Dim!$A$2:$A$501,Customer_Dim!$E$2:$E$501)</f>
        <v>Port Krista</v>
      </c>
      <c r="H1459" t="s">
        <v>758</v>
      </c>
      <c r="I1459" t="str">
        <f>VLOOKUP(Table1[[#This Row],[Product_ID]],Product_Dim!$A$2:$G$101,2,FALSE)</f>
        <v>USB External Hard Drive-Electronics</v>
      </c>
      <c r="J1459" t="s">
        <v>1609</v>
      </c>
      <c r="K1459" t="str">
        <f>VLOOKUP(Table1[[#This Row],[Store_ID]],Store_Dim!$A$3:$D$22,2,FALSE)</f>
        <v>Guerrero-Schmitt-East</v>
      </c>
      <c r="L1459" t="s">
        <v>1761</v>
      </c>
      <c r="M1459" t="s">
        <v>3959</v>
      </c>
      <c r="N1459" s="3">
        <v>975.47</v>
      </c>
      <c r="O1459" s="4">
        <v>0.04</v>
      </c>
      <c r="P1459" t="s">
        <v>1772</v>
      </c>
      <c r="Q1459" s="4">
        <v>3745.8047999999999</v>
      </c>
    </row>
    <row r="1460" spans="1:17" x14ac:dyDescent="0.3">
      <c r="A1460" t="s">
        <v>3232</v>
      </c>
      <c r="B1460" t="str">
        <f t="shared" si="22"/>
        <v>Q2</v>
      </c>
      <c r="C1460" t="str">
        <f>TEXT(Table1[[#This Row],[Order_Date]],"mmmm")</f>
        <v>June</v>
      </c>
      <c r="D1460">
        <f>YEAR(Table1[[#This Row],[Order_Date]])</f>
        <v>2024</v>
      </c>
      <c r="E1460" s="7">
        <v>45448</v>
      </c>
      <c r="F1460" s="2" t="str">
        <f>VLOOKUP(Table1[[#This Row],[Customer_ID]],Customer_Dim!$A$2:$H$501,2,FALSE)</f>
        <v>Andrea Harris</v>
      </c>
      <c r="G1460" s="2" t="str">
        <f>_xlfn.XLOOKUP(Table1[[#This Row],[Customer_ID]],Customer_Dim!$A$2:$A$501,Customer_Dim!$E$2:$E$501)</f>
        <v>West Kelseyberg</v>
      </c>
      <c r="H1460" t="s">
        <v>1453</v>
      </c>
      <c r="I1460" t="str">
        <f>VLOOKUP(Table1[[#This Row],[Product_ID]],Product_Dim!$A$2:$G$101,2,FALSE)</f>
        <v>USB-C Fast Charger-Electronics</v>
      </c>
      <c r="J1460" t="s">
        <v>1549</v>
      </c>
      <c r="K1460" t="str">
        <f>VLOOKUP(Table1[[#This Row],[Store_ID]],Store_Dim!$A$3:$D$22,2,FALSE)</f>
        <v>Moore, Padilla and Butler-South</v>
      </c>
      <c r="L1460" t="s">
        <v>1746</v>
      </c>
      <c r="M1460" t="s">
        <v>3958</v>
      </c>
      <c r="N1460" s="3">
        <v>769.06</v>
      </c>
      <c r="O1460" s="4">
        <v>0.23</v>
      </c>
      <c r="P1460" t="s">
        <v>1777</v>
      </c>
      <c r="Q1460" s="4">
        <v>1776.5286000000001</v>
      </c>
    </row>
    <row r="1461" spans="1:17" x14ac:dyDescent="0.3">
      <c r="A1461" t="s">
        <v>3233</v>
      </c>
      <c r="B1461" t="str">
        <f t="shared" si="22"/>
        <v>Q3</v>
      </c>
      <c r="C1461" t="str">
        <f>TEXT(Table1[[#This Row],[Order_Date]],"mmmm")</f>
        <v>September</v>
      </c>
      <c r="D1461">
        <f>YEAR(Table1[[#This Row],[Order_Date]])</f>
        <v>2025</v>
      </c>
      <c r="E1461" s="7">
        <v>45929</v>
      </c>
      <c r="F1461" s="2" t="str">
        <f>VLOOKUP(Table1[[#This Row],[Customer_ID]],Customer_Dim!$A$2:$H$501,2,FALSE)</f>
        <v>Eric Lee</v>
      </c>
      <c r="G1461" s="2" t="str">
        <f>_xlfn.XLOOKUP(Table1[[#This Row],[Customer_ID]],Customer_Dim!$A$2:$A$501,Customer_Dim!$E$2:$E$501)</f>
        <v>Lake April</v>
      </c>
      <c r="H1461" t="s">
        <v>1478</v>
      </c>
      <c r="I1461" t="str">
        <f>VLOOKUP(Table1[[#This Row],[Product_ID]],Product_Dim!$A$2:$G$101,2,FALSE)</f>
        <v>Portable Power Bank-Electronics</v>
      </c>
      <c r="J1461" t="s">
        <v>1601</v>
      </c>
      <c r="K1461" t="str">
        <f>VLOOKUP(Table1[[#This Row],[Store_ID]],Store_Dim!$A$3:$D$22,2,FALSE)</f>
        <v>Black-Horn-South</v>
      </c>
      <c r="L1461" t="s">
        <v>1730</v>
      </c>
      <c r="M1461" t="s">
        <v>3958</v>
      </c>
      <c r="N1461" s="3">
        <v>824.75</v>
      </c>
      <c r="O1461" s="4">
        <v>0.23</v>
      </c>
      <c r="P1461" t="s">
        <v>1772</v>
      </c>
      <c r="Q1461" s="4">
        <v>1905.1724999999999</v>
      </c>
    </row>
    <row r="1462" spans="1:17" x14ac:dyDescent="0.3">
      <c r="A1462" t="s">
        <v>3234</v>
      </c>
      <c r="B1462" t="str">
        <f t="shared" si="22"/>
        <v>Q3</v>
      </c>
      <c r="C1462" t="str">
        <f>TEXT(Table1[[#This Row],[Order_Date]],"mmmm")</f>
        <v>July</v>
      </c>
      <c r="D1462">
        <f>YEAR(Table1[[#This Row],[Order_Date]])</f>
        <v>2024</v>
      </c>
      <c r="E1462" s="7">
        <v>45478</v>
      </c>
      <c r="F1462" s="2" t="str">
        <f>VLOOKUP(Table1[[#This Row],[Customer_ID]],Customer_Dim!$A$2:$H$501,2,FALSE)</f>
        <v>Terry Moses</v>
      </c>
      <c r="G1462" s="2" t="str">
        <f>_xlfn.XLOOKUP(Table1[[#This Row],[Customer_ID]],Customer_Dim!$A$2:$A$501,Customer_Dim!$E$2:$E$501)</f>
        <v>Leahmouth</v>
      </c>
      <c r="H1462" t="s">
        <v>1235</v>
      </c>
      <c r="I1462" t="str">
        <f>VLOOKUP(Table1[[#This Row],[Product_ID]],Product_Dim!$A$2:$G$101,2,FALSE)</f>
        <v>Wooden Nightstand-Home</v>
      </c>
      <c r="J1462" t="s">
        <v>1659</v>
      </c>
      <c r="K1462" t="str">
        <f>VLOOKUP(Table1[[#This Row],[Store_ID]],Store_Dim!$A$3:$D$22,2,FALSE)</f>
        <v>Alexander Group-South</v>
      </c>
      <c r="L1462" t="s">
        <v>1735</v>
      </c>
      <c r="M1462" t="s">
        <v>3960</v>
      </c>
      <c r="N1462" s="3">
        <v>821.35</v>
      </c>
      <c r="O1462" s="4">
        <v>0.11</v>
      </c>
      <c r="P1462" t="s">
        <v>1774</v>
      </c>
      <c r="Q1462" s="4">
        <v>1462.0029999999999</v>
      </c>
    </row>
    <row r="1463" spans="1:17" x14ac:dyDescent="0.3">
      <c r="A1463" t="s">
        <v>3235</v>
      </c>
      <c r="B1463" t="str">
        <f t="shared" si="22"/>
        <v>Q1</v>
      </c>
      <c r="C1463" t="str">
        <f>TEXT(Table1[[#This Row],[Order_Date]],"mmmm")</f>
        <v>March</v>
      </c>
      <c r="D1463">
        <f>YEAR(Table1[[#This Row],[Order_Date]])</f>
        <v>2025</v>
      </c>
      <c r="E1463" s="7">
        <v>45723</v>
      </c>
      <c r="F1463" s="2" t="str">
        <f>VLOOKUP(Table1[[#This Row],[Customer_ID]],Customer_Dim!$A$2:$H$501,2,FALSE)</f>
        <v>Eric Wolfe</v>
      </c>
      <c r="G1463" s="2" t="str">
        <f>_xlfn.XLOOKUP(Table1[[#This Row],[Customer_ID]],Customer_Dim!$A$2:$A$501,Customer_Dim!$E$2:$E$501)</f>
        <v>Garciaview</v>
      </c>
      <c r="H1463" t="s">
        <v>1246</v>
      </c>
      <c r="I1463" t="str">
        <f>VLOOKUP(Table1[[#This Row],[Product_ID]],Product_Dim!$A$2:$G$101,2,FALSE)</f>
        <v>USB-C Fast Charger-Electronics</v>
      </c>
      <c r="J1463" t="s">
        <v>1549</v>
      </c>
      <c r="K1463" t="str">
        <f>VLOOKUP(Table1[[#This Row],[Store_ID]],Store_Dim!$A$3:$D$22,2,FALSE)</f>
        <v>Hill, Wagner and Ballard-East</v>
      </c>
      <c r="L1463" t="s">
        <v>1748</v>
      </c>
      <c r="M1463" t="s">
        <v>3957</v>
      </c>
      <c r="N1463" s="3">
        <v>120.57</v>
      </c>
      <c r="O1463" s="4">
        <v>0.06</v>
      </c>
      <c r="P1463" t="s">
        <v>1774</v>
      </c>
      <c r="Q1463" s="4">
        <v>113.33580000000001</v>
      </c>
    </row>
    <row r="1464" spans="1:17" x14ac:dyDescent="0.3">
      <c r="A1464" t="s">
        <v>3236</v>
      </c>
      <c r="B1464" t="str">
        <f t="shared" si="22"/>
        <v>Q4</v>
      </c>
      <c r="C1464" t="str">
        <f>TEXT(Table1[[#This Row],[Order_Date]],"mmmm")</f>
        <v>November</v>
      </c>
      <c r="D1464">
        <f>YEAR(Table1[[#This Row],[Order_Date]])</f>
        <v>2023</v>
      </c>
      <c r="E1464" s="7">
        <v>45240</v>
      </c>
      <c r="F1464" s="2" t="str">
        <f>VLOOKUP(Table1[[#This Row],[Customer_ID]],Customer_Dim!$A$2:$H$501,2,FALSE)</f>
        <v>Jennifer Woods</v>
      </c>
      <c r="G1464" s="2" t="str">
        <f>_xlfn.XLOOKUP(Table1[[#This Row],[Customer_ID]],Customer_Dim!$A$2:$A$501,Customer_Dim!$E$2:$E$501)</f>
        <v>West Brendamouth</v>
      </c>
      <c r="H1464" t="s">
        <v>1042</v>
      </c>
      <c r="I1464" t="str">
        <f>VLOOKUP(Table1[[#This Row],[Product_ID]],Product_Dim!$A$2:$G$101,2,FALSE)</f>
        <v>Face Foundation Kit-Beauty</v>
      </c>
      <c r="J1464" t="s">
        <v>1701</v>
      </c>
      <c r="K1464" t="str">
        <f>VLOOKUP(Table1[[#This Row],[Store_ID]],Store_Dim!$A$3:$D$22,2,FALSE)</f>
        <v>Martinez, Adkins and Johnson-North</v>
      </c>
      <c r="L1464" t="s">
        <v>1728</v>
      </c>
      <c r="M1464" t="s">
        <v>3957</v>
      </c>
      <c r="N1464" s="3">
        <v>122.27</v>
      </c>
      <c r="O1464" s="4">
        <v>0.26</v>
      </c>
      <c r="P1464" t="s">
        <v>1774</v>
      </c>
      <c r="Q1464" s="4">
        <v>90.479799999999997</v>
      </c>
    </row>
    <row r="1465" spans="1:17" x14ac:dyDescent="0.3">
      <c r="A1465" t="s">
        <v>3237</v>
      </c>
      <c r="B1465" t="str">
        <f t="shared" si="22"/>
        <v>Q3</v>
      </c>
      <c r="C1465" t="str">
        <f>TEXT(Table1[[#This Row],[Order_Date]],"mmmm")</f>
        <v>August</v>
      </c>
      <c r="D1465">
        <f>YEAR(Table1[[#This Row],[Order_Date]])</f>
        <v>2025</v>
      </c>
      <c r="E1465" s="7">
        <v>45890</v>
      </c>
      <c r="F1465" s="2" t="str">
        <f>VLOOKUP(Table1[[#This Row],[Customer_ID]],Customer_Dim!$A$2:$H$501,2,FALSE)</f>
        <v>Christopher Garcia Dds</v>
      </c>
      <c r="G1465" s="2" t="str">
        <f>_xlfn.XLOOKUP(Table1[[#This Row],[Customer_ID]],Customer_Dim!$A$2:$A$501,Customer_Dim!$E$2:$E$501)</f>
        <v>New Joseph</v>
      </c>
      <c r="H1465" t="s">
        <v>560</v>
      </c>
      <c r="I1465" t="str">
        <f>VLOOKUP(Table1[[#This Row],[Product_ID]],Product_Dim!$A$2:$G$101,2,FALSE)</f>
        <v>Wireless Bluetooth Speaker-Electronics</v>
      </c>
      <c r="J1465" t="s">
        <v>1575</v>
      </c>
      <c r="K1465" t="str">
        <f>VLOOKUP(Table1[[#This Row],[Store_ID]],Store_Dim!$A$3:$D$22,2,FALSE)</f>
        <v>Black-Horn-South</v>
      </c>
      <c r="L1465" t="s">
        <v>1730</v>
      </c>
      <c r="M1465" t="s">
        <v>3960</v>
      </c>
      <c r="N1465" s="3">
        <v>182.89</v>
      </c>
      <c r="O1465" s="4">
        <v>0.11</v>
      </c>
      <c r="P1465" t="s">
        <v>1772</v>
      </c>
      <c r="Q1465" s="4">
        <v>325.54419999999999</v>
      </c>
    </row>
    <row r="1466" spans="1:17" x14ac:dyDescent="0.3">
      <c r="A1466" t="s">
        <v>3238</v>
      </c>
      <c r="B1466" t="str">
        <f t="shared" si="22"/>
        <v>Q2</v>
      </c>
      <c r="C1466" t="str">
        <f>TEXT(Table1[[#This Row],[Order_Date]],"mmmm")</f>
        <v>May</v>
      </c>
      <c r="D1466">
        <f>YEAR(Table1[[#This Row],[Order_Date]])</f>
        <v>2025</v>
      </c>
      <c r="E1466" s="7">
        <v>45796</v>
      </c>
      <c r="F1466" s="2" t="str">
        <f>VLOOKUP(Table1[[#This Row],[Customer_ID]],Customer_Dim!$A$2:$H$501,2,FALSE)</f>
        <v>Michael Garner</v>
      </c>
      <c r="G1466" s="2" t="str">
        <f>_xlfn.XLOOKUP(Table1[[#This Row],[Customer_ID]],Customer_Dim!$A$2:$A$501,Customer_Dim!$E$2:$E$501)</f>
        <v>Port Crystal</v>
      </c>
      <c r="H1466" t="s">
        <v>1147</v>
      </c>
      <c r="I1466" t="str">
        <f>VLOOKUP(Table1[[#This Row],[Product_ID]],Product_Dim!$A$2:$G$101,2,FALSE)</f>
        <v>Men's Winter Jacket-Clothing</v>
      </c>
      <c r="J1466" t="s">
        <v>1615</v>
      </c>
      <c r="K1466" t="str">
        <f>VLOOKUP(Table1[[#This Row],[Store_ID]],Store_Dim!$A$3:$D$22,2,FALSE)</f>
        <v>Alexander Group-South</v>
      </c>
      <c r="L1466" t="s">
        <v>1735</v>
      </c>
      <c r="M1466" t="s">
        <v>3957</v>
      </c>
      <c r="N1466" s="3">
        <v>695.26</v>
      </c>
      <c r="O1466" s="4">
        <v>0.23</v>
      </c>
      <c r="P1466" t="s">
        <v>1774</v>
      </c>
      <c r="Q1466" s="4">
        <v>535.35019999999997</v>
      </c>
    </row>
    <row r="1467" spans="1:17" x14ac:dyDescent="0.3">
      <c r="A1467" t="s">
        <v>3239</v>
      </c>
      <c r="B1467" t="str">
        <f t="shared" si="22"/>
        <v>Q3</v>
      </c>
      <c r="C1467" t="str">
        <f>TEXT(Table1[[#This Row],[Order_Date]],"mmmm")</f>
        <v>August</v>
      </c>
      <c r="D1467">
        <f>YEAR(Table1[[#This Row],[Order_Date]])</f>
        <v>2025</v>
      </c>
      <c r="E1467" s="7">
        <v>45895</v>
      </c>
      <c r="F1467" s="2" t="str">
        <f>VLOOKUP(Table1[[#This Row],[Customer_ID]],Customer_Dim!$A$2:$H$501,2,FALSE)</f>
        <v>Leslie Johnson</v>
      </c>
      <c r="G1467" s="2" t="str">
        <f>_xlfn.XLOOKUP(Table1[[#This Row],[Customer_ID]],Customer_Dim!$A$2:$A$501,Customer_Dim!$E$2:$E$501)</f>
        <v>Mollyshire</v>
      </c>
      <c r="H1467" t="s">
        <v>114</v>
      </c>
      <c r="I1467" t="str">
        <f>VLOOKUP(Table1[[#This Row],[Product_ID]],Product_Dim!$A$2:$G$101,2,FALSE)</f>
        <v>Fabric Sofa Throw Blanket-Home</v>
      </c>
      <c r="J1467" t="s">
        <v>1581</v>
      </c>
      <c r="K1467" t="str">
        <f>VLOOKUP(Table1[[#This Row],[Store_ID]],Store_Dim!$A$3:$D$22,2,FALSE)</f>
        <v>Benson-Elliott-East</v>
      </c>
      <c r="L1467" t="s">
        <v>1740</v>
      </c>
      <c r="M1467" t="s">
        <v>3960</v>
      </c>
      <c r="N1467" s="3">
        <v>408.8</v>
      </c>
      <c r="O1467" s="4">
        <v>0.17</v>
      </c>
      <c r="P1467" t="s">
        <v>1777</v>
      </c>
      <c r="Q1467" s="4">
        <v>678.60799999999995</v>
      </c>
    </row>
    <row r="1468" spans="1:17" x14ac:dyDescent="0.3">
      <c r="A1468" t="s">
        <v>3240</v>
      </c>
      <c r="B1468" t="str">
        <f t="shared" si="22"/>
        <v>Q1</v>
      </c>
      <c r="C1468" t="str">
        <f>TEXT(Table1[[#This Row],[Order_Date]],"mmmm")</f>
        <v>January</v>
      </c>
      <c r="D1468">
        <f>YEAR(Table1[[#This Row],[Order_Date]])</f>
        <v>2025</v>
      </c>
      <c r="E1468" s="7">
        <v>45676</v>
      </c>
      <c r="F1468" s="2" t="str">
        <f>VLOOKUP(Table1[[#This Row],[Customer_ID]],Customer_Dim!$A$2:$H$501,2,FALSE)</f>
        <v>Alexis Castaneda</v>
      </c>
      <c r="G1468" s="2" t="str">
        <f>_xlfn.XLOOKUP(Table1[[#This Row],[Customer_ID]],Customer_Dim!$A$2:$A$501,Customer_Dim!$E$2:$E$501)</f>
        <v>Morrisbury</v>
      </c>
      <c r="H1468" t="s">
        <v>724</v>
      </c>
      <c r="I1468" t="str">
        <f>VLOOKUP(Table1[[#This Row],[Product_ID]],Product_Dim!$A$2:$G$101,2,FALSE)</f>
        <v>Men's Roll-On Perfume-Beauty</v>
      </c>
      <c r="J1468" t="s">
        <v>1621</v>
      </c>
      <c r="K1468" t="str">
        <f>VLOOKUP(Table1[[#This Row],[Store_ID]],Store_Dim!$A$3:$D$22,2,FALSE)</f>
        <v>Bean, Jones and Park-West</v>
      </c>
      <c r="L1468" t="s">
        <v>1744</v>
      </c>
      <c r="M1468" t="s">
        <v>3958</v>
      </c>
      <c r="N1468" s="3">
        <v>512.15</v>
      </c>
      <c r="O1468" s="4">
        <v>0.12</v>
      </c>
      <c r="P1468" t="s">
        <v>1772</v>
      </c>
      <c r="Q1468" s="4">
        <v>1352.076</v>
      </c>
    </row>
    <row r="1469" spans="1:17" x14ac:dyDescent="0.3">
      <c r="A1469" t="s">
        <v>3241</v>
      </c>
      <c r="B1469" t="str">
        <f t="shared" si="22"/>
        <v>Q4</v>
      </c>
      <c r="C1469" t="str">
        <f>TEXT(Table1[[#This Row],[Order_Date]],"mmmm")</f>
        <v>October</v>
      </c>
      <c r="D1469">
        <f>YEAR(Table1[[#This Row],[Order_Date]])</f>
        <v>2024</v>
      </c>
      <c r="E1469" s="7">
        <v>45568</v>
      </c>
      <c r="F1469" s="2" t="str">
        <f>VLOOKUP(Table1[[#This Row],[Customer_ID]],Customer_Dim!$A$2:$H$501,2,FALSE)</f>
        <v>Sarah Smith</v>
      </c>
      <c r="G1469" s="2" t="str">
        <f>_xlfn.XLOOKUP(Table1[[#This Row],[Customer_ID]],Customer_Dim!$A$2:$A$501,Customer_Dim!$E$2:$E$501)</f>
        <v>Kathleenport</v>
      </c>
      <c r="H1469" t="s">
        <v>1258</v>
      </c>
      <c r="I1469" t="str">
        <f>VLOOKUP(Table1[[#This Row],[Product_ID]],Product_Dim!$A$2:$G$101,2,FALSE)</f>
        <v>Adjustable Dumbbell Set-Sports</v>
      </c>
      <c r="J1469" t="s">
        <v>1541</v>
      </c>
      <c r="K1469" t="str">
        <f>VLOOKUP(Table1[[#This Row],[Store_ID]],Store_Dim!$A$3:$D$22,2,FALSE)</f>
        <v>Bean, Jones and Park-West</v>
      </c>
      <c r="L1469" t="s">
        <v>1744</v>
      </c>
      <c r="M1469" t="s">
        <v>3958</v>
      </c>
      <c r="N1469" s="3">
        <v>136.4</v>
      </c>
      <c r="O1469" s="4">
        <v>0.15</v>
      </c>
      <c r="P1469" t="s">
        <v>1774</v>
      </c>
      <c r="Q1469" s="4">
        <v>347.82000000000011</v>
      </c>
    </row>
    <row r="1470" spans="1:17" x14ac:dyDescent="0.3">
      <c r="A1470" t="s">
        <v>3242</v>
      </c>
      <c r="B1470" t="str">
        <f t="shared" si="22"/>
        <v>Q4</v>
      </c>
      <c r="C1470" t="str">
        <f>TEXT(Table1[[#This Row],[Order_Date]],"mmmm")</f>
        <v>December</v>
      </c>
      <c r="D1470">
        <f>YEAR(Table1[[#This Row],[Order_Date]])</f>
        <v>2023</v>
      </c>
      <c r="E1470" s="7">
        <v>45272</v>
      </c>
      <c r="F1470" s="2" t="str">
        <f>VLOOKUP(Table1[[#This Row],[Customer_ID]],Customer_Dim!$A$2:$H$501,2,FALSE)</f>
        <v>Michelle Rogers</v>
      </c>
      <c r="G1470" s="2" t="str">
        <f>_xlfn.XLOOKUP(Table1[[#This Row],[Customer_ID]],Customer_Dim!$A$2:$A$501,Customer_Dim!$E$2:$E$501)</f>
        <v>East Jessicaborough</v>
      </c>
      <c r="H1470" t="s">
        <v>573</v>
      </c>
      <c r="I1470" t="str">
        <f>VLOOKUP(Table1[[#This Row],[Product_ID]],Product_Dim!$A$2:$G$101,2,FALSE)</f>
        <v>Herbal Face Moisturizer-Beauty</v>
      </c>
      <c r="J1470" t="s">
        <v>1535</v>
      </c>
      <c r="K1470" t="str">
        <f>VLOOKUP(Table1[[#This Row],[Store_ID]],Store_Dim!$A$3:$D$22,2,FALSE)</f>
        <v>Johnson-Wright-North</v>
      </c>
      <c r="L1470" t="s">
        <v>1733</v>
      </c>
      <c r="M1470" t="s">
        <v>3960</v>
      </c>
      <c r="N1470" s="3">
        <v>42.51</v>
      </c>
      <c r="O1470" s="4">
        <v>0.04</v>
      </c>
      <c r="P1470" t="s">
        <v>1777</v>
      </c>
      <c r="Q1470" s="4">
        <v>81.619199999999992</v>
      </c>
    </row>
    <row r="1471" spans="1:17" x14ac:dyDescent="0.3">
      <c r="A1471" t="s">
        <v>3243</v>
      </c>
      <c r="B1471" t="str">
        <f t="shared" si="22"/>
        <v>Q1</v>
      </c>
      <c r="C1471" t="str">
        <f>TEXT(Table1[[#This Row],[Order_Date]],"mmmm")</f>
        <v>March</v>
      </c>
      <c r="D1471">
        <f>YEAR(Table1[[#This Row],[Order_Date]])</f>
        <v>2025</v>
      </c>
      <c r="E1471" s="7">
        <v>45718</v>
      </c>
      <c r="F1471" s="2" t="str">
        <f>VLOOKUP(Table1[[#This Row],[Customer_ID]],Customer_Dim!$A$2:$H$501,2,FALSE)</f>
        <v>Melanie Lam</v>
      </c>
      <c r="G1471" s="2" t="str">
        <f>_xlfn.XLOOKUP(Table1[[#This Row],[Customer_ID]],Customer_Dim!$A$2:$A$501,Customer_Dim!$E$2:$E$501)</f>
        <v>East Michaelton</v>
      </c>
      <c r="H1471" t="s">
        <v>1112</v>
      </c>
      <c r="I1471" t="str">
        <f>VLOOKUP(Table1[[#This Row],[Product_ID]],Product_Dim!$A$2:$G$101,2,FALSE)</f>
        <v>Women's Ankle Boots-Clothing</v>
      </c>
      <c r="J1471" t="s">
        <v>1673</v>
      </c>
      <c r="K1471" t="str">
        <f>VLOOKUP(Table1[[#This Row],[Store_ID]],Store_Dim!$A$3:$D$22,2,FALSE)</f>
        <v>Martinez-Mullins-South</v>
      </c>
      <c r="L1471" t="s">
        <v>1742</v>
      </c>
      <c r="M1471" t="s">
        <v>3958</v>
      </c>
      <c r="N1471" s="3">
        <v>582.1</v>
      </c>
      <c r="O1471" s="4">
        <v>0.12</v>
      </c>
      <c r="P1471" t="s">
        <v>1774</v>
      </c>
      <c r="Q1471" s="4">
        <v>1536.7439999999999</v>
      </c>
    </row>
    <row r="1472" spans="1:17" x14ac:dyDescent="0.3">
      <c r="A1472" t="s">
        <v>3244</v>
      </c>
      <c r="B1472" t="str">
        <f t="shared" si="22"/>
        <v>Q1</v>
      </c>
      <c r="C1472" t="str">
        <f>TEXT(Table1[[#This Row],[Order_Date]],"mmmm")</f>
        <v>March</v>
      </c>
      <c r="D1472">
        <f>YEAR(Table1[[#This Row],[Order_Date]])</f>
        <v>2024</v>
      </c>
      <c r="E1472" s="7">
        <v>45356</v>
      </c>
      <c r="F1472" s="2" t="str">
        <f>VLOOKUP(Table1[[#This Row],[Customer_ID]],Customer_Dim!$A$2:$H$501,2,FALSE)</f>
        <v>Jordan Wells</v>
      </c>
      <c r="G1472" s="2" t="str">
        <f>_xlfn.XLOOKUP(Table1[[#This Row],[Customer_ID]],Customer_Dim!$A$2:$A$501,Customer_Dim!$E$2:$E$501)</f>
        <v xml:space="preserve">Phillipschester   </v>
      </c>
      <c r="H1472" t="s">
        <v>705</v>
      </c>
      <c r="I1472" t="str">
        <f>VLOOKUP(Table1[[#This Row],[Product_ID]],Product_Dim!$A$2:$G$101,2,FALSE)</f>
        <v>Fitness Resistance Bands-Sports</v>
      </c>
      <c r="J1472" t="s">
        <v>1687</v>
      </c>
      <c r="K1472" t="str">
        <f>VLOOKUP(Table1[[#This Row],[Store_ID]],Store_Dim!$A$3:$D$22,2,FALSE)</f>
        <v>Holloway Ltd-North</v>
      </c>
      <c r="L1472" t="s">
        <v>1759</v>
      </c>
      <c r="M1472" t="s">
        <v>3959</v>
      </c>
      <c r="N1472" s="3">
        <v>461.52</v>
      </c>
      <c r="O1472" s="4">
        <v>0.14978886756237997</v>
      </c>
      <c r="P1472" t="s">
        <v>1777</v>
      </c>
      <c r="Q1472" s="4">
        <v>1846.08</v>
      </c>
    </row>
    <row r="1473" spans="1:17" x14ac:dyDescent="0.3">
      <c r="A1473" t="s">
        <v>3245</v>
      </c>
      <c r="B1473" t="str">
        <f t="shared" si="22"/>
        <v>Q3</v>
      </c>
      <c r="C1473" t="str">
        <f>TEXT(Table1[[#This Row],[Order_Date]],"mmmm")</f>
        <v>September</v>
      </c>
      <c r="D1473">
        <f>YEAR(Table1[[#This Row],[Order_Date]])</f>
        <v>2024</v>
      </c>
      <c r="E1473" s="7">
        <v>45552</v>
      </c>
      <c r="F1473" s="2" t="str">
        <f>VLOOKUP(Table1[[#This Row],[Customer_ID]],Customer_Dim!$A$2:$H$501,2,FALSE)</f>
        <v>Christopher Ford</v>
      </c>
      <c r="G1473" s="2" t="str">
        <f>_xlfn.XLOOKUP(Table1[[#This Row],[Customer_ID]],Customer_Dim!$A$2:$A$501,Customer_Dim!$E$2:$E$501)</f>
        <v>North Seanfurt</v>
      </c>
      <c r="H1473" t="s">
        <v>1507</v>
      </c>
      <c r="I1473" t="str">
        <f>VLOOKUP(Table1[[#This Row],[Product_ID]],Product_Dim!$A$2:$G$101,2,FALSE)</f>
        <v>Beard Grooming Kit-Beauty</v>
      </c>
      <c r="J1473" t="s">
        <v>1555</v>
      </c>
      <c r="K1473" t="str">
        <f>VLOOKUP(Table1[[#This Row],[Store_ID]],Store_Dim!$A$3:$D$22,2,FALSE)</f>
        <v>Aguirre-Keller-South</v>
      </c>
      <c r="L1473" t="s">
        <v>1750</v>
      </c>
      <c r="M1473" t="s">
        <v>3957</v>
      </c>
      <c r="N1473" s="3">
        <v>558.41999999999996</v>
      </c>
      <c r="O1473" s="4">
        <v>0.03</v>
      </c>
      <c r="P1473" t="s">
        <v>1772</v>
      </c>
      <c r="Q1473" s="4">
        <v>541.66739999999993</v>
      </c>
    </row>
    <row r="1474" spans="1:17" x14ac:dyDescent="0.3">
      <c r="A1474" t="s">
        <v>3246</v>
      </c>
      <c r="B1474" t="str">
        <f t="shared" ref="B1474:B1537" si="23">"Q" &amp;ROUNDUP(MONTH(E1474)/3,0)</f>
        <v>Q4</v>
      </c>
      <c r="C1474" t="str">
        <f>TEXT(Table1[[#This Row],[Order_Date]],"mmmm")</f>
        <v>December</v>
      </c>
      <c r="D1474">
        <f>YEAR(Table1[[#This Row],[Order_Date]])</f>
        <v>2023</v>
      </c>
      <c r="E1474" s="7">
        <v>45288</v>
      </c>
      <c r="F1474" s="2" t="str">
        <f>VLOOKUP(Table1[[#This Row],[Customer_ID]],Customer_Dim!$A$2:$H$501,2,FALSE)</f>
        <v>Crystal Davis</v>
      </c>
      <c r="G1474" s="2" t="str">
        <f>_xlfn.XLOOKUP(Table1[[#This Row],[Customer_ID]],Customer_Dim!$A$2:$A$501,Customer_Dim!$E$2:$E$501)</f>
        <v>Sallymouth</v>
      </c>
      <c r="H1474" t="s">
        <v>832</v>
      </c>
      <c r="I1474" t="str">
        <f>VLOOKUP(Table1[[#This Row],[Product_ID]],Product_Dim!$A$2:$G$101,2,FALSE)</f>
        <v>Hair Strengthening Shampoo-Beauty</v>
      </c>
      <c r="J1474" t="s">
        <v>1547</v>
      </c>
      <c r="K1474" t="str">
        <f>VLOOKUP(Table1[[#This Row],[Store_ID]],Store_Dim!$A$3:$D$22,2,FALSE)</f>
        <v>Guerrero-Schmitt-East</v>
      </c>
      <c r="L1474" t="s">
        <v>1761</v>
      </c>
      <c r="M1474" t="s">
        <v>3959</v>
      </c>
      <c r="N1474" s="3">
        <v>700.98</v>
      </c>
      <c r="O1474" s="4">
        <v>0.12</v>
      </c>
      <c r="P1474" t="s">
        <v>1774</v>
      </c>
      <c r="Q1474" s="4">
        <v>2467.4495999999999</v>
      </c>
    </row>
    <row r="1475" spans="1:17" x14ac:dyDescent="0.3">
      <c r="A1475" t="s">
        <v>3247</v>
      </c>
      <c r="B1475" t="str">
        <f t="shared" si="23"/>
        <v>Q4</v>
      </c>
      <c r="C1475" t="str">
        <f>TEXT(Table1[[#This Row],[Order_Date]],"mmmm")</f>
        <v>November</v>
      </c>
      <c r="D1475">
        <f>YEAR(Table1[[#This Row],[Order_Date]])</f>
        <v>2024</v>
      </c>
      <c r="E1475" s="7">
        <v>45605</v>
      </c>
      <c r="F1475" s="2" t="str">
        <f>VLOOKUP(Table1[[#This Row],[Customer_ID]],Customer_Dim!$A$2:$H$501,2,FALSE)</f>
        <v>Eric Wolfe</v>
      </c>
      <c r="G1475" s="2" t="str">
        <f>_xlfn.XLOOKUP(Table1[[#This Row],[Customer_ID]],Customer_Dim!$A$2:$A$501,Customer_Dim!$E$2:$E$501)</f>
        <v>Garciaview</v>
      </c>
      <c r="H1475" t="s">
        <v>1246</v>
      </c>
      <c r="I1475" t="str">
        <f>VLOOKUP(Table1[[#This Row],[Product_ID]],Product_Dim!$A$2:$G$101,2,FALSE)</f>
        <v>Women's Beanie Hat-Clothing</v>
      </c>
      <c r="J1475" t="s">
        <v>1693</v>
      </c>
      <c r="K1475" t="str">
        <f>VLOOKUP(Table1[[#This Row],[Store_ID]],Store_Dim!$A$3:$D$22,2,FALSE)</f>
        <v>Guerrero-Schmitt-East</v>
      </c>
      <c r="L1475" t="s">
        <v>1761</v>
      </c>
      <c r="M1475" t="s">
        <v>3960</v>
      </c>
      <c r="N1475" s="3">
        <v>227.97</v>
      </c>
      <c r="O1475" s="4">
        <v>0.08</v>
      </c>
      <c r="P1475" t="s">
        <v>1777</v>
      </c>
      <c r="Q1475" s="4">
        <v>419.46480000000003</v>
      </c>
    </row>
    <row r="1476" spans="1:17" x14ac:dyDescent="0.3">
      <c r="A1476" t="s">
        <v>3248</v>
      </c>
      <c r="B1476" t="str">
        <f t="shared" si="23"/>
        <v>Q3</v>
      </c>
      <c r="C1476" t="str">
        <f>TEXT(Table1[[#This Row],[Order_Date]],"mmmm")</f>
        <v>August</v>
      </c>
      <c r="D1476">
        <f>YEAR(Table1[[#This Row],[Order_Date]])</f>
        <v>2024</v>
      </c>
      <c r="E1476" s="7">
        <v>45516</v>
      </c>
      <c r="F1476" s="2" t="str">
        <f>VLOOKUP(Table1[[#This Row],[Customer_ID]],Customer_Dim!$A$2:$H$501,2,FALSE)</f>
        <v>Joshua Howard</v>
      </c>
      <c r="G1476" s="2" t="str">
        <f>_xlfn.XLOOKUP(Table1[[#This Row],[Customer_ID]],Customer_Dim!$A$2:$A$501,Customer_Dim!$E$2:$E$501)</f>
        <v>East Christopherhaven</v>
      </c>
      <c r="H1476" t="s">
        <v>1445</v>
      </c>
      <c r="I1476" t="str">
        <f>VLOOKUP(Table1[[#This Row],[Product_ID]],Product_Dim!$A$2:$G$101,2,FALSE)</f>
        <v>Portable Power Bank-Electronics</v>
      </c>
      <c r="J1476" t="s">
        <v>1601</v>
      </c>
      <c r="K1476" t="str">
        <f>VLOOKUP(Table1[[#This Row],[Store_ID]],Store_Dim!$A$3:$D$22,2,FALSE)</f>
        <v>Aguirre-Keller-South</v>
      </c>
      <c r="L1476" t="s">
        <v>1750</v>
      </c>
      <c r="M1476" t="s">
        <v>3959</v>
      </c>
      <c r="N1476" s="3">
        <v>278.70999999999998</v>
      </c>
      <c r="O1476" s="4">
        <v>0.2</v>
      </c>
      <c r="P1476" t="s">
        <v>1774</v>
      </c>
      <c r="Q1476" s="4">
        <v>891.87199999999996</v>
      </c>
    </row>
    <row r="1477" spans="1:17" x14ac:dyDescent="0.3">
      <c r="A1477" t="s">
        <v>3249</v>
      </c>
      <c r="B1477" t="str">
        <f t="shared" si="23"/>
        <v>Q1</v>
      </c>
      <c r="C1477" t="str">
        <f>TEXT(Table1[[#This Row],[Order_Date]],"mmmm")</f>
        <v>March</v>
      </c>
      <c r="D1477">
        <f>YEAR(Table1[[#This Row],[Order_Date]])</f>
        <v>2024</v>
      </c>
      <c r="E1477" s="7">
        <v>45379</v>
      </c>
      <c r="F1477" s="2" t="str">
        <f>VLOOKUP(Table1[[#This Row],[Customer_ID]],Customer_Dim!$A$2:$H$501,2,FALSE)</f>
        <v>Beth Allen</v>
      </c>
      <c r="G1477" s="2" t="str">
        <f>_xlfn.XLOOKUP(Table1[[#This Row],[Customer_ID]],Customer_Dim!$A$2:$A$501,Customer_Dim!$E$2:$E$501)</f>
        <v>South Kathrynmouth</v>
      </c>
      <c r="H1477" t="s">
        <v>820</v>
      </c>
      <c r="I1477" t="str">
        <f>VLOOKUP(Table1[[#This Row],[Product_ID]],Product_Dim!$A$2:$G$101,2,FALSE)</f>
        <v>Stainless Steel Cookware Set-Home</v>
      </c>
      <c r="J1477" t="s">
        <v>1721</v>
      </c>
      <c r="K1477" t="str">
        <f>VLOOKUP(Table1[[#This Row],[Store_ID]],Store_Dim!$A$3:$D$22,2,FALSE)</f>
        <v>Bean, Jones and Park-West</v>
      </c>
      <c r="L1477" t="s">
        <v>1744</v>
      </c>
      <c r="M1477" t="s">
        <v>3960</v>
      </c>
      <c r="N1477" s="3">
        <v>916.12</v>
      </c>
      <c r="O1477" s="4">
        <v>0.05</v>
      </c>
      <c r="P1477" t="s">
        <v>1774</v>
      </c>
      <c r="Q1477" s="4">
        <v>1740.6279999999999</v>
      </c>
    </row>
    <row r="1478" spans="1:17" x14ac:dyDescent="0.3">
      <c r="A1478" t="s">
        <v>3250</v>
      </c>
      <c r="B1478" t="str">
        <f t="shared" si="23"/>
        <v>Q4</v>
      </c>
      <c r="C1478" t="str">
        <f>TEXT(Table1[[#This Row],[Order_Date]],"mmmm")</f>
        <v>October</v>
      </c>
      <c r="D1478">
        <f>YEAR(Table1[[#This Row],[Order_Date]])</f>
        <v>2024</v>
      </c>
      <c r="E1478" s="7">
        <v>45567</v>
      </c>
      <c r="F1478" s="2" t="str">
        <f>VLOOKUP(Table1[[#This Row],[Customer_ID]],Customer_Dim!$A$2:$H$501,2,FALSE)</f>
        <v>Hayley Pope</v>
      </c>
      <c r="G1478" s="2" t="str">
        <f>_xlfn.XLOOKUP(Table1[[#This Row],[Customer_ID]],Customer_Dim!$A$2:$A$501,Customer_Dim!$E$2:$E$501)</f>
        <v>West Stephenville</v>
      </c>
      <c r="H1478" t="s">
        <v>450</v>
      </c>
      <c r="I1478" t="str">
        <f>VLOOKUP(Table1[[#This Row],[Product_ID]],Product_Dim!$A$2:$G$101,2,FALSE)</f>
        <v>Ceramic Kitchen Bowl Set-Home</v>
      </c>
      <c r="J1478" t="s">
        <v>1543</v>
      </c>
      <c r="K1478" t="str">
        <f>VLOOKUP(Table1[[#This Row],[Store_ID]],Store_Dim!$A$3:$D$22,2,FALSE)</f>
        <v>Thomas, Bridges and Harris-North</v>
      </c>
      <c r="L1478" t="s">
        <v>1751</v>
      </c>
      <c r="M1478" t="s">
        <v>3959</v>
      </c>
      <c r="N1478" s="3">
        <v>228.98</v>
      </c>
      <c r="O1478" s="4">
        <v>0.22</v>
      </c>
      <c r="P1478" t="s">
        <v>1774</v>
      </c>
      <c r="Q1478" s="4">
        <v>714.41759999999999</v>
      </c>
    </row>
    <row r="1479" spans="1:17" x14ac:dyDescent="0.3">
      <c r="A1479" t="s">
        <v>3251</v>
      </c>
      <c r="B1479" t="str">
        <f t="shared" si="23"/>
        <v>Q3</v>
      </c>
      <c r="C1479" t="str">
        <f>TEXT(Table1[[#This Row],[Order_Date]],"mmmm")</f>
        <v>August</v>
      </c>
      <c r="D1479">
        <f>YEAR(Table1[[#This Row],[Order_Date]])</f>
        <v>2024</v>
      </c>
      <c r="E1479" s="7">
        <v>45510</v>
      </c>
      <c r="F1479" s="2" t="str">
        <f>VLOOKUP(Table1[[#This Row],[Customer_ID]],Customer_Dim!$A$2:$H$501,2,FALSE)</f>
        <v>Nathaniel Hill</v>
      </c>
      <c r="G1479" s="2" t="str">
        <f>_xlfn.XLOOKUP(Table1[[#This Row],[Customer_ID]],Customer_Dim!$A$2:$A$501,Customer_Dim!$E$2:$E$501)</f>
        <v>Lake Mark</v>
      </c>
      <c r="H1479" t="s">
        <v>746</v>
      </c>
      <c r="I1479" t="str">
        <f>VLOOKUP(Table1[[#This Row],[Product_ID]],Product_Dim!$A$2:$G$101,2,FALSE)</f>
        <v>Face Foundation Kit-Beauty</v>
      </c>
      <c r="J1479" t="s">
        <v>1701</v>
      </c>
      <c r="K1479" t="str">
        <f>VLOOKUP(Table1[[#This Row],[Store_ID]],Store_Dim!$A$3:$D$22,2,FALSE)</f>
        <v>Shelton PLC-North</v>
      </c>
      <c r="L1479" t="s">
        <v>1755</v>
      </c>
      <c r="M1479" t="s">
        <v>3959</v>
      </c>
      <c r="N1479" s="3">
        <v>904.82</v>
      </c>
      <c r="O1479" s="4">
        <v>0.09</v>
      </c>
      <c r="P1479" t="s">
        <v>1774</v>
      </c>
      <c r="Q1479" s="4">
        <v>3293.5448000000001</v>
      </c>
    </row>
    <row r="1480" spans="1:17" x14ac:dyDescent="0.3">
      <c r="A1480" t="s">
        <v>3252</v>
      </c>
      <c r="B1480" t="str">
        <f t="shared" si="23"/>
        <v>Q2</v>
      </c>
      <c r="C1480" t="str">
        <f>TEXT(Table1[[#This Row],[Order_Date]],"mmmm")</f>
        <v>May</v>
      </c>
      <c r="D1480">
        <f>YEAR(Table1[[#This Row],[Order_Date]])</f>
        <v>2025</v>
      </c>
      <c r="E1480" s="7">
        <v>45806</v>
      </c>
      <c r="F1480" s="2" t="str">
        <f>VLOOKUP(Table1[[#This Row],[Customer_ID]],Customer_Dim!$A$2:$H$501,2,FALSE)</f>
        <v>Krystal Ford</v>
      </c>
      <c r="G1480" s="2" t="str">
        <f>_xlfn.XLOOKUP(Table1[[#This Row],[Customer_ID]],Customer_Dim!$A$2:$A$501,Customer_Dim!$E$2:$E$501)</f>
        <v>South David</v>
      </c>
      <c r="H1480" t="s">
        <v>292</v>
      </c>
      <c r="I1480" t="str">
        <f>VLOOKUP(Table1[[#This Row],[Product_ID]],Product_Dim!$A$2:$G$101,2,FALSE)</f>
        <v>Men's Formal Shirt-Clothing</v>
      </c>
      <c r="J1480" t="s">
        <v>1569</v>
      </c>
      <c r="K1480" t="str">
        <f>VLOOKUP(Table1[[#This Row],[Store_ID]],Store_Dim!$A$3:$D$22,2,FALSE)</f>
        <v>Aguirre-Keller-South</v>
      </c>
      <c r="L1480" t="s">
        <v>1750</v>
      </c>
      <c r="M1480" t="s">
        <v>3957</v>
      </c>
      <c r="N1480" s="3">
        <v>588.61</v>
      </c>
      <c r="O1480" s="4">
        <v>0.1</v>
      </c>
      <c r="P1480" t="s">
        <v>1774</v>
      </c>
      <c r="Q1480" s="4">
        <v>529.74900000000002</v>
      </c>
    </row>
    <row r="1481" spans="1:17" x14ac:dyDescent="0.3">
      <c r="A1481" t="s">
        <v>3253</v>
      </c>
      <c r="B1481" t="str">
        <f t="shared" si="23"/>
        <v>Q4</v>
      </c>
      <c r="C1481" t="str">
        <f>TEXT(Table1[[#This Row],[Order_Date]],"mmmm")</f>
        <v>November</v>
      </c>
      <c r="D1481">
        <f>YEAR(Table1[[#This Row],[Order_Date]])</f>
        <v>2023</v>
      </c>
      <c r="E1481" s="7">
        <v>45240</v>
      </c>
      <c r="F1481" s="2" t="str">
        <f>VLOOKUP(Table1[[#This Row],[Customer_ID]],Customer_Dim!$A$2:$H$501,2,FALSE)</f>
        <v>Edward Hall</v>
      </c>
      <c r="G1481" s="2" t="str">
        <f>_xlfn.XLOOKUP(Table1[[#This Row],[Customer_ID]],Customer_Dim!$A$2:$A$501,Customer_Dim!$E$2:$E$501)</f>
        <v>New William</v>
      </c>
      <c r="H1481" t="s">
        <v>391</v>
      </c>
      <c r="I1481" t="str">
        <f>VLOOKUP(Table1[[#This Row],[Product_ID]],Product_Dim!$A$2:$G$101,2,FALSE)</f>
        <v>Modern Wall Clock-Home</v>
      </c>
      <c r="J1481" t="s">
        <v>1589</v>
      </c>
      <c r="K1481" t="str">
        <f>VLOOKUP(Table1[[#This Row],[Store_ID]],Store_Dim!$A$3:$D$22,2,FALSE)</f>
        <v>Johnson-Wright-North</v>
      </c>
      <c r="L1481" t="s">
        <v>1733</v>
      </c>
      <c r="M1481" t="s">
        <v>3959</v>
      </c>
      <c r="N1481" s="3">
        <v>695.97</v>
      </c>
      <c r="O1481" s="4">
        <v>0.02</v>
      </c>
      <c r="P1481" t="s">
        <v>1772</v>
      </c>
      <c r="Q1481" s="4">
        <v>2728.2024000000001</v>
      </c>
    </row>
    <row r="1482" spans="1:17" x14ac:dyDescent="0.3">
      <c r="A1482" t="s">
        <v>3254</v>
      </c>
      <c r="B1482" t="str">
        <f t="shared" si="23"/>
        <v>Q1</v>
      </c>
      <c r="C1482" t="str">
        <f>TEXT(Table1[[#This Row],[Order_Date]],"mmmm")</f>
        <v>January</v>
      </c>
      <c r="D1482">
        <f>YEAR(Table1[[#This Row],[Order_Date]])</f>
        <v>2024</v>
      </c>
      <c r="E1482" s="7">
        <v>45309</v>
      </c>
      <c r="F1482" s="2" t="str">
        <f>VLOOKUP(Table1[[#This Row],[Customer_ID]],Customer_Dim!$A$2:$H$501,2,FALSE)</f>
        <v>Ryan Kane</v>
      </c>
      <c r="G1482" s="2" t="str">
        <f>_xlfn.XLOOKUP(Table1[[#This Row],[Customer_ID]],Customer_Dim!$A$2:$A$501,Customer_Dim!$E$2:$E$501)</f>
        <v>West Bruceburgh</v>
      </c>
      <c r="H1482" t="s">
        <v>942</v>
      </c>
      <c r="I1482" t="str">
        <f>VLOOKUP(Table1[[#This Row],[Product_ID]],Product_Dim!$A$2:$G$101,2,FALSE)</f>
        <v>Cricket Bat-Sports</v>
      </c>
      <c r="J1482" t="s">
        <v>1717</v>
      </c>
      <c r="K1482" t="str">
        <f>VLOOKUP(Table1[[#This Row],[Store_ID]],Store_Dim!$A$3:$D$22,2,FALSE)</f>
        <v>Aguirre-Keller-South</v>
      </c>
      <c r="L1482" t="s">
        <v>1750</v>
      </c>
      <c r="M1482" t="s">
        <v>3960</v>
      </c>
      <c r="N1482" s="3">
        <v>181.42</v>
      </c>
      <c r="O1482" s="4">
        <v>0.08</v>
      </c>
      <c r="P1482" t="s">
        <v>1774</v>
      </c>
      <c r="Q1482" s="4">
        <v>333.81279999999998</v>
      </c>
    </row>
    <row r="1483" spans="1:17" x14ac:dyDescent="0.3">
      <c r="A1483" t="s">
        <v>3255</v>
      </c>
      <c r="B1483" t="str">
        <f t="shared" si="23"/>
        <v>Q1</v>
      </c>
      <c r="C1483" t="str">
        <f>TEXT(Table1[[#This Row],[Order_Date]],"mmmm")</f>
        <v>March</v>
      </c>
      <c r="D1483">
        <f>YEAR(Table1[[#This Row],[Order_Date]])</f>
        <v>2024</v>
      </c>
      <c r="E1483" s="7">
        <v>45375</v>
      </c>
      <c r="F1483" s="2" t="str">
        <f>VLOOKUP(Table1[[#This Row],[Customer_ID]],Customer_Dim!$A$2:$H$501,2,FALSE)</f>
        <v>Jonathan Steele</v>
      </c>
      <c r="G1483" s="2" t="str">
        <f>_xlfn.XLOOKUP(Table1[[#This Row],[Customer_ID]],Customer_Dim!$A$2:$A$501,Customer_Dim!$E$2:$E$501)</f>
        <v>Molinabury</v>
      </c>
      <c r="H1483" t="s">
        <v>100</v>
      </c>
      <c r="I1483" t="str">
        <f>VLOOKUP(Table1[[#This Row],[Product_ID]],Product_Dim!$A$2:$G$101,2,FALSE)</f>
        <v>Cricket Bat-Sports</v>
      </c>
      <c r="J1483" t="s">
        <v>1717</v>
      </c>
      <c r="K1483" t="str">
        <f>VLOOKUP(Table1[[#This Row],[Store_ID]],Store_Dim!$A$3:$D$22,2,FALSE)</f>
        <v>Gardner, Humphrey and Contreras-East</v>
      </c>
      <c r="L1483" t="s">
        <v>1753</v>
      </c>
      <c r="M1483" t="s">
        <v>3957</v>
      </c>
      <c r="N1483" s="3">
        <v>439.55</v>
      </c>
      <c r="O1483" s="4">
        <v>0.28999999999999998</v>
      </c>
      <c r="P1483" t="s">
        <v>1777</v>
      </c>
      <c r="Q1483" s="4">
        <v>312.08049999999997</v>
      </c>
    </row>
    <row r="1484" spans="1:17" x14ac:dyDescent="0.3">
      <c r="A1484" t="s">
        <v>3256</v>
      </c>
      <c r="B1484" t="str">
        <f t="shared" si="23"/>
        <v>Q1</v>
      </c>
      <c r="C1484" t="str">
        <f>TEXT(Table1[[#This Row],[Order_Date]],"mmmm")</f>
        <v>March</v>
      </c>
      <c r="D1484">
        <f>YEAR(Table1[[#This Row],[Order_Date]])</f>
        <v>2025</v>
      </c>
      <c r="E1484" s="7">
        <v>45733</v>
      </c>
      <c r="F1484" s="2" t="str">
        <f>VLOOKUP(Table1[[#This Row],[Customer_ID]],Customer_Dim!$A$2:$H$501,2,FALSE)</f>
        <v>Ryan Hernandez</v>
      </c>
      <c r="G1484" s="2" t="str">
        <f>_xlfn.XLOOKUP(Table1[[#This Row],[Customer_ID]],Customer_Dim!$A$2:$A$501,Customer_Dim!$E$2:$E$501)</f>
        <v>East Donna</v>
      </c>
      <c r="H1484" t="s">
        <v>394</v>
      </c>
      <c r="I1484" t="str">
        <f>VLOOKUP(Table1[[#This Row],[Product_ID]],Product_Dim!$A$2:$G$101,2,FALSE)</f>
        <v>Ceramic Plant Pot-Home</v>
      </c>
      <c r="J1484" t="s">
        <v>1633</v>
      </c>
      <c r="K1484" t="str">
        <f>VLOOKUP(Table1[[#This Row],[Store_ID]],Store_Dim!$A$3:$D$22,2,FALSE)</f>
        <v>Guerrero-Schmitt-East</v>
      </c>
      <c r="L1484" t="s">
        <v>1761</v>
      </c>
      <c r="M1484" t="s">
        <v>3958</v>
      </c>
      <c r="N1484" s="3">
        <v>471.27</v>
      </c>
      <c r="O1484" s="4">
        <v>0.27</v>
      </c>
      <c r="P1484" t="s">
        <v>1777</v>
      </c>
      <c r="Q1484" s="4">
        <v>1032.0813000000001</v>
      </c>
    </row>
    <row r="1485" spans="1:17" x14ac:dyDescent="0.3">
      <c r="A1485" t="s">
        <v>3257</v>
      </c>
      <c r="B1485" t="str">
        <f t="shared" si="23"/>
        <v>Q2</v>
      </c>
      <c r="C1485" t="str">
        <f>TEXT(Table1[[#This Row],[Order_Date]],"mmmm")</f>
        <v>May</v>
      </c>
      <c r="D1485">
        <f>YEAR(Table1[[#This Row],[Order_Date]])</f>
        <v>2024</v>
      </c>
      <c r="E1485" s="7">
        <v>45435</v>
      </c>
      <c r="F1485" s="2" t="str">
        <f>VLOOKUP(Table1[[#This Row],[Customer_ID]],Customer_Dim!$A$2:$H$501,2,FALSE)</f>
        <v>Denise Williams</v>
      </c>
      <c r="G1485" s="2" t="str">
        <f>_xlfn.XLOOKUP(Table1[[#This Row],[Customer_ID]],Customer_Dim!$A$2:$A$501,Customer_Dim!$E$2:$E$501)</f>
        <v>Christianstad</v>
      </c>
      <c r="H1485" t="s">
        <v>171</v>
      </c>
      <c r="I1485" t="str">
        <f>VLOOKUP(Table1[[#This Row],[Product_ID]],Product_Dim!$A$2:$G$101,2,FALSE)</f>
        <v>Men's Hair Styling Gel-Beauty</v>
      </c>
      <c r="J1485" t="s">
        <v>1641</v>
      </c>
      <c r="K1485" t="str">
        <f>VLOOKUP(Table1[[#This Row],[Store_ID]],Store_Dim!$A$3:$D$22,2,FALSE)</f>
        <v>Thomas, Bridges and Harris-North</v>
      </c>
      <c r="L1485" t="s">
        <v>1751</v>
      </c>
      <c r="M1485" t="s">
        <v>3957</v>
      </c>
      <c r="N1485" s="3">
        <v>758.89</v>
      </c>
      <c r="O1485" s="4">
        <v>0.1</v>
      </c>
      <c r="P1485" t="s">
        <v>1772</v>
      </c>
      <c r="Q1485" s="4">
        <v>683.00099999999998</v>
      </c>
    </row>
    <row r="1486" spans="1:17" x14ac:dyDescent="0.3">
      <c r="A1486" t="s">
        <v>3258</v>
      </c>
      <c r="B1486" t="str">
        <f t="shared" si="23"/>
        <v>Q3</v>
      </c>
      <c r="C1486" t="str">
        <f>TEXT(Table1[[#This Row],[Order_Date]],"mmmm")</f>
        <v>July</v>
      </c>
      <c r="D1486">
        <f>YEAR(Table1[[#This Row],[Order_Date]])</f>
        <v>2025</v>
      </c>
      <c r="E1486" s="7">
        <v>45864</v>
      </c>
      <c r="F1486" s="2" t="str">
        <f>VLOOKUP(Table1[[#This Row],[Customer_ID]],Customer_Dim!$A$2:$H$501,2,FALSE)</f>
        <v>Sara Ingram</v>
      </c>
      <c r="G1486" s="2" t="str">
        <f>_xlfn.XLOOKUP(Table1[[#This Row],[Customer_ID]],Customer_Dim!$A$2:$A$501,Customer_Dim!$E$2:$E$501)</f>
        <v>East Dillonview</v>
      </c>
      <c r="H1486" t="s">
        <v>1475</v>
      </c>
      <c r="I1486" t="str">
        <f>VLOOKUP(Table1[[#This Row],[Product_ID]],Product_Dim!$A$2:$G$101,2,FALSE)</f>
        <v>Sports Stopwatch Basic-Sports</v>
      </c>
      <c r="J1486" t="s">
        <v>1713</v>
      </c>
      <c r="K1486" t="str">
        <f>VLOOKUP(Table1[[#This Row],[Store_ID]],Store_Dim!$A$3:$D$22,2,FALSE)</f>
        <v>Shelton PLC-North</v>
      </c>
      <c r="L1486" t="s">
        <v>1755</v>
      </c>
      <c r="M1486" t="s">
        <v>3959</v>
      </c>
      <c r="N1486" s="3">
        <v>918.1</v>
      </c>
      <c r="O1486" s="4">
        <v>0.19</v>
      </c>
      <c r="P1486" t="s">
        <v>1777</v>
      </c>
      <c r="Q1486" s="4">
        <v>2974.6439999999998</v>
      </c>
    </row>
    <row r="1487" spans="1:17" x14ac:dyDescent="0.3">
      <c r="A1487" t="s">
        <v>3259</v>
      </c>
      <c r="B1487" t="str">
        <f t="shared" si="23"/>
        <v>Q4</v>
      </c>
      <c r="C1487" t="str">
        <f>TEXT(Table1[[#This Row],[Order_Date]],"mmmm")</f>
        <v>October</v>
      </c>
      <c r="D1487">
        <f>YEAR(Table1[[#This Row],[Order_Date]])</f>
        <v>2024</v>
      </c>
      <c r="E1487" s="7">
        <v>45569</v>
      </c>
      <c r="F1487" s="2" t="str">
        <f>VLOOKUP(Table1[[#This Row],[Customer_ID]],Customer_Dim!$A$2:$H$501,2,FALSE)</f>
        <v>Beth Allen</v>
      </c>
      <c r="G1487" s="2" t="str">
        <f>_xlfn.XLOOKUP(Table1[[#This Row],[Customer_ID]],Customer_Dim!$A$2:$A$501,Customer_Dim!$E$2:$E$501)</f>
        <v>South Kathrynmouth</v>
      </c>
      <c r="H1487" t="s">
        <v>820</v>
      </c>
      <c r="I1487" t="str">
        <f>VLOOKUP(Table1[[#This Row],[Product_ID]],Product_Dim!$A$2:$G$101,2,FALSE)</f>
        <v>Vitamin E Body Lotion-Beauty</v>
      </c>
      <c r="J1487" t="s">
        <v>1711</v>
      </c>
      <c r="K1487" t="str">
        <f>VLOOKUP(Table1[[#This Row],[Store_ID]],Store_Dim!$A$3:$D$22,2,FALSE)</f>
        <v>Aguirre-Keller-South</v>
      </c>
      <c r="L1487" t="s">
        <v>1750</v>
      </c>
      <c r="M1487" t="s">
        <v>3957</v>
      </c>
      <c r="N1487" s="3">
        <v>861.5</v>
      </c>
      <c r="O1487" s="4">
        <v>0.05</v>
      </c>
      <c r="P1487" t="s">
        <v>1777</v>
      </c>
      <c r="Q1487" s="4">
        <v>818.42499999999995</v>
      </c>
    </row>
    <row r="1488" spans="1:17" x14ac:dyDescent="0.3">
      <c r="A1488" t="s">
        <v>3260</v>
      </c>
      <c r="B1488" t="str">
        <f t="shared" si="23"/>
        <v>Q1</v>
      </c>
      <c r="C1488" t="str">
        <f>TEXT(Table1[[#This Row],[Order_Date]],"mmmm")</f>
        <v>January</v>
      </c>
      <c r="D1488">
        <f>YEAR(Table1[[#This Row],[Order_Date]])</f>
        <v>2025</v>
      </c>
      <c r="E1488" s="7">
        <v>45664</v>
      </c>
      <c r="F1488" s="2" t="str">
        <f>VLOOKUP(Table1[[#This Row],[Customer_ID]],Customer_Dim!$A$2:$H$501,2,FALSE)</f>
        <v>Beth Martin</v>
      </c>
      <c r="G1488" s="2" t="str">
        <f>_xlfn.XLOOKUP(Table1[[#This Row],[Customer_ID]],Customer_Dim!$A$2:$A$501,Customer_Dim!$E$2:$E$501)</f>
        <v>Burkefurt</v>
      </c>
      <c r="H1488" t="s">
        <v>1409</v>
      </c>
      <c r="I1488" t="str">
        <f>VLOOKUP(Table1[[#This Row],[Product_ID]],Product_Dim!$A$2:$G$101,2,FALSE)</f>
        <v>Carbon Fiber Tennis Racket-Sports</v>
      </c>
      <c r="J1488" t="s">
        <v>1567</v>
      </c>
      <c r="K1488" t="str">
        <f>VLOOKUP(Table1[[#This Row],[Store_ID]],Store_Dim!$A$3:$D$22,2,FALSE)</f>
        <v>Mcdonald Inc-South</v>
      </c>
      <c r="L1488" t="s">
        <v>1754</v>
      </c>
      <c r="M1488" t="s">
        <v>3957</v>
      </c>
      <c r="N1488" s="3">
        <v>588.29999999999995</v>
      </c>
      <c r="O1488" s="4">
        <v>0.26</v>
      </c>
      <c r="P1488" t="s">
        <v>1777</v>
      </c>
      <c r="Q1488" s="4">
        <v>435.34199999999998</v>
      </c>
    </row>
    <row r="1489" spans="1:17" x14ac:dyDescent="0.3">
      <c r="A1489" t="s">
        <v>3261</v>
      </c>
      <c r="B1489" t="str">
        <f t="shared" si="23"/>
        <v>Q4</v>
      </c>
      <c r="C1489" t="str">
        <f>TEXT(Table1[[#This Row],[Order_Date]],"mmmm")</f>
        <v>December</v>
      </c>
      <c r="D1489">
        <f>YEAR(Table1[[#This Row],[Order_Date]])</f>
        <v>2024</v>
      </c>
      <c r="E1489" s="7">
        <v>45645</v>
      </c>
      <c r="F1489" s="2" t="str">
        <f>VLOOKUP(Table1[[#This Row],[Customer_ID]],Customer_Dim!$A$2:$H$501,2,FALSE)</f>
        <v>Beth Martin</v>
      </c>
      <c r="G1489" s="2" t="str">
        <f>_xlfn.XLOOKUP(Table1[[#This Row],[Customer_ID]],Customer_Dim!$A$2:$A$501,Customer_Dim!$E$2:$E$501)</f>
        <v>Burkefurt</v>
      </c>
      <c r="H1489" t="s">
        <v>1409</v>
      </c>
      <c r="I1489" t="str">
        <f>VLOOKUP(Table1[[#This Row],[Product_ID]],Product_Dim!$A$2:$G$101,2,FALSE)</f>
        <v>Ceramic Plant Pot-Home</v>
      </c>
      <c r="J1489" t="s">
        <v>1633</v>
      </c>
      <c r="K1489" t="str">
        <f>VLOOKUP(Table1[[#This Row],[Store_ID]],Store_Dim!$A$3:$D$22,2,FALSE)</f>
        <v>Martinez-Mullins-South</v>
      </c>
      <c r="L1489" t="s">
        <v>1742</v>
      </c>
      <c r="M1489" t="s">
        <v>3957</v>
      </c>
      <c r="N1489" s="3">
        <v>917.26</v>
      </c>
      <c r="O1489" s="4">
        <v>0.05</v>
      </c>
      <c r="P1489" t="s">
        <v>1774</v>
      </c>
      <c r="Q1489" s="4">
        <v>871.39699999999993</v>
      </c>
    </row>
    <row r="1490" spans="1:17" x14ac:dyDescent="0.3">
      <c r="A1490" t="s">
        <v>3262</v>
      </c>
      <c r="B1490" t="str">
        <f t="shared" si="23"/>
        <v>Q2</v>
      </c>
      <c r="C1490" t="str">
        <f>TEXT(Table1[[#This Row],[Order_Date]],"mmmm")</f>
        <v>June</v>
      </c>
      <c r="D1490">
        <f>YEAR(Table1[[#This Row],[Order_Date]])</f>
        <v>2024</v>
      </c>
      <c r="E1490" s="7">
        <v>45449</v>
      </c>
      <c r="F1490" s="2" t="str">
        <f>VLOOKUP(Table1[[#This Row],[Customer_ID]],Customer_Dim!$A$2:$H$501,2,FALSE)</f>
        <v>Michelle Gonzalez</v>
      </c>
      <c r="G1490" s="2" t="str">
        <f>_xlfn.XLOOKUP(Table1[[#This Row],[Customer_ID]],Customer_Dim!$A$2:$A$501,Customer_Dim!$E$2:$E$501)</f>
        <v>Clarkport</v>
      </c>
      <c r="H1490" t="s">
        <v>743</v>
      </c>
      <c r="I1490" t="str">
        <f>VLOOKUP(Table1[[#This Row],[Product_ID]],Product_Dim!$A$2:$G$101,2,FALSE)</f>
        <v>Herbal Face Moisturizer-Beauty</v>
      </c>
      <c r="J1490" t="s">
        <v>1535</v>
      </c>
      <c r="K1490" t="str">
        <f>VLOOKUP(Table1[[#This Row],[Store_ID]],Store_Dim!$A$3:$D$22,2,FALSE)</f>
        <v>Guerrero-Schmitt-East</v>
      </c>
      <c r="L1490" t="s">
        <v>1761</v>
      </c>
      <c r="M1490" t="s">
        <v>3959</v>
      </c>
      <c r="N1490" s="3">
        <v>96.78</v>
      </c>
      <c r="O1490" s="4">
        <v>0.11</v>
      </c>
      <c r="P1490" t="s">
        <v>1774</v>
      </c>
      <c r="Q1490" s="4">
        <v>344.53680000000003</v>
      </c>
    </row>
    <row r="1491" spans="1:17" x14ac:dyDescent="0.3">
      <c r="A1491" t="s">
        <v>3263</v>
      </c>
      <c r="B1491" t="str">
        <f t="shared" si="23"/>
        <v>Q4</v>
      </c>
      <c r="C1491" t="str">
        <f>TEXT(Table1[[#This Row],[Order_Date]],"mmmm")</f>
        <v>December</v>
      </c>
      <c r="D1491">
        <f>YEAR(Table1[[#This Row],[Order_Date]])</f>
        <v>2024</v>
      </c>
      <c r="E1491" s="7">
        <v>45629</v>
      </c>
      <c r="F1491" s="2" t="str">
        <f>VLOOKUP(Table1[[#This Row],[Customer_ID]],Customer_Dim!$A$2:$H$501,2,FALSE)</f>
        <v>Earl Smith Dds</v>
      </c>
      <c r="G1491" s="2" t="str">
        <f>_xlfn.XLOOKUP(Table1[[#This Row],[Customer_ID]],Customer_Dim!$A$2:$A$501,Customer_Dim!$E$2:$E$501)</f>
        <v>West Sarah</v>
      </c>
      <c r="H1491" t="s">
        <v>1456</v>
      </c>
      <c r="I1491" t="str">
        <f>VLOOKUP(Table1[[#This Row],[Product_ID]],Product_Dim!$A$2:$G$101,2,FALSE)</f>
        <v>Sports Stopwatch Timer-Sports</v>
      </c>
      <c r="J1491" t="s">
        <v>1579</v>
      </c>
      <c r="K1491" t="str">
        <f>VLOOKUP(Table1[[#This Row],[Store_ID]],Store_Dim!$A$3:$D$22,2,FALSE)</f>
        <v>Alexander Group-South</v>
      </c>
      <c r="L1491" t="s">
        <v>1735</v>
      </c>
      <c r="M1491" t="s">
        <v>3958</v>
      </c>
      <c r="N1491" s="3">
        <v>199.41</v>
      </c>
      <c r="O1491" s="4">
        <v>0.16</v>
      </c>
      <c r="P1491" t="s">
        <v>1777</v>
      </c>
      <c r="Q1491" s="4">
        <v>502.51319999999998</v>
      </c>
    </row>
    <row r="1492" spans="1:17" x14ac:dyDescent="0.3">
      <c r="A1492" t="s">
        <v>3264</v>
      </c>
      <c r="B1492" t="str">
        <f t="shared" si="23"/>
        <v>Q1</v>
      </c>
      <c r="C1492" t="str">
        <f>TEXT(Table1[[#This Row],[Order_Date]],"mmmm")</f>
        <v>March</v>
      </c>
      <c r="D1492">
        <f>YEAR(Table1[[#This Row],[Order_Date]])</f>
        <v>2025</v>
      </c>
      <c r="E1492" s="7">
        <v>45739</v>
      </c>
      <c r="F1492" s="2" t="str">
        <f>VLOOKUP(Table1[[#This Row],[Customer_ID]],Customer_Dim!$A$2:$H$501,2,FALSE)</f>
        <v>Michael Torres</v>
      </c>
      <c r="G1492" s="2" t="str">
        <f>_xlfn.XLOOKUP(Table1[[#This Row],[Customer_ID]],Customer_Dim!$A$2:$A$501,Customer_Dim!$E$2:$E$501)</f>
        <v>Gonzalezfort</v>
      </c>
      <c r="H1492" t="s">
        <v>85</v>
      </c>
      <c r="I1492" t="str">
        <f>VLOOKUP(Table1[[#This Row],[Product_ID]],Product_Dim!$A$2:$G$101,2,FALSE)</f>
        <v>Sports Stopwatch Pro-Sports</v>
      </c>
      <c r="J1492" t="s">
        <v>1631</v>
      </c>
      <c r="K1492" t="str">
        <f>VLOOKUP(Table1[[#This Row],[Store_ID]],Store_Dim!$A$3:$D$22,2,FALSE)</f>
        <v>Moore, Padilla and Butler-South</v>
      </c>
      <c r="L1492" t="s">
        <v>1746</v>
      </c>
      <c r="M1492" t="s">
        <v>3957</v>
      </c>
      <c r="N1492" s="3">
        <v>687.91</v>
      </c>
      <c r="O1492" s="4">
        <v>0.25</v>
      </c>
      <c r="P1492" t="s">
        <v>1772</v>
      </c>
      <c r="Q1492" s="4">
        <v>515.9325</v>
      </c>
    </row>
    <row r="1493" spans="1:17" x14ac:dyDescent="0.3">
      <c r="A1493" t="s">
        <v>3265</v>
      </c>
      <c r="B1493" t="str">
        <f t="shared" si="23"/>
        <v>Q3</v>
      </c>
      <c r="C1493" t="str">
        <f>TEXT(Table1[[#This Row],[Order_Date]],"mmmm")</f>
        <v>July</v>
      </c>
      <c r="D1493">
        <f>YEAR(Table1[[#This Row],[Order_Date]])</f>
        <v>2025</v>
      </c>
      <c r="E1493" s="7">
        <v>45849</v>
      </c>
      <c r="F1493" s="2" t="str">
        <f>VLOOKUP(Table1[[#This Row],[Customer_ID]],Customer_Dim!$A$2:$H$501,2,FALSE)</f>
        <v>Tonya Reynolds</v>
      </c>
      <c r="G1493" s="2" t="str">
        <f>_xlfn.XLOOKUP(Table1[[#This Row],[Customer_ID]],Customer_Dim!$A$2:$A$501,Customer_Dim!$E$2:$E$501)</f>
        <v>Darleneton</v>
      </c>
      <c r="H1493" t="s">
        <v>152</v>
      </c>
      <c r="I1493" t="str">
        <f>VLOOKUP(Table1[[#This Row],[Product_ID]],Product_Dim!$A$2:$G$101,2,FALSE)</f>
        <v>Hair Repair Oil Treatment-Beauty</v>
      </c>
      <c r="J1493" t="s">
        <v>1665</v>
      </c>
      <c r="K1493" t="str">
        <f>VLOOKUP(Table1[[#This Row],[Store_ID]],Store_Dim!$A$3:$D$22,2,FALSE)</f>
        <v>Black-Horn-South</v>
      </c>
      <c r="L1493" t="s">
        <v>1730</v>
      </c>
      <c r="M1493" t="s">
        <v>3958</v>
      </c>
      <c r="N1493" s="3">
        <v>769.62</v>
      </c>
      <c r="O1493" s="4">
        <v>0.09</v>
      </c>
      <c r="P1493" t="s">
        <v>1774</v>
      </c>
      <c r="Q1493" s="4">
        <v>2101.0626000000002</v>
      </c>
    </row>
    <row r="1494" spans="1:17" x14ac:dyDescent="0.3">
      <c r="A1494" t="s">
        <v>3266</v>
      </c>
      <c r="B1494" t="str">
        <f t="shared" si="23"/>
        <v>Q4</v>
      </c>
      <c r="C1494" t="str">
        <f>TEXT(Table1[[#This Row],[Order_Date]],"mmmm")</f>
        <v>October</v>
      </c>
      <c r="D1494">
        <f>YEAR(Table1[[#This Row],[Order_Date]])</f>
        <v>2023</v>
      </c>
      <c r="E1494" s="7">
        <v>45230</v>
      </c>
      <c r="F1494" s="2" t="str">
        <f>VLOOKUP(Table1[[#This Row],[Customer_ID]],Customer_Dim!$A$2:$H$501,2,FALSE)</f>
        <v>George Davis</v>
      </c>
      <c r="G1494" s="2" t="str">
        <f>_xlfn.XLOOKUP(Table1[[#This Row],[Customer_ID]],Customer_Dim!$A$2:$A$501,Customer_Dim!$E$2:$E$501)</f>
        <v xml:space="preserve">    lake lisa</v>
      </c>
      <c r="H1494" t="s">
        <v>707</v>
      </c>
      <c r="I1494" t="str">
        <f>VLOOKUP(Table1[[#This Row],[Product_ID]],Product_Dim!$A$2:$G$101,2,FALSE)</f>
        <v>Women's Yoga Pants-Clothing</v>
      </c>
      <c r="J1494" t="s">
        <v>1531</v>
      </c>
      <c r="K1494" t="str">
        <f>VLOOKUP(Table1[[#This Row],[Store_ID]],Store_Dim!$A$3:$D$22,2,FALSE)</f>
        <v>Johnson-Wright-North</v>
      </c>
      <c r="L1494" t="s">
        <v>1733</v>
      </c>
      <c r="M1494" t="s">
        <v>3957</v>
      </c>
      <c r="N1494" s="3">
        <v>492.05</v>
      </c>
      <c r="O1494" s="4">
        <v>0.27</v>
      </c>
      <c r="P1494" t="s">
        <v>1772</v>
      </c>
      <c r="Q1494" s="4">
        <v>359.19650000000001</v>
      </c>
    </row>
    <row r="1495" spans="1:17" x14ac:dyDescent="0.3">
      <c r="A1495" t="s">
        <v>3267</v>
      </c>
      <c r="B1495" t="str">
        <f t="shared" si="23"/>
        <v>Q1</v>
      </c>
      <c r="C1495" t="str">
        <f>TEXT(Table1[[#This Row],[Order_Date]],"mmmm")</f>
        <v>January</v>
      </c>
      <c r="D1495">
        <f>YEAR(Table1[[#This Row],[Order_Date]])</f>
        <v>2024</v>
      </c>
      <c r="E1495" s="7">
        <v>45292</v>
      </c>
      <c r="F1495" s="2" t="str">
        <f>VLOOKUP(Table1[[#This Row],[Customer_ID]],Customer_Dim!$A$2:$H$501,2,FALSE)</f>
        <v>Christopher Lester</v>
      </c>
      <c r="G1495" s="2" t="str">
        <f>_xlfn.XLOOKUP(Table1[[#This Row],[Customer_ID]],Customer_Dim!$A$2:$A$501,Customer_Dim!$E$2:$E$501)</f>
        <v>South Jenniferville</v>
      </c>
      <c r="H1495" t="s">
        <v>364</v>
      </c>
      <c r="I1495" t="str">
        <f>VLOOKUP(Table1[[#This Row],[Product_ID]],Product_Dim!$A$2:$G$101,2,FALSE)</f>
        <v>Soccer Training Cone Set-Sports</v>
      </c>
      <c r="J1495" t="s">
        <v>1557</v>
      </c>
      <c r="K1495" t="str">
        <f>VLOOKUP(Table1[[#This Row],[Store_ID]],Store_Dim!$A$3:$D$22,2,FALSE)</f>
        <v>Thomas, Bridges and Harris-North</v>
      </c>
      <c r="L1495" t="s">
        <v>1751</v>
      </c>
      <c r="M1495" t="s">
        <v>3960</v>
      </c>
      <c r="N1495" s="3">
        <v>428.55</v>
      </c>
      <c r="O1495" s="4">
        <v>0.15022044088176348</v>
      </c>
      <c r="P1495" t="s">
        <v>1774</v>
      </c>
      <c r="Q1495" s="4">
        <v>857.1</v>
      </c>
    </row>
    <row r="1496" spans="1:17" x14ac:dyDescent="0.3">
      <c r="A1496" t="s">
        <v>3268</v>
      </c>
      <c r="B1496" t="str">
        <f t="shared" si="23"/>
        <v>Q4</v>
      </c>
      <c r="C1496" t="str">
        <f>TEXT(Table1[[#This Row],[Order_Date]],"mmmm")</f>
        <v>November</v>
      </c>
      <c r="D1496">
        <f>YEAR(Table1[[#This Row],[Order_Date]])</f>
        <v>2023</v>
      </c>
      <c r="E1496" s="7">
        <v>45251</v>
      </c>
      <c r="F1496" s="2" t="str">
        <f>VLOOKUP(Table1[[#This Row],[Customer_ID]],Customer_Dim!$A$2:$H$501,2,FALSE)</f>
        <v>Tanner Thompson</v>
      </c>
      <c r="G1496" s="2" t="str">
        <f>_xlfn.XLOOKUP(Table1[[#This Row],[Customer_ID]],Customer_Dim!$A$2:$A$501,Customer_Dim!$E$2:$E$501)</f>
        <v>Port Lisashire</v>
      </c>
      <c r="H1496" t="s">
        <v>731</v>
      </c>
      <c r="I1496" t="str">
        <f>VLOOKUP(Table1[[#This Row],[Product_ID]],Product_Dim!$A$2:$G$101,2,FALSE)</f>
        <v>Ceramic Kitchen Bowl Set-Home</v>
      </c>
      <c r="J1496" t="s">
        <v>1543</v>
      </c>
      <c r="K1496" t="str">
        <f>VLOOKUP(Table1[[#This Row],[Store_ID]],Store_Dim!$A$3:$D$22,2,FALSE)</f>
        <v>Shelton PLC-North</v>
      </c>
      <c r="L1496" t="s">
        <v>1755</v>
      </c>
      <c r="M1496" t="s">
        <v>3959</v>
      </c>
      <c r="N1496" s="3">
        <v>316.18</v>
      </c>
      <c r="O1496" s="4">
        <v>0.12</v>
      </c>
      <c r="P1496" t="s">
        <v>1772</v>
      </c>
      <c r="Q1496" s="4">
        <v>1112.9536000000001</v>
      </c>
    </row>
    <row r="1497" spans="1:17" x14ac:dyDescent="0.3">
      <c r="A1497" t="s">
        <v>3269</v>
      </c>
      <c r="B1497" t="str">
        <f t="shared" si="23"/>
        <v>Q3</v>
      </c>
      <c r="C1497" t="str">
        <f>TEXT(Table1[[#This Row],[Order_Date]],"mmmm")</f>
        <v>September</v>
      </c>
      <c r="D1497">
        <f>YEAR(Table1[[#This Row],[Order_Date]])</f>
        <v>2024</v>
      </c>
      <c r="E1497" s="7">
        <v>45555</v>
      </c>
      <c r="F1497" s="2" t="str">
        <f>VLOOKUP(Table1[[#This Row],[Customer_ID]],Customer_Dim!$A$2:$H$501,2,FALSE)</f>
        <v>Daniel Boyd</v>
      </c>
      <c r="G1497" s="2" t="str">
        <f>_xlfn.XLOOKUP(Table1[[#This Row],[Customer_ID]],Customer_Dim!$A$2:$A$501,Customer_Dim!$E$2:$E$501)</f>
        <v>West Pamelafurt</v>
      </c>
      <c r="H1497" t="s">
        <v>40</v>
      </c>
      <c r="I1497" t="str">
        <f>VLOOKUP(Table1[[#This Row],[Product_ID]],Product_Dim!$A$2:$G$101,2,FALSE)</f>
        <v>USB-C Fast Charger-Electronics</v>
      </c>
      <c r="J1497" t="s">
        <v>1549</v>
      </c>
      <c r="K1497" t="str">
        <f>VLOOKUP(Table1[[#This Row],[Store_ID]],Store_Dim!$A$3:$D$22,2,FALSE)</f>
        <v>Johnson-Wright-North</v>
      </c>
      <c r="L1497" t="s">
        <v>1733</v>
      </c>
      <c r="M1497" t="s">
        <v>3958</v>
      </c>
      <c r="N1497" s="3">
        <v>162.16999999999999</v>
      </c>
      <c r="O1497" s="4">
        <v>0.15</v>
      </c>
      <c r="P1497" t="s">
        <v>1774</v>
      </c>
      <c r="Q1497" s="4">
        <v>413.5335</v>
      </c>
    </row>
    <row r="1498" spans="1:17" x14ac:dyDescent="0.3">
      <c r="A1498" t="s">
        <v>3270</v>
      </c>
      <c r="B1498" t="str">
        <f t="shared" si="23"/>
        <v>Q2</v>
      </c>
      <c r="C1498" t="str">
        <f>TEXT(Table1[[#This Row],[Order_Date]],"mmmm")</f>
        <v>April</v>
      </c>
      <c r="D1498">
        <f>YEAR(Table1[[#This Row],[Order_Date]])</f>
        <v>2024</v>
      </c>
      <c r="E1498" s="7">
        <v>45385</v>
      </c>
      <c r="F1498" s="2" t="str">
        <f>VLOOKUP(Table1[[#This Row],[Customer_ID]],Customer_Dim!$A$2:$H$501,2,FALSE)</f>
        <v>Maria Phillips</v>
      </c>
      <c r="G1498" s="2" t="str">
        <f>_xlfn.XLOOKUP(Table1[[#This Row],[Customer_ID]],Customer_Dim!$A$2:$A$501,Customer_Dim!$E$2:$E$501)</f>
        <v>North Kathytown</v>
      </c>
      <c r="H1498" t="s">
        <v>1030</v>
      </c>
      <c r="I1498" t="str">
        <f>VLOOKUP(Table1[[#This Row],[Product_ID]],Product_Dim!$A$2:$G$101,2,FALSE)</f>
        <v>Women's Yoga Pants-Clothing</v>
      </c>
      <c r="J1498" t="s">
        <v>1531</v>
      </c>
      <c r="K1498" t="str">
        <f>VLOOKUP(Table1[[#This Row],[Store_ID]],Store_Dim!$A$3:$D$22,2,FALSE)</f>
        <v>Johnson-Wright-North</v>
      </c>
      <c r="L1498" t="s">
        <v>1733</v>
      </c>
      <c r="M1498" t="s">
        <v>3958</v>
      </c>
      <c r="N1498" s="3">
        <v>698.14</v>
      </c>
      <c r="O1498" s="4">
        <v>0.04</v>
      </c>
      <c r="P1498" t="s">
        <v>1774</v>
      </c>
      <c r="Q1498" s="4">
        <v>2010.6432</v>
      </c>
    </row>
    <row r="1499" spans="1:17" x14ac:dyDescent="0.3">
      <c r="A1499" t="s">
        <v>3271</v>
      </c>
      <c r="B1499" t="str">
        <f t="shared" si="23"/>
        <v>Q2</v>
      </c>
      <c r="C1499" t="str">
        <f>TEXT(Table1[[#This Row],[Order_Date]],"mmmm")</f>
        <v>May</v>
      </c>
      <c r="D1499">
        <f>YEAR(Table1[[#This Row],[Order_Date]])</f>
        <v>2025</v>
      </c>
      <c r="E1499" s="7">
        <v>45787</v>
      </c>
      <c r="F1499" s="2" t="str">
        <f>VLOOKUP(Table1[[#This Row],[Customer_ID]],Customer_Dim!$A$2:$H$501,2,FALSE)</f>
        <v>Kara Dodson</v>
      </c>
      <c r="G1499" s="2" t="str">
        <f>_xlfn.XLOOKUP(Table1[[#This Row],[Customer_ID]],Customer_Dim!$A$2:$A$501,Customer_Dim!$E$2:$E$501)</f>
        <v>Joelside</v>
      </c>
      <c r="H1499" t="s">
        <v>968</v>
      </c>
      <c r="I1499" t="str">
        <f>VLOOKUP(Table1[[#This Row],[Product_ID]],Product_Dim!$A$2:$G$101,2,FALSE)</f>
        <v>Bluetooth Car Audio System-Electronics</v>
      </c>
      <c r="J1499" t="s">
        <v>1671</v>
      </c>
      <c r="K1499" t="str">
        <f>VLOOKUP(Table1[[#This Row],[Store_ID]],Store_Dim!$A$3:$D$22,2,FALSE)</f>
        <v>Guerrero-Schmitt-East</v>
      </c>
      <c r="L1499" t="s">
        <v>1761</v>
      </c>
      <c r="M1499" t="s">
        <v>3957</v>
      </c>
      <c r="N1499" s="3">
        <v>478.08</v>
      </c>
      <c r="O1499" s="4">
        <v>7.0000000000000007E-2</v>
      </c>
      <c r="P1499" t="s">
        <v>1777</v>
      </c>
      <c r="Q1499" s="4">
        <v>444.61439999999988</v>
      </c>
    </row>
    <row r="1500" spans="1:17" x14ac:dyDescent="0.3">
      <c r="A1500" t="s">
        <v>3272</v>
      </c>
      <c r="B1500" t="str">
        <f t="shared" si="23"/>
        <v>Q2</v>
      </c>
      <c r="C1500" t="str">
        <f>TEXT(Table1[[#This Row],[Order_Date]],"mmmm")</f>
        <v>June</v>
      </c>
      <c r="D1500">
        <f>YEAR(Table1[[#This Row],[Order_Date]])</f>
        <v>2025</v>
      </c>
      <c r="E1500" s="7">
        <v>45822</v>
      </c>
      <c r="F1500" s="2" t="str">
        <f>VLOOKUP(Table1[[#This Row],[Customer_ID]],Customer_Dim!$A$2:$H$501,2,FALSE)</f>
        <v>John Perez</v>
      </c>
      <c r="G1500" s="2" t="str">
        <f>_xlfn.XLOOKUP(Table1[[#This Row],[Customer_ID]],Customer_Dim!$A$2:$A$501,Customer_Dim!$E$2:$E$501)</f>
        <v>Kathrynview</v>
      </c>
      <c r="H1500" t="s">
        <v>672</v>
      </c>
      <c r="I1500" t="str">
        <f>VLOOKUP(Table1[[#This Row],[Product_ID]],Product_Dim!$A$2:$G$101,2,FALSE)</f>
        <v>Men's Hair Styling Gel-Beauty</v>
      </c>
      <c r="J1500" t="s">
        <v>1641</v>
      </c>
      <c r="K1500" t="str">
        <f>VLOOKUP(Table1[[#This Row],[Store_ID]],Store_Dim!$A$3:$D$22,2,FALSE)</f>
        <v>Martinez-Mullins-South</v>
      </c>
      <c r="L1500" t="s">
        <v>1742</v>
      </c>
      <c r="M1500" t="s">
        <v>3960</v>
      </c>
      <c r="N1500" s="3">
        <v>958.64</v>
      </c>
      <c r="O1500" s="4">
        <v>0.2</v>
      </c>
      <c r="P1500" t="s">
        <v>1774</v>
      </c>
      <c r="Q1500" s="4">
        <v>1533.8240000000001</v>
      </c>
    </row>
    <row r="1501" spans="1:17" x14ac:dyDescent="0.3">
      <c r="A1501" t="s">
        <v>3273</v>
      </c>
      <c r="B1501" t="str">
        <f t="shared" si="23"/>
        <v>Q4</v>
      </c>
      <c r="C1501" t="str">
        <f>TEXT(Table1[[#This Row],[Order_Date]],"mmmm")</f>
        <v>October</v>
      </c>
      <c r="D1501">
        <f>YEAR(Table1[[#This Row],[Order_Date]])</f>
        <v>2024</v>
      </c>
      <c r="E1501" s="7">
        <v>45590</v>
      </c>
      <c r="F1501" s="2" t="e">
        <f>VLOOKUP(Table1[[#This Row],[Customer_ID]],Customer_Dim!$A$2:$H$501,2,FALSE)</f>
        <v>#N/A</v>
      </c>
      <c r="G1501" s="2" t="e">
        <f>_xlfn.XLOOKUP(Table1[[#This Row],[Customer_ID]],Customer_Dim!$A$2:$A$501,Customer_Dim!$E$2:$E$501)</f>
        <v>#N/A</v>
      </c>
      <c r="H1501" t="s">
        <v>1415</v>
      </c>
      <c r="I1501" t="str">
        <f>VLOOKUP(Table1[[#This Row],[Product_ID]],Product_Dim!$A$2:$G$101,2,FALSE)</f>
        <v>Yoga Exercise Mat-Sports</v>
      </c>
      <c r="J1501" t="s">
        <v>1605</v>
      </c>
      <c r="K1501" t="str">
        <f>VLOOKUP(Table1[[#This Row],[Store_ID]],Store_Dim!$A$3:$D$22,2,FALSE)</f>
        <v>Thomas, Bridges and Harris-North</v>
      </c>
      <c r="L1501" t="s">
        <v>1751</v>
      </c>
      <c r="M1501" t="s">
        <v>3960</v>
      </c>
      <c r="N1501" s="3">
        <v>581.19000000000005</v>
      </c>
      <c r="O1501" s="4">
        <v>7.0000000000000007E-2</v>
      </c>
      <c r="P1501" t="s">
        <v>1777</v>
      </c>
      <c r="Q1501" s="4">
        <v>1081.0134</v>
      </c>
    </row>
    <row r="1502" spans="1:17" x14ac:dyDescent="0.3">
      <c r="A1502" t="s">
        <v>3274</v>
      </c>
      <c r="B1502" t="str">
        <f t="shared" si="23"/>
        <v>Q4</v>
      </c>
      <c r="C1502" t="str">
        <f>TEXT(Table1[[#This Row],[Order_Date]],"mmmm")</f>
        <v>November</v>
      </c>
      <c r="D1502">
        <f>YEAR(Table1[[#This Row],[Order_Date]])</f>
        <v>2024</v>
      </c>
      <c r="E1502" s="7">
        <v>45618</v>
      </c>
      <c r="F1502" s="2" t="str">
        <f>VLOOKUP(Table1[[#This Row],[Customer_ID]],Customer_Dim!$A$2:$H$501,2,FALSE)</f>
        <v>David Cole</v>
      </c>
      <c r="G1502" s="2" t="str">
        <f>_xlfn.XLOOKUP(Table1[[#This Row],[Customer_ID]],Customer_Dim!$A$2:$A$501,Customer_Dim!$E$2:$E$501)</f>
        <v>Lake Michael</v>
      </c>
      <c r="H1502" t="s">
        <v>388</v>
      </c>
      <c r="I1502" t="str">
        <f>VLOOKUP(Table1[[#This Row],[Product_ID]],Product_Dim!$A$2:$G$101,2,FALSE)</f>
        <v>Stainless Steel Cookware Set-Home</v>
      </c>
      <c r="J1502" t="s">
        <v>1721</v>
      </c>
      <c r="K1502" t="str">
        <f>VLOOKUP(Table1[[#This Row],[Store_ID]],Store_Dim!$A$3:$D$22,2,FALSE)</f>
        <v>Aguirre-Keller-South</v>
      </c>
      <c r="L1502" t="s">
        <v>1750</v>
      </c>
      <c r="M1502" t="s">
        <v>3957</v>
      </c>
      <c r="N1502" s="3">
        <v>736.54</v>
      </c>
      <c r="O1502" s="4">
        <v>0.16</v>
      </c>
      <c r="P1502" t="s">
        <v>1774</v>
      </c>
      <c r="Q1502" s="4">
        <v>618.69359999999995</v>
      </c>
    </row>
    <row r="1503" spans="1:17" x14ac:dyDescent="0.3">
      <c r="A1503" t="s">
        <v>3275</v>
      </c>
      <c r="B1503" t="str">
        <f t="shared" si="23"/>
        <v>Q4</v>
      </c>
      <c r="C1503" t="str">
        <f>TEXT(Table1[[#This Row],[Order_Date]],"mmmm")</f>
        <v>October</v>
      </c>
      <c r="D1503">
        <f>YEAR(Table1[[#This Row],[Order_Date]])</f>
        <v>2024</v>
      </c>
      <c r="E1503" s="7">
        <v>45586</v>
      </c>
      <c r="F1503" s="2" t="str">
        <f>VLOOKUP(Table1[[#This Row],[Customer_ID]],Customer_Dim!$A$2:$H$501,2,FALSE)</f>
        <v>Terry Moses</v>
      </c>
      <c r="G1503" s="2" t="str">
        <f>_xlfn.XLOOKUP(Table1[[#This Row],[Customer_ID]],Customer_Dim!$A$2:$A$501,Customer_Dim!$E$2:$E$501)</f>
        <v>Leahmouth</v>
      </c>
      <c r="H1503" t="s">
        <v>1235</v>
      </c>
      <c r="I1503" t="str">
        <f>VLOOKUP(Table1[[#This Row],[Product_ID]],Product_Dim!$A$2:$G$101,2,FALSE)</f>
        <v>Adjustable Dumbbells 20kg-Sports</v>
      </c>
      <c r="J1503" t="s">
        <v>1653</v>
      </c>
      <c r="K1503" t="str">
        <f>VLOOKUP(Table1[[#This Row],[Store_ID]],Store_Dim!$A$3:$D$22,2,FALSE)</f>
        <v>Shelton PLC-North</v>
      </c>
      <c r="L1503" t="s">
        <v>1755</v>
      </c>
      <c r="M1503" t="s">
        <v>3957</v>
      </c>
      <c r="N1503" s="3">
        <v>524</v>
      </c>
      <c r="O1503" s="4">
        <v>0.28000000000000003</v>
      </c>
      <c r="P1503" t="s">
        <v>1772</v>
      </c>
      <c r="Q1503" s="4">
        <v>377.28</v>
      </c>
    </row>
    <row r="1504" spans="1:17" x14ac:dyDescent="0.3">
      <c r="A1504" t="s">
        <v>3276</v>
      </c>
      <c r="B1504" t="str">
        <f t="shared" si="23"/>
        <v>Q3</v>
      </c>
      <c r="C1504" t="str">
        <f>TEXT(Table1[[#This Row],[Order_Date]],"mmmm")</f>
        <v>September</v>
      </c>
      <c r="D1504">
        <f>YEAR(Table1[[#This Row],[Order_Date]])</f>
        <v>2024</v>
      </c>
      <c r="E1504" s="7">
        <v>45548</v>
      </c>
      <c r="F1504" s="2" t="str">
        <f>VLOOKUP(Table1[[#This Row],[Customer_ID]],Customer_Dim!$A$2:$H$501,2,FALSE)</f>
        <v>Michelle Garcia Dds</v>
      </c>
      <c r="G1504" s="2" t="str">
        <f>_xlfn.XLOOKUP(Table1[[#This Row],[Customer_ID]],Customer_Dim!$A$2:$A$501,Customer_Dim!$E$2:$E$501)</f>
        <v>Perezbury</v>
      </c>
      <c r="H1504" t="s">
        <v>176</v>
      </c>
      <c r="I1504" t="str">
        <f>VLOOKUP(Table1[[#This Row],[Product_ID]],Product_Dim!$A$2:$G$101,2,FALSE)</f>
        <v>Sports Stopwatch Timer-Sports</v>
      </c>
      <c r="J1504" t="s">
        <v>1579</v>
      </c>
      <c r="K1504" t="str">
        <f>VLOOKUP(Table1[[#This Row],[Store_ID]],Store_Dim!$A$3:$D$22,2,FALSE)</f>
        <v>Johnson-Wright-North</v>
      </c>
      <c r="L1504" t="s">
        <v>1733</v>
      </c>
      <c r="M1504" t="s">
        <v>3959</v>
      </c>
      <c r="N1504" s="3">
        <v>566.09</v>
      </c>
      <c r="O1504" s="4">
        <v>0.28000000000000003</v>
      </c>
      <c r="P1504" t="s">
        <v>1777</v>
      </c>
      <c r="Q1504" s="4">
        <v>1630.3391999999999</v>
      </c>
    </row>
    <row r="1505" spans="1:17" x14ac:dyDescent="0.3">
      <c r="A1505" t="s">
        <v>3277</v>
      </c>
      <c r="B1505" t="str">
        <f t="shared" si="23"/>
        <v>Q2</v>
      </c>
      <c r="C1505" t="str">
        <f>TEXT(Table1[[#This Row],[Order_Date]],"mmmm")</f>
        <v>April</v>
      </c>
      <c r="D1505">
        <f>YEAR(Table1[[#This Row],[Order_Date]])</f>
        <v>2025</v>
      </c>
      <c r="E1505" s="7">
        <v>45772</v>
      </c>
      <c r="F1505" s="2" t="str">
        <f>VLOOKUP(Table1[[#This Row],[Customer_ID]],Customer_Dim!$A$2:$H$501,2,FALSE)</f>
        <v>Beth Allen</v>
      </c>
      <c r="G1505" s="2" t="str">
        <f>_xlfn.XLOOKUP(Table1[[#This Row],[Customer_ID]],Customer_Dim!$A$2:$A$501,Customer_Dim!$E$2:$E$501)</f>
        <v>South Kathrynmouth</v>
      </c>
      <c r="H1505" t="s">
        <v>820</v>
      </c>
      <c r="I1505" t="str">
        <f>VLOOKUP(Table1[[#This Row],[Product_ID]],Product_Dim!$A$2:$G$101,2,FALSE)</f>
        <v>Multi-Purpose Storage Box-Home</v>
      </c>
      <c r="J1505" t="s">
        <v>1565</v>
      </c>
      <c r="K1505" t="str">
        <f>VLOOKUP(Table1[[#This Row],[Store_ID]],Store_Dim!$A$3:$D$22,2,FALSE)</f>
        <v>Hill, Wagner and Ballard-East</v>
      </c>
      <c r="L1505" t="s">
        <v>1748</v>
      </c>
      <c r="M1505" t="s">
        <v>3957</v>
      </c>
      <c r="N1505" s="3">
        <v>251.99</v>
      </c>
      <c r="O1505" s="4">
        <v>0.09</v>
      </c>
      <c r="P1505" t="s">
        <v>1772</v>
      </c>
      <c r="Q1505" s="4">
        <v>229.3109</v>
      </c>
    </row>
    <row r="1506" spans="1:17" x14ac:dyDescent="0.3">
      <c r="A1506" t="s">
        <v>3278</v>
      </c>
      <c r="B1506" t="str">
        <f t="shared" si="23"/>
        <v>Q1</v>
      </c>
      <c r="C1506" t="str">
        <f>TEXT(Table1[[#This Row],[Order_Date]],"mmmm")</f>
        <v>March</v>
      </c>
      <c r="D1506">
        <f>YEAR(Table1[[#This Row],[Order_Date]])</f>
        <v>2024</v>
      </c>
      <c r="E1506" s="7">
        <v>45361</v>
      </c>
      <c r="F1506" s="2" t="str">
        <f>VLOOKUP(Table1[[#This Row],[Customer_ID]],Customer_Dim!$A$2:$H$501,2,FALSE)</f>
        <v>Lisa Young</v>
      </c>
      <c r="G1506" s="2" t="str">
        <f>_xlfn.XLOOKUP(Table1[[#This Row],[Customer_ID]],Customer_Dim!$A$2:$A$501,Customer_Dim!$E$2:$E$501)</f>
        <v>Maybury</v>
      </c>
      <c r="H1506" t="s">
        <v>710</v>
      </c>
      <c r="I1506" t="str">
        <f>VLOOKUP(Table1[[#This Row],[Product_ID]],Product_Dim!$A$2:$G$101,2,FALSE)</f>
        <v>Soccer Training Cone Set-Sports</v>
      </c>
      <c r="J1506" t="s">
        <v>1557</v>
      </c>
      <c r="K1506" t="str">
        <f>VLOOKUP(Table1[[#This Row],[Store_ID]],Store_Dim!$A$3:$D$22,2,FALSE)</f>
        <v>Mann-Austin-East</v>
      </c>
      <c r="L1506" t="s">
        <v>1763</v>
      </c>
      <c r="M1506" t="s">
        <v>3957</v>
      </c>
      <c r="N1506" s="3">
        <v>259.2</v>
      </c>
      <c r="O1506" s="4">
        <v>0.27</v>
      </c>
      <c r="P1506" t="s">
        <v>1777</v>
      </c>
      <c r="Q1506" s="4">
        <v>189.21600000000001</v>
      </c>
    </row>
    <row r="1507" spans="1:17" x14ac:dyDescent="0.3">
      <c r="A1507" t="s">
        <v>3279</v>
      </c>
      <c r="B1507" t="str">
        <f t="shared" si="23"/>
        <v>Q4</v>
      </c>
      <c r="C1507" t="str">
        <f>TEXT(Table1[[#This Row],[Order_Date]],"mmmm")</f>
        <v>November</v>
      </c>
      <c r="D1507">
        <f>YEAR(Table1[[#This Row],[Order_Date]])</f>
        <v>2023</v>
      </c>
      <c r="E1507" s="7">
        <v>45235</v>
      </c>
      <c r="F1507" s="2" t="str">
        <f>VLOOKUP(Table1[[#This Row],[Customer_ID]],Customer_Dim!$A$2:$H$501,2,FALSE)</f>
        <v>Shannon Turner</v>
      </c>
      <c r="G1507" s="2" t="str">
        <f>_xlfn.XLOOKUP(Table1[[#This Row],[Customer_ID]],Customer_Dim!$A$2:$A$501,Customer_Dim!$E$2:$E$501)</f>
        <v>West Jorge</v>
      </c>
      <c r="H1507" t="s">
        <v>1364</v>
      </c>
      <c r="I1507" t="str">
        <f>VLOOKUP(Table1[[#This Row],[Product_ID]],Product_Dim!$A$2:$G$101,2,FALSE)</f>
        <v>Men's Hair Styling Gel-Beauty</v>
      </c>
      <c r="J1507" t="s">
        <v>1641</v>
      </c>
      <c r="K1507" t="str">
        <f>VLOOKUP(Table1[[#This Row],[Store_ID]],Store_Dim!$A$3:$D$22,2,FALSE)</f>
        <v>Shelton PLC-North</v>
      </c>
      <c r="L1507" t="s">
        <v>1755</v>
      </c>
      <c r="M1507" t="s">
        <v>3957</v>
      </c>
      <c r="N1507" s="3">
        <v>935.66</v>
      </c>
      <c r="O1507" s="4">
        <v>0.26</v>
      </c>
      <c r="P1507" t="s">
        <v>1774</v>
      </c>
      <c r="Q1507" s="4">
        <v>692.38839999999993</v>
      </c>
    </row>
    <row r="1508" spans="1:17" x14ac:dyDescent="0.3">
      <c r="A1508" t="s">
        <v>3280</v>
      </c>
      <c r="B1508" t="str">
        <f t="shared" si="23"/>
        <v>Q3</v>
      </c>
      <c r="C1508" t="str">
        <f>TEXT(Table1[[#This Row],[Order_Date]],"mmmm")</f>
        <v>July</v>
      </c>
      <c r="D1508">
        <f>YEAR(Table1[[#This Row],[Order_Date]])</f>
        <v>2025</v>
      </c>
      <c r="E1508" s="7">
        <v>45864</v>
      </c>
      <c r="F1508" s="2" t="str">
        <f>VLOOKUP(Table1[[#This Row],[Customer_ID]],Customer_Dim!$A$2:$H$501,2,FALSE)</f>
        <v>James Foster</v>
      </c>
      <c r="G1508" s="2" t="str">
        <f>_xlfn.XLOOKUP(Table1[[#This Row],[Customer_ID]],Customer_Dim!$A$2:$A$501,Customer_Dim!$E$2:$E$501)</f>
        <v>East Audrey</v>
      </c>
      <c r="H1508" t="s">
        <v>1430</v>
      </c>
      <c r="I1508" t="str">
        <f>VLOOKUP(Table1[[#This Row],[Product_ID]],Product_Dim!$A$2:$G$101,2,FALSE)</f>
        <v>Bedroom Table Lamp-Home</v>
      </c>
      <c r="J1508" t="s">
        <v>1593</v>
      </c>
      <c r="K1508" t="str">
        <f>VLOOKUP(Table1[[#This Row],[Store_ID]],Store_Dim!$A$3:$D$22,2,FALSE)</f>
        <v>Bean, Jones and Park-West</v>
      </c>
      <c r="L1508" t="s">
        <v>1744</v>
      </c>
      <c r="M1508" t="s">
        <v>3959</v>
      </c>
      <c r="N1508" s="3">
        <v>480.75</v>
      </c>
      <c r="O1508" s="4">
        <v>0.02</v>
      </c>
      <c r="P1508" t="s">
        <v>1772</v>
      </c>
      <c r="Q1508" s="4">
        <v>1884.54</v>
      </c>
    </row>
    <row r="1509" spans="1:17" x14ac:dyDescent="0.3">
      <c r="A1509" t="s">
        <v>3281</v>
      </c>
      <c r="B1509" t="str">
        <f t="shared" si="23"/>
        <v>Q1</v>
      </c>
      <c r="C1509" t="str">
        <f>TEXT(Table1[[#This Row],[Order_Date]],"mmmm")</f>
        <v>January</v>
      </c>
      <c r="D1509">
        <f>YEAR(Table1[[#This Row],[Order_Date]])</f>
        <v>2025</v>
      </c>
      <c r="E1509" s="7">
        <v>45681</v>
      </c>
      <c r="F1509" s="2" t="str">
        <f>VLOOKUP(Table1[[#This Row],[Customer_ID]],Customer_Dim!$A$2:$H$501,2,FALSE)</f>
        <v>Gregory Allen</v>
      </c>
      <c r="G1509" s="2" t="str">
        <f>_xlfn.XLOOKUP(Table1[[#This Row],[Customer_ID]],Customer_Dim!$A$2:$A$501,Customer_Dim!$E$2:$E$501)</f>
        <v>West Bruce</v>
      </c>
      <c r="H1509" t="s">
        <v>1141</v>
      </c>
      <c r="I1509" t="str">
        <f>VLOOKUP(Table1[[#This Row],[Product_ID]],Product_Dim!$A$2:$G$101,2,FALSE)</f>
        <v>Badminton Racket Set-Sports</v>
      </c>
      <c r="J1509" t="s">
        <v>1685</v>
      </c>
      <c r="K1509" t="str">
        <f>VLOOKUP(Table1[[#This Row],[Store_ID]],Store_Dim!$A$3:$D$22,2,FALSE)</f>
        <v>Shelton PLC-North</v>
      </c>
      <c r="L1509" t="s">
        <v>1755</v>
      </c>
      <c r="M1509" t="s">
        <v>3960</v>
      </c>
      <c r="N1509" s="3">
        <v>457.83</v>
      </c>
      <c r="O1509" s="4">
        <v>0.01</v>
      </c>
      <c r="P1509" t="s">
        <v>1777</v>
      </c>
      <c r="Q1509" s="4">
        <v>906.50339999999994</v>
      </c>
    </row>
    <row r="1510" spans="1:17" x14ac:dyDescent="0.3">
      <c r="A1510" t="s">
        <v>3282</v>
      </c>
      <c r="B1510" t="str">
        <f t="shared" si="23"/>
        <v>Q3</v>
      </c>
      <c r="C1510" t="str">
        <f>TEXT(Table1[[#This Row],[Order_Date]],"mmmm")</f>
        <v>September</v>
      </c>
      <c r="D1510">
        <f>YEAR(Table1[[#This Row],[Order_Date]])</f>
        <v>2025</v>
      </c>
      <c r="E1510" s="7">
        <v>45905</v>
      </c>
      <c r="F1510" s="2" t="str">
        <f>VLOOKUP(Table1[[#This Row],[Customer_ID]],Customer_Dim!$A$2:$H$501,2,FALSE)</f>
        <v>Daniel Rivas</v>
      </c>
      <c r="G1510" s="2" t="str">
        <f>_xlfn.XLOOKUP(Table1[[#This Row],[Customer_ID]],Customer_Dim!$A$2:$A$501,Customer_Dim!$E$2:$E$501)</f>
        <v>Dominiquefort</v>
      </c>
      <c r="H1510" t="s">
        <v>542</v>
      </c>
      <c r="I1510" t="str">
        <f>VLOOKUP(Table1[[#This Row],[Product_ID]],Product_Dim!$A$2:$G$101,2,FALSE)</f>
        <v>Car Dashboard Phone Holder-Electronics</v>
      </c>
      <c r="J1510" t="s">
        <v>1619</v>
      </c>
      <c r="K1510" t="str">
        <f>VLOOKUP(Table1[[#This Row],[Store_ID]],Store_Dim!$A$3:$D$22,2,FALSE)</f>
        <v>Mcdonald Inc-South</v>
      </c>
      <c r="L1510" t="s">
        <v>1754</v>
      </c>
      <c r="M1510" t="s">
        <v>3957</v>
      </c>
      <c r="N1510" s="3">
        <v>994.63</v>
      </c>
      <c r="O1510" s="4">
        <v>0.28000000000000003</v>
      </c>
      <c r="P1510" t="s">
        <v>1772</v>
      </c>
      <c r="Q1510" s="4">
        <v>716.1336</v>
      </c>
    </row>
    <row r="1511" spans="1:17" x14ac:dyDescent="0.3">
      <c r="A1511" t="s">
        <v>3283</v>
      </c>
      <c r="B1511" t="str">
        <f t="shared" si="23"/>
        <v>Q2</v>
      </c>
      <c r="C1511" t="str">
        <f>TEXT(Table1[[#This Row],[Order_Date]],"mmmm")</f>
        <v>April</v>
      </c>
      <c r="D1511">
        <f>YEAR(Table1[[#This Row],[Order_Date]])</f>
        <v>2025</v>
      </c>
      <c r="E1511" s="7">
        <v>45765</v>
      </c>
      <c r="F1511" s="2" t="str">
        <f>VLOOKUP(Table1[[#This Row],[Customer_ID]],Customer_Dim!$A$2:$H$501,2,FALSE)</f>
        <v>Laura Soto</v>
      </c>
      <c r="G1511" s="2" t="str">
        <f>_xlfn.XLOOKUP(Table1[[#This Row],[Customer_ID]],Customer_Dim!$A$2:$A$501,Customer_Dim!$E$2:$E$501)</f>
        <v>Rodriguezton</v>
      </c>
      <c r="H1511" t="s">
        <v>779</v>
      </c>
      <c r="I1511" t="str">
        <f>VLOOKUP(Table1[[#This Row],[Product_ID]],Product_Dim!$A$2:$G$101,2,FALSE)</f>
        <v>Gaming Mouse Pad XL-Electronics</v>
      </c>
      <c r="J1511" t="s">
        <v>1703</v>
      </c>
      <c r="K1511" t="str">
        <f>VLOOKUP(Table1[[#This Row],[Store_ID]],Store_Dim!$A$3:$D$22,2,FALSE)</f>
        <v>Rivera-Warner-East</v>
      </c>
      <c r="L1511" t="s">
        <v>1725</v>
      </c>
      <c r="M1511" t="s">
        <v>3958</v>
      </c>
      <c r="N1511" s="3">
        <v>65.569999999999993</v>
      </c>
      <c r="O1511" s="4">
        <v>0.3</v>
      </c>
      <c r="P1511" t="s">
        <v>1777</v>
      </c>
      <c r="Q1511" s="4">
        <v>137.697</v>
      </c>
    </row>
    <row r="1512" spans="1:17" x14ac:dyDescent="0.3">
      <c r="A1512" t="s">
        <v>3284</v>
      </c>
      <c r="B1512" t="str">
        <f t="shared" si="23"/>
        <v>Q2</v>
      </c>
      <c r="C1512" t="str">
        <f>TEXT(Table1[[#This Row],[Order_Date]],"mmmm")</f>
        <v>June</v>
      </c>
      <c r="D1512">
        <f>YEAR(Table1[[#This Row],[Order_Date]])</f>
        <v>2025</v>
      </c>
      <c r="E1512" s="7">
        <v>45821</v>
      </c>
      <c r="F1512" s="2" t="str">
        <f>VLOOKUP(Table1[[#This Row],[Customer_ID]],Customer_Dim!$A$2:$H$501,2,FALSE)</f>
        <v>John Lawson</v>
      </c>
      <c r="G1512" s="2" t="str">
        <f>_xlfn.XLOOKUP(Table1[[#This Row],[Customer_ID]],Customer_Dim!$A$2:$A$501,Customer_Dim!$E$2:$E$501)</f>
        <v>New Juliemouth</v>
      </c>
      <c r="H1512" t="s">
        <v>530</v>
      </c>
      <c r="I1512" t="str">
        <f>VLOOKUP(Table1[[#This Row],[Product_ID]],Product_Dim!$A$2:$G$101,2,FALSE)</f>
        <v>Womens Cotton Scarf-Clothing</v>
      </c>
      <c r="J1512" t="s">
        <v>1639</v>
      </c>
      <c r="K1512" t="str">
        <f>VLOOKUP(Table1[[#This Row],[Store_ID]],Store_Dim!$A$3:$D$22,2,FALSE)</f>
        <v>Holloway Ltd-North</v>
      </c>
      <c r="L1512" t="s">
        <v>1759</v>
      </c>
      <c r="M1512" t="s">
        <v>3958</v>
      </c>
      <c r="N1512" s="3">
        <v>622.98</v>
      </c>
      <c r="O1512" s="4">
        <v>0.28000000000000003</v>
      </c>
      <c r="P1512" t="s">
        <v>1774</v>
      </c>
      <c r="Q1512" s="4">
        <v>1345.6368</v>
      </c>
    </row>
    <row r="1513" spans="1:17" x14ac:dyDescent="0.3">
      <c r="A1513" t="s">
        <v>3285</v>
      </c>
      <c r="B1513" t="str">
        <f t="shared" si="23"/>
        <v>Q1</v>
      </c>
      <c r="C1513" t="str">
        <f>TEXT(Table1[[#This Row],[Order_Date]],"mmmm")</f>
        <v>February</v>
      </c>
      <c r="D1513">
        <f>YEAR(Table1[[#This Row],[Order_Date]])</f>
        <v>2025</v>
      </c>
      <c r="E1513" s="7">
        <v>45691</v>
      </c>
      <c r="F1513" s="2" t="str">
        <f>VLOOKUP(Table1[[#This Row],[Customer_ID]],Customer_Dim!$A$2:$H$501,2,FALSE)</f>
        <v>Veronica Newman</v>
      </c>
      <c r="G1513" s="2" t="str">
        <f>_xlfn.XLOOKUP(Table1[[#This Row],[Customer_ID]],Customer_Dim!$A$2:$A$501,Customer_Dim!$E$2:$E$501)</f>
        <v>New Daniel</v>
      </c>
      <c r="H1513" t="s">
        <v>794</v>
      </c>
      <c r="I1513" t="str">
        <f>VLOOKUP(Table1[[#This Row],[Product_ID]],Product_Dim!$A$2:$G$101,2,FALSE)</f>
        <v>Ceramic Plant Pot-Home</v>
      </c>
      <c r="J1513" t="s">
        <v>1633</v>
      </c>
      <c r="K1513" t="str">
        <f>VLOOKUP(Table1[[#This Row],[Store_ID]],Store_Dim!$A$3:$D$22,2,FALSE)</f>
        <v>Gardner, Humphrey and Contreras-East</v>
      </c>
      <c r="L1513" t="s">
        <v>1753</v>
      </c>
      <c r="M1513" t="s">
        <v>3957</v>
      </c>
      <c r="N1513" s="3">
        <v>170.68</v>
      </c>
      <c r="O1513" s="4">
        <v>0.13</v>
      </c>
      <c r="P1513" t="s">
        <v>1774</v>
      </c>
      <c r="Q1513" s="4">
        <v>148.49160000000001</v>
      </c>
    </row>
    <row r="1514" spans="1:17" x14ac:dyDescent="0.3">
      <c r="A1514" t="s">
        <v>3286</v>
      </c>
      <c r="B1514" t="str">
        <f t="shared" si="23"/>
        <v>Q3</v>
      </c>
      <c r="C1514" t="str">
        <f>TEXT(Table1[[#This Row],[Order_Date]],"mmmm")</f>
        <v>July</v>
      </c>
      <c r="D1514">
        <f>YEAR(Table1[[#This Row],[Order_Date]])</f>
        <v>2025</v>
      </c>
      <c r="E1514" s="7">
        <v>45860</v>
      </c>
      <c r="F1514" s="2" t="str">
        <f>VLOOKUP(Table1[[#This Row],[Customer_ID]],Customer_Dim!$A$2:$H$501,2,FALSE)</f>
        <v>Samantha Walker</v>
      </c>
      <c r="G1514" s="2" t="str">
        <f>_xlfn.XLOOKUP(Table1[[#This Row],[Customer_ID]],Customer_Dim!$A$2:$A$501,Customer_Dim!$E$2:$E$501)</f>
        <v>Timothyburgh</v>
      </c>
      <c r="H1514" t="s">
        <v>339</v>
      </c>
      <c r="I1514" t="str">
        <f>VLOOKUP(Table1[[#This Row],[Product_ID]],Product_Dim!$A$2:$G$101,2,FALSE)</f>
        <v>LED Table Lamp-Home</v>
      </c>
      <c r="J1514" t="s">
        <v>1537</v>
      </c>
      <c r="K1514" t="str">
        <f>VLOOKUP(Table1[[#This Row],[Store_ID]],Store_Dim!$A$3:$D$22,2,FALSE)</f>
        <v>Bean, Jones and Park-West</v>
      </c>
      <c r="L1514" t="s">
        <v>1744</v>
      </c>
      <c r="M1514" t="s">
        <v>3959</v>
      </c>
      <c r="N1514" s="3">
        <v>797.83</v>
      </c>
      <c r="O1514" s="4">
        <v>0.08</v>
      </c>
      <c r="P1514" t="s">
        <v>1772</v>
      </c>
      <c r="Q1514" s="4">
        <v>2936.0144</v>
      </c>
    </row>
    <row r="1515" spans="1:17" x14ac:dyDescent="0.3">
      <c r="A1515" t="s">
        <v>3287</v>
      </c>
      <c r="B1515" t="str">
        <f t="shared" si="23"/>
        <v>Q3</v>
      </c>
      <c r="C1515" t="str">
        <f>TEXT(Table1[[#This Row],[Order_Date]],"mmmm")</f>
        <v>September</v>
      </c>
      <c r="D1515">
        <f>YEAR(Table1[[#This Row],[Order_Date]])</f>
        <v>2025</v>
      </c>
      <c r="E1515" s="7">
        <v>45922</v>
      </c>
      <c r="F1515" s="2" t="str">
        <f>VLOOKUP(Table1[[#This Row],[Customer_ID]],Customer_Dim!$A$2:$H$501,2,FALSE)</f>
        <v>Brittney Morgan</v>
      </c>
      <c r="G1515" s="2" t="str">
        <f>_xlfn.XLOOKUP(Table1[[#This Row],[Customer_ID]],Customer_Dim!$A$2:$A$501,Customer_Dim!$E$2:$E$501)</f>
        <v>Lake Kaylahaven</v>
      </c>
      <c r="H1515" t="s">
        <v>345</v>
      </c>
      <c r="I1515" t="str">
        <f>VLOOKUP(Table1[[#This Row],[Product_ID]],Product_Dim!$A$2:$G$101,2,FALSE)</f>
        <v>Women's Casual Hoodie-Clothing</v>
      </c>
      <c r="J1515" t="s">
        <v>1527</v>
      </c>
      <c r="K1515" t="str">
        <f>VLOOKUP(Table1[[#This Row],[Store_ID]],Store_Dim!$A$3:$D$22,2,FALSE)</f>
        <v>Frederick-Wright-West</v>
      </c>
      <c r="L1515" t="s">
        <v>1757</v>
      </c>
      <c r="M1515" t="s">
        <v>3957</v>
      </c>
      <c r="N1515" s="3">
        <v>372.75</v>
      </c>
      <c r="O1515" s="4">
        <v>0.12</v>
      </c>
      <c r="P1515" t="s">
        <v>1772</v>
      </c>
      <c r="Q1515" s="4">
        <v>328.02</v>
      </c>
    </row>
    <row r="1516" spans="1:17" x14ac:dyDescent="0.3">
      <c r="A1516" t="s">
        <v>3288</v>
      </c>
      <c r="B1516" t="str">
        <f t="shared" si="23"/>
        <v>Q3</v>
      </c>
      <c r="C1516" t="str">
        <f>TEXT(Table1[[#This Row],[Order_Date]],"mmmm")</f>
        <v>July</v>
      </c>
      <c r="D1516">
        <f>YEAR(Table1[[#This Row],[Order_Date]])</f>
        <v>2024</v>
      </c>
      <c r="E1516" s="7">
        <v>45477</v>
      </c>
      <c r="F1516" s="2" t="str">
        <f>VLOOKUP(Table1[[#This Row],[Customer_ID]],Customer_Dim!$A$2:$H$501,2,FALSE)</f>
        <v>Alexander Byrd</v>
      </c>
      <c r="G1516" s="2" t="str">
        <f>_xlfn.XLOOKUP(Table1[[#This Row],[Customer_ID]],Customer_Dim!$A$2:$A$501,Customer_Dim!$E$2:$E$501)</f>
        <v>Parkerview</v>
      </c>
      <c r="H1516" t="s">
        <v>1222</v>
      </c>
      <c r="I1516" t="str">
        <f>VLOOKUP(Table1[[#This Row],[Product_ID]],Product_Dim!$A$2:$G$101,2,FALSE)</f>
        <v>Tennis Ball 3-Pack-Sports</v>
      </c>
      <c r="J1516" t="s">
        <v>1645</v>
      </c>
      <c r="K1516" t="str">
        <f>VLOOKUP(Table1[[#This Row],[Store_ID]],Store_Dim!$A$3:$D$22,2,FALSE)</f>
        <v>Alexander Group-South</v>
      </c>
      <c r="L1516" t="s">
        <v>1735</v>
      </c>
      <c r="M1516" t="s">
        <v>3957</v>
      </c>
      <c r="N1516" s="3">
        <v>994.18</v>
      </c>
      <c r="O1516" s="4">
        <v>0.05</v>
      </c>
      <c r="P1516" t="s">
        <v>1774</v>
      </c>
      <c r="Q1516" s="4">
        <v>944.47099999999989</v>
      </c>
    </row>
    <row r="1517" spans="1:17" x14ac:dyDescent="0.3">
      <c r="A1517" t="s">
        <v>3289</v>
      </c>
      <c r="B1517" t="str">
        <f t="shared" si="23"/>
        <v>Q3</v>
      </c>
      <c r="C1517" t="str">
        <f>TEXT(Table1[[#This Row],[Order_Date]],"mmmm")</f>
        <v>July</v>
      </c>
      <c r="D1517">
        <f>YEAR(Table1[[#This Row],[Order_Date]])</f>
        <v>2024</v>
      </c>
      <c r="E1517" s="7">
        <v>45504</v>
      </c>
      <c r="F1517" s="2" t="str">
        <f>VLOOKUP(Table1[[#This Row],[Customer_ID]],Customer_Dim!$A$2:$H$501,2,FALSE)</f>
        <v>Brittany Edwards Dds</v>
      </c>
      <c r="G1517" s="2" t="str">
        <f>_xlfn.XLOOKUP(Table1[[#This Row],[Customer_ID]],Customer_Dim!$A$2:$A$501,Customer_Dim!$E$2:$E$501)</f>
        <v>Aliciahaven</v>
      </c>
      <c r="H1517" t="s">
        <v>1295</v>
      </c>
      <c r="I1517" t="str">
        <f>VLOOKUP(Table1[[#This Row],[Product_ID]],Product_Dim!$A$2:$G$101,2,FALSE)</f>
        <v>Outdoor Sports Water Bottle-Sports</v>
      </c>
      <c r="J1517" t="s">
        <v>1563</v>
      </c>
      <c r="K1517" t="str">
        <f>VLOOKUP(Table1[[#This Row],[Store_ID]],Store_Dim!$A$3:$D$22,2,FALSE)</f>
        <v>Gardner, Humphrey and Contreras-East</v>
      </c>
      <c r="L1517" t="s">
        <v>1753</v>
      </c>
      <c r="M1517" t="s">
        <v>3957</v>
      </c>
      <c r="N1517" s="3">
        <v>136.12</v>
      </c>
      <c r="O1517" s="4">
        <v>7.0000000000000007E-2</v>
      </c>
      <c r="P1517" t="s">
        <v>1772</v>
      </c>
      <c r="Q1517" s="4">
        <v>126.5916</v>
      </c>
    </row>
    <row r="1518" spans="1:17" x14ac:dyDescent="0.3">
      <c r="A1518" t="s">
        <v>3290</v>
      </c>
      <c r="B1518" t="str">
        <f t="shared" si="23"/>
        <v>Q3</v>
      </c>
      <c r="C1518" t="str">
        <f>TEXT(Table1[[#This Row],[Order_Date]],"mmmm")</f>
        <v>July</v>
      </c>
      <c r="D1518">
        <f>YEAR(Table1[[#This Row],[Order_Date]])</f>
        <v>2025</v>
      </c>
      <c r="E1518" s="7">
        <v>45862</v>
      </c>
      <c r="F1518" s="2" t="str">
        <f>VLOOKUP(Table1[[#This Row],[Customer_ID]],Customer_Dim!$A$2:$H$501,2,FALSE)</f>
        <v>Jessica Acevedo</v>
      </c>
      <c r="G1518" s="2" t="str">
        <f>_xlfn.XLOOKUP(Table1[[#This Row],[Customer_ID]],Customer_Dim!$A$2:$A$501,Customer_Dim!$E$2:$E$501)</f>
        <v>Amybury</v>
      </c>
      <c r="H1518" t="s">
        <v>124</v>
      </c>
      <c r="I1518" t="str">
        <f>VLOOKUP(Table1[[#This Row],[Product_ID]],Product_Dim!$A$2:$G$101,2,FALSE)</f>
        <v>Rugby Ball-Sports</v>
      </c>
      <c r="J1518" t="s">
        <v>1627</v>
      </c>
      <c r="K1518" t="str">
        <f>VLOOKUP(Table1[[#This Row],[Store_ID]],Store_Dim!$A$3:$D$22,2,FALSE)</f>
        <v>Guerrero-Schmitt-East</v>
      </c>
      <c r="L1518" t="s">
        <v>1761</v>
      </c>
      <c r="M1518" t="s">
        <v>3958</v>
      </c>
      <c r="N1518" s="3">
        <v>634.45000000000005</v>
      </c>
      <c r="O1518" s="4">
        <v>0.17</v>
      </c>
      <c r="P1518" t="s">
        <v>1774</v>
      </c>
      <c r="Q1518" s="4">
        <v>1579.7805000000001</v>
      </c>
    </row>
    <row r="1519" spans="1:17" x14ac:dyDescent="0.3">
      <c r="A1519" t="s">
        <v>3291</v>
      </c>
      <c r="B1519" t="str">
        <f t="shared" si="23"/>
        <v>Q4</v>
      </c>
      <c r="C1519" t="str">
        <f>TEXT(Table1[[#This Row],[Order_Date]],"mmmm")</f>
        <v>October</v>
      </c>
      <c r="D1519">
        <f>YEAR(Table1[[#This Row],[Order_Date]])</f>
        <v>2024</v>
      </c>
      <c r="E1519" s="7">
        <v>45579</v>
      </c>
      <c r="F1519" s="2" t="str">
        <f>VLOOKUP(Table1[[#This Row],[Customer_ID]],Customer_Dim!$A$2:$H$501,2,FALSE)</f>
        <v>Victor Mcintosh</v>
      </c>
      <c r="G1519" s="2" t="str">
        <f>_xlfn.XLOOKUP(Table1[[#This Row],[Customer_ID]],Customer_Dim!$A$2:$A$501,Customer_Dim!$E$2:$E$501)</f>
        <v>Tiffanyshire</v>
      </c>
      <c r="H1519" t="s">
        <v>1024</v>
      </c>
      <c r="I1519" t="str">
        <f>VLOOKUP(Table1[[#This Row],[Product_ID]],Product_Dim!$A$2:$G$101,2,FALSE)</f>
        <v>Matte Lipstick Set-Beauty</v>
      </c>
      <c r="J1519" t="s">
        <v>1651</v>
      </c>
      <c r="K1519" t="str">
        <f>VLOOKUP(Table1[[#This Row],[Store_ID]],Store_Dim!$A$3:$D$22,2,FALSE)</f>
        <v>Rivera-Warner-East</v>
      </c>
      <c r="L1519" t="s">
        <v>1725</v>
      </c>
      <c r="M1519" t="s">
        <v>3959</v>
      </c>
      <c r="N1519" s="3">
        <v>179.62</v>
      </c>
      <c r="O1519" s="4">
        <v>0.05</v>
      </c>
      <c r="P1519" t="s">
        <v>1772</v>
      </c>
      <c r="Q1519" s="4">
        <v>682.55600000000004</v>
      </c>
    </row>
    <row r="1520" spans="1:17" x14ac:dyDescent="0.3">
      <c r="A1520" t="s">
        <v>3292</v>
      </c>
      <c r="B1520" t="str">
        <f t="shared" si="23"/>
        <v>Q1</v>
      </c>
      <c r="C1520" t="str">
        <f>TEXT(Table1[[#This Row],[Order_Date]],"mmmm")</f>
        <v>January</v>
      </c>
      <c r="D1520">
        <f>YEAR(Table1[[#This Row],[Order_Date]])</f>
        <v>2025</v>
      </c>
      <c r="E1520" s="7">
        <v>45658</v>
      </c>
      <c r="F1520" s="2" t="str">
        <f>VLOOKUP(Table1[[#This Row],[Customer_ID]],Customer_Dim!$A$2:$H$501,2,FALSE)</f>
        <v>Lisa Chandler</v>
      </c>
      <c r="G1520" s="2" t="str">
        <f>_xlfn.XLOOKUP(Table1[[#This Row],[Customer_ID]],Customer_Dim!$A$2:$A$501,Customer_Dim!$E$2:$E$501)</f>
        <v>Port Richard</v>
      </c>
      <c r="H1520" t="s">
        <v>923</v>
      </c>
      <c r="I1520" t="str">
        <f>VLOOKUP(Table1[[#This Row],[Product_ID]],Product_Dim!$A$2:$G$101,2,FALSE)</f>
        <v>Outdoor Sports Water Bottle-Sports</v>
      </c>
      <c r="J1520" t="s">
        <v>1563</v>
      </c>
      <c r="K1520" t="str">
        <f>VLOOKUP(Table1[[#This Row],[Store_ID]],Store_Dim!$A$3:$D$22,2,FALSE)</f>
        <v>Guerrero-Schmitt-East</v>
      </c>
      <c r="L1520" t="s">
        <v>1761</v>
      </c>
      <c r="M1520" t="s">
        <v>3959</v>
      </c>
      <c r="N1520" s="3">
        <v>558.83000000000004</v>
      </c>
      <c r="O1520" s="4">
        <v>0.16</v>
      </c>
      <c r="P1520" t="s">
        <v>1774</v>
      </c>
      <c r="Q1520" s="4">
        <v>1877.6687999999999</v>
      </c>
    </row>
    <row r="1521" spans="1:17" x14ac:dyDescent="0.3">
      <c r="A1521" t="s">
        <v>3293</v>
      </c>
      <c r="B1521" t="str">
        <f t="shared" si="23"/>
        <v>Q1</v>
      </c>
      <c r="C1521" t="str">
        <f>TEXT(Table1[[#This Row],[Order_Date]],"mmmm")</f>
        <v>January</v>
      </c>
      <c r="D1521">
        <f>YEAR(Table1[[#This Row],[Order_Date]])</f>
        <v>2025</v>
      </c>
      <c r="E1521" s="7">
        <v>45664</v>
      </c>
      <c r="F1521" s="2" t="str">
        <f>VLOOKUP(Table1[[#This Row],[Customer_ID]],Customer_Dim!$A$2:$H$501,2,FALSE)</f>
        <v>Amy Wilson</v>
      </c>
      <c r="G1521" s="2" t="str">
        <f>_xlfn.XLOOKUP(Table1[[#This Row],[Customer_ID]],Customer_Dim!$A$2:$A$501,Customer_Dim!$E$2:$E$501)</f>
        <v>Morrisburgh</v>
      </c>
      <c r="H1521" t="s">
        <v>562</v>
      </c>
      <c r="I1521" t="str">
        <f>VLOOKUP(Table1[[#This Row],[Product_ID]],Product_Dim!$A$2:$G$101,2,FALSE)</f>
        <v>Vitamin E Body Lotion-Beauty</v>
      </c>
      <c r="J1521" t="s">
        <v>1711</v>
      </c>
      <c r="K1521" t="str">
        <f>VLOOKUP(Table1[[#This Row],[Store_ID]],Store_Dim!$A$3:$D$22,2,FALSE)</f>
        <v>Benson-Elliott-East</v>
      </c>
      <c r="L1521" t="s">
        <v>1740</v>
      </c>
      <c r="M1521" t="s">
        <v>3960</v>
      </c>
      <c r="N1521" s="3">
        <v>859.74</v>
      </c>
      <c r="O1521" s="4">
        <v>0.25</v>
      </c>
      <c r="P1521" t="s">
        <v>1777</v>
      </c>
      <c r="Q1521" s="4">
        <v>1289.6099999999999</v>
      </c>
    </row>
    <row r="1522" spans="1:17" x14ac:dyDescent="0.3">
      <c r="A1522" t="s">
        <v>3294</v>
      </c>
      <c r="B1522" t="str">
        <f t="shared" si="23"/>
        <v>Q4</v>
      </c>
      <c r="C1522" t="str">
        <f>TEXT(Table1[[#This Row],[Order_Date]],"mmmm")</f>
        <v>October</v>
      </c>
      <c r="D1522">
        <f>YEAR(Table1[[#This Row],[Order_Date]])</f>
        <v>2025</v>
      </c>
      <c r="E1522" s="7">
        <v>45936</v>
      </c>
      <c r="F1522" s="2" t="str">
        <f>VLOOKUP(Table1[[#This Row],[Customer_ID]],Customer_Dim!$A$2:$H$501,2,FALSE)</f>
        <v>Howard Summers</v>
      </c>
      <c r="G1522" s="2" t="str">
        <f>_xlfn.XLOOKUP(Table1[[#This Row],[Customer_ID]],Customer_Dim!$A$2:$A$501,Customer_Dim!$E$2:$E$501)</f>
        <v>East Linda</v>
      </c>
      <c r="H1522" t="s">
        <v>370</v>
      </c>
      <c r="I1522" t="str">
        <f>VLOOKUP(Table1[[#This Row],[Product_ID]],Product_Dim!$A$2:$G$101,2,FALSE)</f>
        <v>Adjustable Dumbbells 20kg-Sports</v>
      </c>
      <c r="J1522" t="s">
        <v>1653</v>
      </c>
      <c r="K1522" t="str">
        <f>VLOOKUP(Table1[[#This Row],[Store_ID]],Store_Dim!$A$3:$D$22,2,FALSE)</f>
        <v>Frederick-Wright-West</v>
      </c>
      <c r="L1522" t="s">
        <v>1757</v>
      </c>
      <c r="M1522" t="s">
        <v>3958</v>
      </c>
      <c r="N1522" s="3">
        <v>578.47</v>
      </c>
      <c r="O1522" s="4">
        <v>0.06</v>
      </c>
      <c r="P1522" t="s">
        <v>1777</v>
      </c>
      <c r="Q1522" s="4">
        <v>1631.2854</v>
      </c>
    </row>
    <row r="1523" spans="1:17" x14ac:dyDescent="0.3">
      <c r="A1523" t="s">
        <v>3295</v>
      </c>
      <c r="B1523" t="str">
        <f t="shared" si="23"/>
        <v>Q1</v>
      </c>
      <c r="C1523" t="str">
        <f>TEXT(Table1[[#This Row],[Order_Date]],"mmmm")</f>
        <v>February</v>
      </c>
      <c r="D1523">
        <f>YEAR(Table1[[#This Row],[Order_Date]])</f>
        <v>2024</v>
      </c>
      <c r="E1523" s="7">
        <v>45344</v>
      </c>
      <c r="F1523" s="2" t="str">
        <f>VLOOKUP(Table1[[#This Row],[Customer_ID]],Customer_Dim!$A$2:$H$501,2,FALSE)</f>
        <v>Wayne Mcpherson</v>
      </c>
      <c r="G1523" s="2" t="str">
        <f>_xlfn.XLOOKUP(Table1[[#This Row],[Customer_ID]],Customer_Dim!$A$2:$A$501,Customer_Dim!$E$2:$E$501)</f>
        <v>Edwardsfort</v>
      </c>
      <c r="H1523" t="s">
        <v>205</v>
      </c>
      <c r="I1523" t="str">
        <f>VLOOKUP(Table1[[#This Row],[Product_ID]],Product_Dim!$A$2:$G$101,2,FALSE)</f>
        <v>Multi-Purpose Storage Box-Home</v>
      </c>
      <c r="J1523" t="s">
        <v>1565</v>
      </c>
      <c r="K1523" t="str">
        <f>VLOOKUP(Table1[[#This Row],[Store_ID]],Store_Dim!$A$3:$D$22,2,FALSE)</f>
        <v>Thomas, Bridges and Harris-North</v>
      </c>
      <c r="L1523" t="s">
        <v>1751</v>
      </c>
      <c r="M1523" t="s">
        <v>3957</v>
      </c>
      <c r="N1523" s="3">
        <v>440.48</v>
      </c>
      <c r="O1523" s="4">
        <v>0.11</v>
      </c>
      <c r="P1523" t="s">
        <v>1777</v>
      </c>
      <c r="Q1523" s="4">
        <v>392.02720000000011</v>
      </c>
    </row>
    <row r="1524" spans="1:17" x14ac:dyDescent="0.3">
      <c r="A1524" t="s">
        <v>3296</v>
      </c>
      <c r="B1524" t="str">
        <f t="shared" si="23"/>
        <v>Q1</v>
      </c>
      <c r="C1524" t="str">
        <f>TEXT(Table1[[#This Row],[Order_Date]],"mmmm")</f>
        <v>February</v>
      </c>
      <c r="D1524">
        <f>YEAR(Table1[[#This Row],[Order_Date]])</f>
        <v>2024</v>
      </c>
      <c r="E1524" s="7">
        <v>45329</v>
      </c>
      <c r="F1524" s="2" t="str">
        <f>VLOOKUP(Table1[[#This Row],[Customer_ID]],Customer_Dim!$A$2:$H$501,2,FALSE)</f>
        <v>John Scott</v>
      </c>
      <c r="G1524" s="2" t="str">
        <f>_xlfn.XLOOKUP(Table1[[#This Row],[Customer_ID]],Customer_Dim!$A$2:$A$501,Customer_Dim!$E$2:$E$501)</f>
        <v>South Christopher</v>
      </c>
      <c r="H1524" t="s">
        <v>75</v>
      </c>
      <c r="I1524" t="str">
        <f>VLOOKUP(Table1[[#This Row],[Product_ID]],Product_Dim!$A$2:$G$101,2,FALSE)</f>
        <v>Beard Grooming Kit-Beauty</v>
      </c>
      <c r="J1524" t="s">
        <v>1555</v>
      </c>
      <c r="K1524" t="str">
        <f>VLOOKUP(Table1[[#This Row],[Store_ID]],Store_Dim!$A$3:$D$22,2,FALSE)</f>
        <v>Mann-Austin-East</v>
      </c>
      <c r="L1524" t="s">
        <v>1763</v>
      </c>
      <c r="M1524" t="s">
        <v>3960</v>
      </c>
      <c r="N1524" s="3">
        <v>303.67</v>
      </c>
      <c r="O1524" s="4">
        <v>0.05</v>
      </c>
      <c r="P1524" t="s">
        <v>1774</v>
      </c>
      <c r="Q1524" s="4">
        <v>576.97299999999996</v>
      </c>
    </row>
    <row r="1525" spans="1:17" x14ac:dyDescent="0.3">
      <c r="A1525" t="s">
        <v>3297</v>
      </c>
      <c r="B1525" t="str">
        <f t="shared" si="23"/>
        <v>Q3</v>
      </c>
      <c r="C1525" t="str">
        <f>TEXT(Table1[[#This Row],[Order_Date]],"mmmm")</f>
        <v>August</v>
      </c>
      <c r="D1525">
        <f>YEAR(Table1[[#This Row],[Order_Date]])</f>
        <v>2025</v>
      </c>
      <c r="E1525" s="7">
        <v>45895</v>
      </c>
      <c r="F1525" s="2" t="str">
        <f>VLOOKUP(Table1[[#This Row],[Customer_ID]],Customer_Dim!$A$2:$H$501,2,FALSE)</f>
        <v>John Jones</v>
      </c>
      <c r="G1525" s="2" t="str">
        <f>_xlfn.XLOOKUP(Table1[[#This Row],[Customer_ID]],Customer_Dim!$A$2:$A$501,Customer_Dim!$E$2:$E$501)</f>
        <v>North Michaelborough</v>
      </c>
      <c r="H1525" t="s">
        <v>1045</v>
      </c>
      <c r="I1525" t="str">
        <f>VLOOKUP(Table1[[#This Row],[Product_ID]],Product_Dim!$A$2:$G$101,2,FALSE)</f>
        <v>Bluetooth Car Audio System-Electronics</v>
      </c>
      <c r="J1525" t="s">
        <v>1671</v>
      </c>
      <c r="K1525" t="str">
        <f>VLOOKUP(Table1[[#This Row],[Store_ID]],Store_Dim!$A$3:$D$22,2,FALSE)</f>
        <v>Mcdonald Inc-South</v>
      </c>
      <c r="L1525" t="s">
        <v>1754</v>
      </c>
      <c r="M1525" t="s">
        <v>3960</v>
      </c>
      <c r="N1525" s="3">
        <v>611.21</v>
      </c>
      <c r="O1525" s="4">
        <v>0.22</v>
      </c>
      <c r="P1525" t="s">
        <v>1777</v>
      </c>
      <c r="Q1525" s="4">
        <v>953.48760000000004</v>
      </c>
    </row>
    <row r="1526" spans="1:17" x14ac:dyDescent="0.3">
      <c r="A1526" t="s">
        <v>3298</v>
      </c>
      <c r="B1526" t="str">
        <f t="shared" si="23"/>
        <v>Q4</v>
      </c>
      <c r="C1526" t="str">
        <f>TEXT(Table1[[#This Row],[Order_Date]],"mmmm")</f>
        <v>November</v>
      </c>
      <c r="D1526">
        <f>YEAR(Table1[[#This Row],[Order_Date]])</f>
        <v>2023</v>
      </c>
      <c r="E1526" s="7">
        <v>45239</v>
      </c>
      <c r="F1526" s="2" t="str">
        <f>VLOOKUP(Table1[[#This Row],[Customer_ID]],Customer_Dim!$A$2:$H$501,2,FALSE)</f>
        <v>Christina Garcia</v>
      </c>
      <c r="G1526" s="2" t="str">
        <f>_xlfn.XLOOKUP(Table1[[#This Row],[Customer_ID]],Customer_Dim!$A$2:$A$501,Customer_Dim!$E$2:$E$501)</f>
        <v>Clarkeside</v>
      </c>
      <c r="H1526" t="s">
        <v>654</v>
      </c>
      <c r="I1526" t="str">
        <f>VLOOKUP(Table1[[#This Row],[Product_ID]],Product_Dim!$A$2:$G$101,2,FALSE)</f>
        <v>Portable Power Bank-Electronics</v>
      </c>
      <c r="J1526" t="s">
        <v>1601</v>
      </c>
      <c r="K1526" t="str">
        <f>VLOOKUP(Table1[[#This Row],[Store_ID]],Store_Dim!$A$3:$D$22,2,FALSE)</f>
        <v>Shelton PLC-North</v>
      </c>
      <c r="L1526" t="s">
        <v>1755</v>
      </c>
      <c r="M1526" t="s">
        <v>3960</v>
      </c>
      <c r="N1526" s="3">
        <v>768.08</v>
      </c>
      <c r="O1526" s="4">
        <v>0.26</v>
      </c>
      <c r="P1526" t="s">
        <v>1774</v>
      </c>
      <c r="Q1526" s="4">
        <v>1136.7583999999999</v>
      </c>
    </row>
    <row r="1527" spans="1:17" x14ac:dyDescent="0.3">
      <c r="A1527" t="s">
        <v>3299</v>
      </c>
      <c r="B1527" t="str">
        <f t="shared" si="23"/>
        <v>Q1</v>
      </c>
      <c r="C1527" t="str">
        <f>TEXT(Table1[[#This Row],[Order_Date]],"mmmm")</f>
        <v>January</v>
      </c>
      <c r="D1527">
        <f>YEAR(Table1[[#This Row],[Order_Date]])</f>
        <v>2024</v>
      </c>
      <c r="E1527" s="7">
        <v>45296</v>
      </c>
      <c r="F1527" s="2" t="str">
        <f>VLOOKUP(Table1[[#This Row],[Customer_ID]],Customer_Dim!$A$2:$H$501,2,FALSE)</f>
        <v>Jared Moran</v>
      </c>
      <c r="G1527" s="2" t="str">
        <f>_xlfn.XLOOKUP(Table1[[#This Row],[Customer_ID]],Customer_Dim!$A$2:$A$501,Customer_Dim!$E$2:$E$501)</f>
        <v>South David</v>
      </c>
      <c r="H1527" t="s">
        <v>928</v>
      </c>
      <c r="I1527" t="str">
        <f>VLOOKUP(Table1[[#This Row],[Product_ID]],Product_Dim!$A$2:$G$101,2,FALSE)</f>
        <v>Men's Formal Shirt-Clothing</v>
      </c>
      <c r="J1527" t="s">
        <v>1569</v>
      </c>
      <c r="K1527" t="str">
        <f>VLOOKUP(Table1[[#This Row],[Store_ID]],Store_Dim!$A$3:$D$22,2,FALSE)</f>
        <v>Guerrero-Schmitt-East</v>
      </c>
      <c r="L1527" t="s">
        <v>1761</v>
      </c>
      <c r="M1527" t="s">
        <v>3957</v>
      </c>
      <c r="N1527" s="3">
        <v>616.82000000000005</v>
      </c>
      <c r="O1527" s="4">
        <v>0.24</v>
      </c>
      <c r="P1527" t="s">
        <v>1772</v>
      </c>
      <c r="Q1527" s="4">
        <v>468.78320000000002</v>
      </c>
    </row>
    <row r="1528" spans="1:17" x14ac:dyDescent="0.3">
      <c r="A1528" t="s">
        <v>3300</v>
      </c>
      <c r="B1528" t="str">
        <f t="shared" si="23"/>
        <v>Q1</v>
      </c>
      <c r="C1528" t="str">
        <f>TEXT(Table1[[#This Row],[Order_Date]],"mmmm")</f>
        <v>January</v>
      </c>
      <c r="D1528">
        <f>YEAR(Table1[[#This Row],[Order_Date]])</f>
        <v>2025</v>
      </c>
      <c r="E1528" s="7">
        <v>45672</v>
      </c>
      <c r="F1528" s="2" t="str">
        <f>VLOOKUP(Table1[[#This Row],[Customer_ID]],Customer_Dim!$A$2:$H$501,2,FALSE)</f>
        <v>Mario Jacobs</v>
      </c>
      <c r="G1528" s="2" t="str">
        <f>_xlfn.XLOOKUP(Table1[[#This Row],[Customer_ID]],Customer_Dim!$A$2:$A$501,Customer_Dim!$E$2:$E$501)</f>
        <v>Port James</v>
      </c>
      <c r="H1528" t="s">
        <v>598</v>
      </c>
      <c r="I1528" t="str">
        <f>VLOOKUP(Table1[[#This Row],[Product_ID]],Product_Dim!$A$2:$G$101,2,FALSE)</f>
        <v>Noise-Canceling Headphones-Electronics</v>
      </c>
      <c r="J1528" t="s">
        <v>1603</v>
      </c>
      <c r="K1528" t="str">
        <f>VLOOKUP(Table1[[#This Row],[Store_ID]],Store_Dim!$A$3:$D$22,2,FALSE)</f>
        <v>Guerrero-Schmitt-East</v>
      </c>
      <c r="L1528" t="s">
        <v>1761</v>
      </c>
      <c r="M1528" t="s">
        <v>3957</v>
      </c>
      <c r="N1528" s="3">
        <v>470.34</v>
      </c>
      <c r="O1528" s="4">
        <v>0.18</v>
      </c>
      <c r="P1528" t="s">
        <v>1777</v>
      </c>
      <c r="Q1528" s="4">
        <v>385.67880000000002</v>
      </c>
    </row>
    <row r="1529" spans="1:17" x14ac:dyDescent="0.3">
      <c r="A1529" t="s">
        <v>3301</v>
      </c>
      <c r="B1529" t="str">
        <f t="shared" si="23"/>
        <v>Q3</v>
      </c>
      <c r="C1529" t="str">
        <f>TEXT(Table1[[#This Row],[Order_Date]],"mmmm")</f>
        <v>July</v>
      </c>
      <c r="D1529">
        <f>YEAR(Table1[[#This Row],[Order_Date]])</f>
        <v>2024</v>
      </c>
      <c r="E1529" s="7">
        <v>45499</v>
      </c>
      <c r="F1529" s="2" t="str">
        <f>VLOOKUP(Table1[[#This Row],[Customer_ID]],Customer_Dim!$A$2:$H$501,2,FALSE)</f>
        <v>Jordan Wells</v>
      </c>
      <c r="G1529" s="2" t="str">
        <f>_xlfn.XLOOKUP(Table1[[#This Row],[Customer_ID]],Customer_Dim!$A$2:$A$501,Customer_Dim!$E$2:$E$501)</f>
        <v xml:space="preserve">Phillipschester   </v>
      </c>
      <c r="H1529" t="s">
        <v>705</v>
      </c>
      <c r="I1529" t="str">
        <f>VLOOKUP(Table1[[#This Row],[Product_ID]],Product_Dim!$A$2:$G$101,2,FALSE)</f>
        <v>Men's Track Pants-Clothing</v>
      </c>
      <c r="J1529" t="s">
        <v>1629</v>
      </c>
      <c r="K1529" t="str">
        <f>VLOOKUP(Table1[[#This Row],[Store_ID]],Store_Dim!$A$3:$D$22,2,FALSE)</f>
        <v>Bean, Jones and Park-West</v>
      </c>
      <c r="L1529" t="s">
        <v>1744</v>
      </c>
      <c r="M1529" t="s">
        <v>3960</v>
      </c>
      <c r="N1529" s="3">
        <v>616.36</v>
      </c>
      <c r="O1529" s="4">
        <v>0.12</v>
      </c>
      <c r="P1529" t="s">
        <v>1774</v>
      </c>
      <c r="Q1529" s="4">
        <v>1084.7936</v>
      </c>
    </row>
    <row r="1530" spans="1:17" x14ac:dyDescent="0.3">
      <c r="A1530" t="s">
        <v>3302</v>
      </c>
      <c r="B1530" t="str">
        <f t="shared" si="23"/>
        <v>Q2</v>
      </c>
      <c r="C1530" t="str">
        <f>TEXT(Table1[[#This Row],[Order_Date]],"mmmm")</f>
        <v>May</v>
      </c>
      <c r="D1530">
        <f>YEAR(Table1[[#This Row],[Order_Date]])</f>
        <v>2024</v>
      </c>
      <c r="E1530" s="7">
        <v>45434</v>
      </c>
      <c r="F1530" s="2" t="str">
        <f>VLOOKUP(Table1[[#This Row],[Customer_ID]],Customer_Dim!$A$2:$H$501,2,FALSE)</f>
        <v>George Rosario</v>
      </c>
      <c r="G1530" s="2" t="str">
        <f>_xlfn.XLOOKUP(Table1[[#This Row],[Customer_ID]],Customer_Dim!$A$2:$A$501,Customer_Dim!$E$2:$E$501)</f>
        <v>Leburgh</v>
      </c>
      <c r="H1530" t="s">
        <v>295</v>
      </c>
      <c r="I1530" t="str">
        <f>VLOOKUP(Table1[[#This Row],[Product_ID]],Product_Dim!$A$2:$G$101,2,FALSE)</f>
        <v>Men's Running Jacket-Clothing</v>
      </c>
      <c r="J1530" t="s">
        <v>1529</v>
      </c>
      <c r="K1530" t="str">
        <f>VLOOKUP(Table1[[#This Row],[Store_ID]],Store_Dim!$A$3:$D$22,2,FALSE)</f>
        <v>Moore, Padilla and Butler-South</v>
      </c>
      <c r="L1530" t="s">
        <v>1746</v>
      </c>
      <c r="M1530" t="s">
        <v>3958</v>
      </c>
      <c r="N1530" s="3">
        <v>657.24</v>
      </c>
      <c r="O1530" s="4">
        <v>0.18</v>
      </c>
      <c r="P1530" t="s">
        <v>1774</v>
      </c>
      <c r="Q1530" s="4">
        <v>1616.8104000000001</v>
      </c>
    </row>
    <row r="1531" spans="1:17" x14ac:dyDescent="0.3">
      <c r="A1531" t="s">
        <v>3303</v>
      </c>
      <c r="B1531" t="str">
        <f t="shared" si="23"/>
        <v>Q3</v>
      </c>
      <c r="C1531" t="str">
        <f>TEXT(Table1[[#This Row],[Order_Date]],"mmmm")</f>
        <v>August</v>
      </c>
      <c r="D1531">
        <f>YEAR(Table1[[#This Row],[Order_Date]])</f>
        <v>2025</v>
      </c>
      <c r="E1531" s="7">
        <v>45893</v>
      </c>
      <c r="F1531" s="2" t="str">
        <f>VLOOKUP(Table1[[#This Row],[Customer_ID]],Customer_Dim!$A$2:$H$501,2,FALSE)</f>
        <v>Christopher Olson</v>
      </c>
      <c r="G1531" s="2" t="str">
        <f>_xlfn.XLOOKUP(Table1[[#This Row],[Customer_ID]],Customer_Dim!$A$2:$A$501,Customer_Dim!$E$2:$E$501)</f>
        <v>West Richard</v>
      </c>
      <c r="H1531" t="s">
        <v>136</v>
      </c>
      <c r="I1531" t="str">
        <f>VLOOKUP(Table1[[#This Row],[Product_ID]],Product_Dim!$A$2:$G$101,2,FALSE)</f>
        <v>Yoga Exercise Mat-Sports</v>
      </c>
      <c r="J1531" t="s">
        <v>1605</v>
      </c>
      <c r="K1531" t="str">
        <f>VLOOKUP(Table1[[#This Row],[Store_ID]],Store_Dim!$A$3:$D$22,2,FALSE)</f>
        <v>Mann-Austin-East</v>
      </c>
      <c r="L1531" t="s">
        <v>1763</v>
      </c>
      <c r="M1531" t="s">
        <v>3960</v>
      </c>
      <c r="N1531" s="3">
        <v>392.45</v>
      </c>
      <c r="O1531" s="4">
        <v>0.04</v>
      </c>
      <c r="P1531" t="s">
        <v>1774</v>
      </c>
      <c r="Q1531" s="4">
        <v>753.50399999999991</v>
      </c>
    </row>
    <row r="1532" spans="1:17" x14ac:dyDescent="0.3">
      <c r="A1532" t="s">
        <v>3304</v>
      </c>
      <c r="B1532" t="str">
        <f t="shared" si="23"/>
        <v>Q1</v>
      </c>
      <c r="C1532" t="str">
        <f>TEXT(Table1[[#This Row],[Order_Date]],"mmmm")</f>
        <v>February</v>
      </c>
      <c r="D1532">
        <f>YEAR(Table1[[#This Row],[Order_Date]])</f>
        <v>2024</v>
      </c>
      <c r="E1532" s="7">
        <v>45346</v>
      </c>
      <c r="F1532" s="2" t="str">
        <f>VLOOKUP(Table1[[#This Row],[Customer_ID]],Customer_Dim!$A$2:$H$501,2,FALSE)</f>
        <v>Laura Soto</v>
      </c>
      <c r="G1532" s="2" t="str">
        <f>_xlfn.XLOOKUP(Table1[[#This Row],[Customer_ID]],Customer_Dim!$A$2:$A$501,Customer_Dim!$E$2:$E$501)</f>
        <v>Rodriguezton</v>
      </c>
      <c r="H1532" t="s">
        <v>779</v>
      </c>
      <c r="I1532" t="str">
        <f>VLOOKUP(Table1[[#This Row],[Product_ID]],Product_Dim!$A$2:$G$101,2,FALSE)</f>
        <v>Noise-Canceling Headphones-Electronics</v>
      </c>
      <c r="J1532" t="s">
        <v>1603</v>
      </c>
      <c r="K1532" t="str">
        <f>VLOOKUP(Table1[[#This Row],[Store_ID]],Store_Dim!$A$3:$D$22,2,FALSE)</f>
        <v>Mcdonald Inc-South</v>
      </c>
      <c r="L1532" t="s">
        <v>1754</v>
      </c>
      <c r="M1532" t="s">
        <v>3958</v>
      </c>
      <c r="N1532" s="3">
        <v>62.03</v>
      </c>
      <c r="O1532" s="4">
        <v>0.01</v>
      </c>
      <c r="P1532" t="s">
        <v>1777</v>
      </c>
      <c r="Q1532" s="4">
        <v>184.22909999999999</v>
      </c>
    </row>
    <row r="1533" spans="1:17" x14ac:dyDescent="0.3">
      <c r="A1533" t="s">
        <v>3305</v>
      </c>
      <c r="B1533" t="str">
        <f t="shared" si="23"/>
        <v>Q4</v>
      </c>
      <c r="C1533" t="str">
        <f>TEXT(Table1[[#This Row],[Order_Date]],"mmmm")</f>
        <v>November</v>
      </c>
      <c r="D1533">
        <f>YEAR(Table1[[#This Row],[Order_Date]])</f>
        <v>2024</v>
      </c>
      <c r="E1533" s="7">
        <v>45613</v>
      </c>
      <c r="F1533" s="2" t="str">
        <f>VLOOKUP(Table1[[#This Row],[Customer_ID]],Customer_Dim!$A$2:$H$501,2,FALSE)</f>
        <v>Robert Jackson</v>
      </c>
      <c r="G1533" s="2" t="str">
        <f>_xlfn.XLOOKUP(Table1[[#This Row],[Customer_ID]],Customer_Dim!$A$2:$A$501,Customer_Dim!$E$2:$E$501)</f>
        <v>Lake Brandy</v>
      </c>
      <c r="H1533" t="s">
        <v>327</v>
      </c>
      <c r="I1533" t="str">
        <f>VLOOKUP(Table1[[#This Row],[Product_ID]],Product_Dim!$A$2:$G$101,2,FALSE)</f>
        <v>Women's Formal Blazer-Clothing</v>
      </c>
      <c r="J1533" t="s">
        <v>1715</v>
      </c>
      <c r="K1533" t="str">
        <f>VLOOKUP(Table1[[#This Row],[Store_ID]],Store_Dim!$A$3:$D$22,2,FALSE)</f>
        <v>Johnson-Wright-North</v>
      </c>
      <c r="L1533" t="s">
        <v>1733</v>
      </c>
      <c r="M1533" t="s">
        <v>3959</v>
      </c>
      <c r="N1533" s="3">
        <v>933.73</v>
      </c>
      <c r="O1533" s="4">
        <v>0.25</v>
      </c>
      <c r="P1533" t="s">
        <v>1774</v>
      </c>
      <c r="Q1533" s="4">
        <v>2801.19</v>
      </c>
    </row>
    <row r="1534" spans="1:17" x14ac:dyDescent="0.3">
      <c r="A1534" t="s">
        <v>3306</v>
      </c>
      <c r="B1534" t="str">
        <f t="shared" si="23"/>
        <v>Q3</v>
      </c>
      <c r="C1534" t="str">
        <f>TEXT(Table1[[#This Row],[Order_Date]],"mmmm")</f>
        <v>September</v>
      </c>
      <c r="D1534">
        <f>YEAR(Table1[[#This Row],[Order_Date]])</f>
        <v>2025</v>
      </c>
      <c r="E1534" s="7">
        <v>45928</v>
      </c>
      <c r="F1534" s="2" t="str">
        <f>VLOOKUP(Table1[[#This Row],[Customer_ID]],Customer_Dim!$A$2:$H$501,2,FALSE)</f>
        <v>Curtis Haynes</v>
      </c>
      <c r="G1534" s="2" t="str">
        <f>_xlfn.XLOOKUP(Table1[[#This Row],[Customer_ID]],Customer_Dim!$A$2:$A$501,Customer_Dim!$E$2:$E$501)</f>
        <v>Estradaside</v>
      </c>
      <c r="H1534" t="s">
        <v>515</v>
      </c>
      <c r="I1534" t="str">
        <f>VLOOKUP(Table1[[#This Row],[Product_ID]],Product_Dim!$A$2:$G$101,2,FALSE)</f>
        <v>Women's Beanie Hat-Clothing</v>
      </c>
      <c r="J1534" t="s">
        <v>1693</v>
      </c>
      <c r="K1534" t="str">
        <f>VLOOKUP(Table1[[#This Row],[Store_ID]],Store_Dim!$A$3:$D$22,2,FALSE)</f>
        <v>Frederick-Wright-West</v>
      </c>
      <c r="L1534" t="s">
        <v>1757</v>
      </c>
      <c r="M1534" t="s">
        <v>3958</v>
      </c>
      <c r="N1534" s="3">
        <v>615.30999999999995</v>
      </c>
      <c r="O1534" s="4">
        <v>0.14000000000000001</v>
      </c>
      <c r="P1534" t="s">
        <v>1774</v>
      </c>
      <c r="Q1534" s="4">
        <v>1587.4998000000001</v>
      </c>
    </row>
    <row r="1535" spans="1:17" x14ac:dyDescent="0.3">
      <c r="A1535" t="s">
        <v>3307</v>
      </c>
      <c r="B1535" t="str">
        <f t="shared" si="23"/>
        <v>Q4</v>
      </c>
      <c r="C1535" t="str">
        <f>TEXT(Table1[[#This Row],[Order_Date]],"mmmm")</f>
        <v>November</v>
      </c>
      <c r="D1535">
        <f>YEAR(Table1[[#This Row],[Order_Date]])</f>
        <v>2024</v>
      </c>
      <c r="E1535" s="7">
        <v>45619</v>
      </c>
      <c r="F1535" s="2" t="str">
        <f>VLOOKUP(Table1[[#This Row],[Customer_ID]],Customer_Dim!$A$2:$H$501,2,FALSE)</f>
        <v>James Orozco</v>
      </c>
      <c r="G1535" s="2" t="str">
        <f>_xlfn.XLOOKUP(Table1[[#This Row],[Customer_ID]],Customer_Dim!$A$2:$A$501,Customer_Dim!$E$2:$E$501)</f>
        <v>Simpsonfort</v>
      </c>
      <c r="H1535" t="s">
        <v>1153</v>
      </c>
      <c r="I1535" t="str">
        <f>VLOOKUP(Table1[[#This Row],[Product_ID]],Product_Dim!$A$2:$G$101,2,FALSE)</f>
        <v>Men's Hair Styling Gel-Beauty</v>
      </c>
      <c r="J1535" t="s">
        <v>1641</v>
      </c>
      <c r="K1535" t="str">
        <f>VLOOKUP(Table1[[#This Row],[Store_ID]],Store_Dim!$A$3:$D$22,2,FALSE)</f>
        <v>Guerrero-Schmitt-East</v>
      </c>
      <c r="L1535" t="s">
        <v>1761</v>
      </c>
      <c r="M1535" t="s">
        <v>3959</v>
      </c>
      <c r="N1535" s="3">
        <v>790.38</v>
      </c>
      <c r="O1535" s="4">
        <v>0.22</v>
      </c>
      <c r="P1535" t="s">
        <v>1777</v>
      </c>
      <c r="Q1535" s="4">
        <v>2465.9856</v>
      </c>
    </row>
    <row r="1536" spans="1:17" x14ac:dyDescent="0.3">
      <c r="A1536" t="s">
        <v>3308</v>
      </c>
      <c r="B1536" t="str">
        <f t="shared" si="23"/>
        <v>Q3</v>
      </c>
      <c r="C1536" t="str">
        <f>TEXT(Table1[[#This Row],[Order_Date]],"mmmm")</f>
        <v>August</v>
      </c>
      <c r="D1536">
        <f>YEAR(Table1[[#This Row],[Order_Date]])</f>
        <v>2024</v>
      </c>
      <c r="E1536" s="7">
        <v>45533</v>
      </c>
      <c r="F1536" s="2" t="str">
        <f>VLOOKUP(Table1[[#This Row],[Customer_ID]],Customer_Dim!$A$2:$H$501,2,FALSE)</f>
        <v>Tyrone Olson</v>
      </c>
      <c r="G1536" s="2" t="str">
        <f>_xlfn.XLOOKUP(Table1[[#This Row],[Customer_ID]],Customer_Dim!$A$2:$A$501,Customer_Dim!$E$2:$E$501)</f>
        <v>Emilytown</v>
      </c>
      <c r="H1536" t="s">
        <v>850</v>
      </c>
      <c r="I1536" t="str">
        <f>VLOOKUP(Table1[[#This Row],[Product_ID]],Product_Dim!$A$2:$G$101,2,FALSE)</f>
        <v>Men's Hair Styling Gel-Beauty</v>
      </c>
      <c r="J1536" t="s">
        <v>1641</v>
      </c>
      <c r="K1536" t="str">
        <f>VLOOKUP(Table1[[#This Row],[Store_ID]],Store_Dim!$A$3:$D$22,2,FALSE)</f>
        <v>Holloway Ltd-North</v>
      </c>
      <c r="L1536" t="s">
        <v>1759</v>
      </c>
      <c r="M1536" t="s">
        <v>3960</v>
      </c>
      <c r="N1536" s="3">
        <v>102.85</v>
      </c>
      <c r="O1536" s="4">
        <v>0.08</v>
      </c>
      <c r="P1536" t="s">
        <v>1774</v>
      </c>
      <c r="Q1536" s="4">
        <v>189.244</v>
      </c>
    </row>
    <row r="1537" spans="1:17" x14ac:dyDescent="0.3">
      <c r="A1537" t="s">
        <v>3309</v>
      </c>
      <c r="B1537" t="str">
        <f t="shared" si="23"/>
        <v>Q2</v>
      </c>
      <c r="C1537" t="str">
        <f>TEXT(Table1[[#This Row],[Order_Date]],"mmmm")</f>
        <v>May</v>
      </c>
      <c r="D1537">
        <f>YEAR(Table1[[#This Row],[Order_Date]])</f>
        <v>2025</v>
      </c>
      <c r="E1537" s="7">
        <v>45781</v>
      </c>
      <c r="F1537" s="2" t="str">
        <f>VLOOKUP(Table1[[#This Row],[Customer_ID]],Customer_Dim!$A$2:$H$501,2,FALSE)</f>
        <v>Tonya Reynolds</v>
      </c>
      <c r="G1537" s="2" t="str">
        <f>_xlfn.XLOOKUP(Table1[[#This Row],[Customer_ID]],Customer_Dim!$A$2:$A$501,Customer_Dim!$E$2:$E$501)</f>
        <v>Darleneton</v>
      </c>
      <c r="H1537" t="s">
        <v>152</v>
      </c>
      <c r="I1537" t="str">
        <f>VLOOKUP(Table1[[#This Row],[Product_ID]],Product_Dim!$A$2:$G$101,2,FALSE)</f>
        <v>HD Smart TV Stick-Electronics</v>
      </c>
      <c r="J1537" t="s">
        <v>1545</v>
      </c>
      <c r="K1537" t="str">
        <f>VLOOKUP(Table1[[#This Row],[Store_ID]],Store_Dim!$A$3:$D$22,2,FALSE)</f>
        <v>Frederick-Wright-West</v>
      </c>
      <c r="L1537" t="s">
        <v>1757</v>
      </c>
      <c r="M1537" t="s">
        <v>3958</v>
      </c>
      <c r="N1537" s="3">
        <v>866.78</v>
      </c>
      <c r="O1537" s="4">
        <v>0.27</v>
      </c>
      <c r="P1537" t="s">
        <v>1774</v>
      </c>
      <c r="Q1537" s="4">
        <v>1898.2482</v>
      </c>
    </row>
    <row r="1538" spans="1:17" x14ac:dyDescent="0.3">
      <c r="A1538" t="s">
        <v>3310</v>
      </c>
      <c r="B1538" t="str">
        <f t="shared" ref="B1538:B1601" si="24">"Q" &amp;ROUNDUP(MONTH(E1538)/3,0)</f>
        <v>Q1</v>
      </c>
      <c r="C1538" t="str">
        <f>TEXT(Table1[[#This Row],[Order_Date]],"mmmm")</f>
        <v>March</v>
      </c>
      <c r="D1538">
        <f>YEAR(Table1[[#This Row],[Order_Date]])</f>
        <v>2024</v>
      </c>
      <c r="E1538" s="7">
        <v>45378</v>
      </c>
      <c r="F1538" s="2" t="str">
        <f>VLOOKUP(Table1[[#This Row],[Customer_ID]],Customer_Dim!$A$2:$H$501,2,FALSE)</f>
        <v>John Perez</v>
      </c>
      <c r="G1538" s="2" t="str">
        <f>_xlfn.XLOOKUP(Table1[[#This Row],[Customer_ID]],Customer_Dim!$A$2:$A$501,Customer_Dim!$E$2:$E$501)</f>
        <v>Kathrynview</v>
      </c>
      <c r="H1538" t="s">
        <v>672</v>
      </c>
      <c r="I1538" t="str">
        <f>VLOOKUP(Table1[[#This Row],[Product_ID]],Product_Dim!$A$2:$G$101,2,FALSE)</f>
        <v>Essential Oil Diffuser-Home</v>
      </c>
      <c r="J1538" t="s">
        <v>1679</v>
      </c>
      <c r="K1538" t="str">
        <f>VLOOKUP(Table1[[#This Row],[Store_ID]],Store_Dim!$A$3:$D$22,2,FALSE)</f>
        <v>Frederick-Wright-West</v>
      </c>
      <c r="L1538" t="s">
        <v>1757</v>
      </c>
      <c r="M1538" t="s">
        <v>3958</v>
      </c>
      <c r="N1538" s="3">
        <v>392.84</v>
      </c>
      <c r="O1538" s="4">
        <v>0.27</v>
      </c>
      <c r="P1538" t="s">
        <v>1774</v>
      </c>
      <c r="Q1538" s="4">
        <v>860.31959999999992</v>
      </c>
    </row>
    <row r="1539" spans="1:17" x14ac:dyDescent="0.3">
      <c r="A1539" t="s">
        <v>3311</v>
      </c>
      <c r="B1539" t="str">
        <f t="shared" si="24"/>
        <v>Q1</v>
      </c>
      <c r="C1539" t="str">
        <f>TEXT(Table1[[#This Row],[Order_Date]],"mmmm")</f>
        <v>January</v>
      </c>
      <c r="D1539">
        <f>YEAR(Table1[[#This Row],[Order_Date]])</f>
        <v>2025</v>
      </c>
      <c r="E1539" s="7">
        <v>45688</v>
      </c>
      <c r="F1539" s="2" t="str">
        <f>VLOOKUP(Table1[[#This Row],[Customer_ID]],Customer_Dim!$A$2:$H$501,2,FALSE)</f>
        <v>Kristy Dunlap</v>
      </c>
      <c r="G1539" s="2" t="str">
        <f>_xlfn.XLOOKUP(Table1[[#This Row],[Customer_ID]],Customer_Dim!$A$2:$A$501,Customer_Dim!$E$2:$E$501)</f>
        <v>Whiteport</v>
      </c>
      <c r="H1539" t="s">
        <v>1007</v>
      </c>
      <c r="I1539" t="str">
        <f>VLOOKUP(Table1[[#This Row],[Product_ID]],Product_Dim!$A$2:$G$101,2,FALSE)</f>
        <v>Adjustable Dumbbell Set-Sports</v>
      </c>
      <c r="J1539" t="s">
        <v>1541</v>
      </c>
      <c r="K1539" t="str">
        <f>VLOOKUP(Table1[[#This Row],[Store_ID]],Store_Dim!$A$3:$D$22,2,FALSE)</f>
        <v>Gray Ltd-North</v>
      </c>
      <c r="L1539" t="s">
        <v>1738</v>
      </c>
      <c r="M1539" t="s">
        <v>3960</v>
      </c>
      <c r="N1539" s="3">
        <v>753.1</v>
      </c>
      <c r="O1539" s="4">
        <v>0.19</v>
      </c>
      <c r="P1539" t="s">
        <v>1774</v>
      </c>
      <c r="Q1539" s="4">
        <v>1220.0219999999999</v>
      </c>
    </row>
    <row r="1540" spans="1:17" x14ac:dyDescent="0.3">
      <c r="A1540" t="s">
        <v>3312</v>
      </c>
      <c r="B1540" t="str">
        <f t="shared" si="24"/>
        <v>Q3</v>
      </c>
      <c r="C1540" t="str">
        <f>TEXT(Table1[[#This Row],[Order_Date]],"mmmm")</f>
        <v>September</v>
      </c>
      <c r="D1540">
        <f>YEAR(Table1[[#This Row],[Order_Date]])</f>
        <v>2025</v>
      </c>
      <c r="E1540" s="7">
        <v>45927</v>
      </c>
      <c r="F1540" s="2" t="str">
        <f>VLOOKUP(Table1[[#This Row],[Customer_ID]],Customer_Dim!$A$2:$H$501,2,FALSE)</f>
        <v>Daniel Boyd</v>
      </c>
      <c r="G1540" s="2" t="str">
        <f>_xlfn.XLOOKUP(Table1[[#This Row],[Customer_ID]],Customer_Dim!$A$2:$A$501,Customer_Dim!$E$2:$E$501)</f>
        <v>West Pamelafurt</v>
      </c>
      <c r="H1540" t="s">
        <v>40</v>
      </c>
      <c r="I1540" t="str">
        <f>VLOOKUP(Table1[[#This Row],[Product_ID]],Product_Dim!$A$2:$G$101,2,FALSE)</f>
        <v>Sports Stopwatch Pro-Sports</v>
      </c>
      <c r="J1540" t="s">
        <v>1631</v>
      </c>
      <c r="K1540" t="str">
        <f>VLOOKUP(Table1[[#This Row],[Store_ID]],Store_Dim!$A$3:$D$22,2,FALSE)</f>
        <v>Holloway Ltd-North</v>
      </c>
      <c r="L1540" t="s">
        <v>1759</v>
      </c>
      <c r="M1540" t="s">
        <v>3960</v>
      </c>
      <c r="N1540" s="3">
        <v>700.91</v>
      </c>
      <c r="O1540" s="4">
        <v>0.1</v>
      </c>
      <c r="P1540" t="s">
        <v>1774</v>
      </c>
      <c r="Q1540" s="4">
        <v>1261.6379999999999</v>
      </c>
    </row>
    <row r="1541" spans="1:17" x14ac:dyDescent="0.3">
      <c r="A1541" t="s">
        <v>3313</v>
      </c>
      <c r="B1541" t="str">
        <f t="shared" si="24"/>
        <v>Q2</v>
      </c>
      <c r="C1541" t="str">
        <f>TEXT(Table1[[#This Row],[Order_Date]],"mmmm")</f>
        <v>April</v>
      </c>
      <c r="D1541">
        <f>YEAR(Table1[[#This Row],[Order_Date]])</f>
        <v>2025</v>
      </c>
      <c r="E1541" s="7">
        <v>45775</v>
      </c>
      <c r="F1541" s="2" t="str">
        <f>VLOOKUP(Table1[[#This Row],[Customer_ID]],Customer_Dim!$A$2:$H$501,2,FALSE)</f>
        <v>Tonya Burch</v>
      </c>
      <c r="G1541" s="2" t="str">
        <f>_xlfn.XLOOKUP(Table1[[#This Row],[Customer_ID]],Customer_Dim!$A$2:$A$501,Customer_Dim!$E$2:$E$501)</f>
        <v>Olsonhaven</v>
      </c>
      <c r="H1541" t="s">
        <v>261</v>
      </c>
      <c r="I1541" t="str">
        <f>VLOOKUP(Table1[[#This Row],[Product_ID]],Product_Dim!$A$2:$G$101,2,FALSE)</f>
        <v>4K Home Projector-Electronics</v>
      </c>
      <c r="J1541" t="s">
        <v>1553</v>
      </c>
      <c r="K1541" t="str">
        <f>VLOOKUP(Table1[[#This Row],[Store_ID]],Store_Dim!$A$3:$D$22,2,FALSE)</f>
        <v>Thomas, Bridges and Harris-North</v>
      </c>
      <c r="L1541" t="s">
        <v>1751</v>
      </c>
      <c r="M1541" t="s">
        <v>3959</v>
      </c>
      <c r="N1541" s="3">
        <v>935.98</v>
      </c>
      <c r="O1541" s="4">
        <v>0.11</v>
      </c>
      <c r="P1541" t="s">
        <v>1774</v>
      </c>
      <c r="Q1541" s="4">
        <v>3332.0888</v>
      </c>
    </row>
    <row r="1542" spans="1:17" x14ac:dyDescent="0.3">
      <c r="A1542" t="s">
        <v>3314</v>
      </c>
      <c r="B1542" t="str">
        <f t="shared" si="24"/>
        <v>Q3</v>
      </c>
      <c r="C1542" t="str">
        <f>TEXT(Table1[[#This Row],[Order_Date]],"mmmm")</f>
        <v>July</v>
      </c>
      <c r="D1542">
        <f>YEAR(Table1[[#This Row],[Order_Date]])</f>
        <v>2025</v>
      </c>
      <c r="E1542" s="7">
        <v>45849</v>
      </c>
      <c r="F1542" s="2" t="str">
        <f>VLOOKUP(Table1[[#This Row],[Customer_ID]],Customer_Dim!$A$2:$H$501,2,FALSE)</f>
        <v>Sara Ingram</v>
      </c>
      <c r="G1542" s="2" t="str">
        <f>_xlfn.XLOOKUP(Table1[[#This Row],[Customer_ID]],Customer_Dim!$A$2:$A$501,Customer_Dim!$E$2:$E$501)</f>
        <v>East Dillonview</v>
      </c>
      <c r="H1542" t="s">
        <v>1475</v>
      </c>
      <c r="I1542" t="str">
        <f>VLOOKUP(Table1[[#This Row],[Product_ID]],Product_Dim!$A$2:$G$101,2,FALSE)</f>
        <v>Wireless Mouse-Electronics</v>
      </c>
      <c r="J1542" t="s">
        <v>1675</v>
      </c>
      <c r="K1542" t="str">
        <f>VLOOKUP(Table1[[#This Row],[Store_ID]],Store_Dim!$A$3:$D$22,2,FALSE)</f>
        <v>Frederick-Wright-West</v>
      </c>
      <c r="L1542" t="s">
        <v>1757</v>
      </c>
      <c r="M1542" t="s">
        <v>3957</v>
      </c>
      <c r="N1542" s="3">
        <v>539.9</v>
      </c>
      <c r="O1542" s="4">
        <v>7.0000000000000007E-2</v>
      </c>
      <c r="P1542" t="s">
        <v>1772</v>
      </c>
      <c r="Q1542" s="4">
        <v>502.10700000000003</v>
      </c>
    </row>
    <row r="1543" spans="1:17" x14ac:dyDescent="0.3">
      <c r="A1543" t="s">
        <v>3315</v>
      </c>
      <c r="B1543" t="str">
        <f t="shared" si="24"/>
        <v>Q4</v>
      </c>
      <c r="C1543" t="str">
        <f>TEXT(Table1[[#This Row],[Order_Date]],"mmmm")</f>
        <v>October</v>
      </c>
      <c r="D1543">
        <f>YEAR(Table1[[#This Row],[Order_Date]])</f>
        <v>2024</v>
      </c>
      <c r="E1543" s="7">
        <v>45573</v>
      </c>
      <c r="F1543" s="2" t="str">
        <f>VLOOKUP(Table1[[#This Row],[Customer_ID]],Customer_Dim!$A$2:$H$501,2,FALSE)</f>
        <v>Amy Wilson</v>
      </c>
      <c r="G1543" s="2" t="str">
        <f>_xlfn.XLOOKUP(Table1[[#This Row],[Customer_ID]],Customer_Dim!$A$2:$A$501,Customer_Dim!$E$2:$E$501)</f>
        <v>Morrisburgh</v>
      </c>
      <c r="H1543" t="s">
        <v>562</v>
      </c>
      <c r="I1543" t="str">
        <f>VLOOKUP(Table1[[#This Row],[Product_ID]],Product_Dim!$A$2:$G$101,2,FALSE)</f>
        <v>Noise-Canceling Headphones-Electronics</v>
      </c>
      <c r="J1543" t="s">
        <v>1603</v>
      </c>
      <c r="K1543" t="str">
        <f>VLOOKUP(Table1[[#This Row],[Store_ID]],Store_Dim!$A$3:$D$22,2,FALSE)</f>
        <v>Benson-Elliott-East</v>
      </c>
      <c r="L1543" t="s">
        <v>1740</v>
      </c>
      <c r="M1543" t="s">
        <v>3957</v>
      </c>
      <c r="N1543" s="3">
        <v>312.81</v>
      </c>
      <c r="O1543" s="4">
        <v>0.14000000000000001</v>
      </c>
      <c r="P1543" t="s">
        <v>1774</v>
      </c>
      <c r="Q1543" s="4">
        <v>269.01659999999998</v>
      </c>
    </row>
    <row r="1544" spans="1:17" x14ac:dyDescent="0.3">
      <c r="A1544" t="s">
        <v>3316</v>
      </c>
      <c r="B1544" t="str">
        <f t="shared" si="24"/>
        <v>Q1</v>
      </c>
      <c r="C1544" t="str">
        <f>TEXT(Table1[[#This Row],[Order_Date]],"mmmm")</f>
        <v>March</v>
      </c>
      <c r="D1544">
        <f>YEAR(Table1[[#This Row],[Order_Date]])</f>
        <v>2024</v>
      </c>
      <c r="E1544" s="7">
        <v>45356</v>
      </c>
      <c r="F1544" s="2" t="str">
        <f>VLOOKUP(Table1[[#This Row],[Customer_ID]],Customer_Dim!$A$2:$H$501,2,FALSE)</f>
        <v>Lauren George</v>
      </c>
      <c r="G1544" s="2" t="str">
        <f>_xlfn.XLOOKUP(Table1[[#This Row],[Customer_ID]],Customer_Dim!$A$2:$A$501,Customer_Dim!$E$2:$E$501)</f>
        <v>Garciamouth</v>
      </c>
      <c r="H1544" t="s">
        <v>791</v>
      </c>
      <c r="I1544" t="str">
        <f>VLOOKUP(Table1[[#This Row],[Product_ID]],Product_Dim!$A$2:$G$101,2,FALSE)</f>
        <v>Car Dashboard Phone Holder-Electronics</v>
      </c>
      <c r="J1544" t="s">
        <v>1619</v>
      </c>
      <c r="K1544" t="str">
        <f>VLOOKUP(Table1[[#This Row],[Store_ID]],Store_Dim!$A$3:$D$22,2,FALSE)</f>
        <v>Martinez-Mullins-South</v>
      </c>
      <c r="L1544" t="s">
        <v>1742</v>
      </c>
      <c r="M1544" t="s">
        <v>3958</v>
      </c>
      <c r="N1544" s="3">
        <v>855.96</v>
      </c>
      <c r="O1544" s="4">
        <v>0.28999999999999998</v>
      </c>
      <c r="P1544" t="s">
        <v>1777</v>
      </c>
      <c r="Q1544" s="4">
        <v>1823.1948</v>
      </c>
    </row>
    <row r="1545" spans="1:17" x14ac:dyDescent="0.3">
      <c r="A1545" t="s">
        <v>3317</v>
      </c>
      <c r="B1545" t="str">
        <f t="shared" si="24"/>
        <v>Q1</v>
      </c>
      <c r="C1545" t="str">
        <f>TEXT(Table1[[#This Row],[Order_Date]],"mmmm")</f>
        <v>February</v>
      </c>
      <c r="D1545">
        <f>YEAR(Table1[[#This Row],[Order_Date]])</f>
        <v>2024</v>
      </c>
      <c r="E1545" s="7">
        <v>45326</v>
      </c>
      <c r="F1545" s="2" t="str">
        <f>VLOOKUP(Table1[[#This Row],[Customer_ID]],Customer_Dim!$A$2:$H$501,2,FALSE)</f>
        <v>Carlos Flores</v>
      </c>
      <c r="G1545" s="2" t="str">
        <f>_xlfn.XLOOKUP(Table1[[#This Row],[Customer_ID]],Customer_Dim!$A$2:$A$501,Customer_Dim!$E$2:$E$501)</f>
        <v>North Johnfurt</v>
      </c>
      <c r="H1545" t="s">
        <v>1100</v>
      </c>
      <c r="I1545" t="str">
        <f>VLOOKUP(Table1[[#This Row],[Product_ID]],Product_Dim!$A$2:$G$101,2,FALSE)</f>
        <v>Men's Graphic T-Shirt-Clothing</v>
      </c>
      <c r="J1545" t="s">
        <v>1525</v>
      </c>
      <c r="K1545" t="str">
        <f>VLOOKUP(Table1[[#This Row],[Store_ID]],Store_Dim!$A$3:$D$22,2,FALSE)</f>
        <v>Aguirre-Keller-South</v>
      </c>
      <c r="L1545" t="s">
        <v>1750</v>
      </c>
      <c r="M1545" t="s">
        <v>3958</v>
      </c>
      <c r="N1545" s="3">
        <v>305</v>
      </c>
      <c r="O1545" s="4">
        <v>0.01</v>
      </c>
      <c r="P1545" t="s">
        <v>1777</v>
      </c>
      <c r="Q1545" s="4">
        <v>905.85</v>
      </c>
    </row>
    <row r="1546" spans="1:17" x14ac:dyDescent="0.3">
      <c r="A1546" t="s">
        <v>3318</v>
      </c>
      <c r="B1546" t="str">
        <f t="shared" si="24"/>
        <v>Q1</v>
      </c>
      <c r="C1546" t="str">
        <f>TEXT(Table1[[#This Row],[Order_Date]],"mmmm")</f>
        <v>March</v>
      </c>
      <c r="D1546">
        <f>YEAR(Table1[[#This Row],[Order_Date]])</f>
        <v>2024</v>
      </c>
      <c r="E1546" s="7">
        <v>45361</v>
      </c>
      <c r="F1546" s="2" t="str">
        <f>VLOOKUP(Table1[[#This Row],[Customer_ID]],Customer_Dim!$A$2:$H$501,2,FALSE)</f>
        <v>Gregory Curtis</v>
      </c>
      <c r="G1546" s="2" t="str">
        <f>_xlfn.XLOOKUP(Table1[[#This Row],[Customer_ID]],Customer_Dim!$A$2:$A$501,Customer_Dim!$E$2:$E$501)</f>
        <v>Bergermouth</v>
      </c>
      <c r="H1546" t="s">
        <v>1427</v>
      </c>
      <c r="I1546" t="str">
        <f>VLOOKUP(Table1[[#This Row],[Product_ID]],Product_Dim!$A$2:$G$101,2,FALSE)</f>
        <v>Stainless Steel Cookware Set-Home</v>
      </c>
      <c r="J1546" t="s">
        <v>1721</v>
      </c>
      <c r="K1546" t="str">
        <f>VLOOKUP(Table1[[#This Row],[Store_ID]],Store_Dim!$A$3:$D$22,2,FALSE)</f>
        <v>Thomas, Bridges and Harris-North</v>
      </c>
      <c r="L1546" t="s">
        <v>1751</v>
      </c>
      <c r="M1546" t="s">
        <v>3958</v>
      </c>
      <c r="N1546" s="3">
        <v>831.15</v>
      </c>
      <c r="O1546" s="4">
        <v>0.19</v>
      </c>
      <c r="P1546" t="s">
        <v>1772</v>
      </c>
      <c r="Q1546" s="4">
        <v>2019.6945000000001</v>
      </c>
    </row>
    <row r="1547" spans="1:17" x14ac:dyDescent="0.3">
      <c r="A1547" t="s">
        <v>3319</v>
      </c>
      <c r="B1547" t="str">
        <f t="shared" si="24"/>
        <v>Q3</v>
      </c>
      <c r="C1547" t="str">
        <f>TEXT(Table1[[#This Row],[Order_Date]],"mmmm")</f>
        <v>September</v>
      </c>
      <c r="D1547">
        <f>YEAR(Table1[[#This Row],[Order_Date]])</f>
        <v>2025</v>
      </c>
      <c r="E1547" s="7">
        <v>45926</v>
      </c>
      <c r="F1547" s="2" t="str">
        <f>VLOOKUP(Table1[[#This Row],[Customer_ID]],Customer_Dim!$A$2:$H$501,2,FALSE)</f>
        <v>Jacqueline Pacheco</v>
      </c>
      <c r="G1547" s="2" t="str">
        <f>_xlfn.XLOOKUP(Table1[[#This Row],[Customer_ID]],Customer_Dim!$A$2:$A$501,Customer_Dim!$E$2:$E$501)</f>
        <v>South Emily</v>
      </c>
      <c r="H1547" t="s">
        <v>669</v>
      </c>
      <c r="I1547" t="str">
        <f>VLOOKUP(Table1[[#This Row],[Product_ID]],Product_Dim!$A$2:$G$101,2,FALSE)</f>
        <v>Women's Formal Blazer-Clothing</v>
      </c>
      <c r="J1547" t="s">
        <v>1715</v>
      </c>
      <c r="K1547" t="str">
        <f>VLOOKUP(Table1[[#This Row],[Store_ID]],Store_Dim!$A$3:$D$22,2,FALSE)</f>
        <v>Johnson-Wright-North</v>
      </c>
      <c r="L1547" t="s">
        <v>1733</v>
      </c>
      <c r="M1547" t="s">
        <v>3960</v>
      </c>
      <c r="N1547" s="3">
        <v>644.97</v>
      </c>
      <c r="O1547" s="4">
        <v>0.24</v>
      </c>
      <c r="P1547" t="s">
        <v>1777</v>
      </c>
      <c r="Q1547" s="4">
        <v>980.35440000000006</v>
      </c>
    </row>
    <row r="1548" spans="1:17" x14ac:dyDescent="0.3">
      <c r="A1548" t="s">
        <v>3320</v>
      </c>
      <c r="B1548" t="str">
        <f t="shared" si="24"/>
        <v>Q3</v>
      </c>
      <c r="C1548" t="str">
        <f>TEXT(Table1[[#This Row],[Order_Date]],"mmmm")</f>
        <v>July</v>
      </c>
      <c r="D1548">
        <f>YEAR(Table1[[#This Row],[Order_Date]])</f>
        <v>2025</v>
      </c>
      <c r="E1548" s="7">
        <v>45839</v>
      </c>
      <c r="F1548" s="2" t="str">
        <f>VLOOKUP(Table1[[#This Row],[Customer_ID]],Customer_Dim!$A$2:$H$501,2,FALSE)</f>
        <v>Amy Fowler</v>
      </c>
      <c r="G1548" s="2" t="str">
        <f>_xlfn.XLOOKUP(Table1[[#This Row],[Customer_ID]],Customer_Dim!$A$2:$A$501,Customer_Dim!$E$2:$E$501)</f>
        <v>West Bobbyshire</v>
      </c>
      <c r="H1548" t="s">
        <v>336</v>
      </c>
      <c r="I1548" t="str">
        <f>VLOOKUP(Table1[[#This Row],[Product_ID]],Product_Dim!$A$2:$G$101,2,FALSE)</f>
        <v>Sports Wrist Sweatbands-Sports</v>
      </c>
      <c r="J1548" t="s">
        <v>1699</v>
      </c>
      <c r="K1548" t="str">
        <f>VLOOKUP(Table1[[#This Row],[Store_ID]],Store_Dim!$A$3:$D$22,2,FALSE)</f>
        <v>Martinez, Adkins and Johnson-North</v>
      </c>
      <c r="L1548" t="s">
        <v>1728</v>
      </c>
      <c r="M1548" t="s">
        <v>3957</v>
      </c>
      <c r="N1548" s="3">
        <v>149.56</v>
      </c>
      <c r="O1548" s="4">
        <v>0.09</v>
      </c>
      <c r="P1548" t="s">
        <v>1772</v>
      </c>
      <c r="Q1548" s="4">
        <v>136.09960000000001</v>
      </c>
    </row>
    <row r="1549" spans="1:17" x14ac:dyDescent="0.3">
      <c r="A1549" t="s">
        <v>3321</v>
      </c>
      <c r="B1549" t="str">
        <f t="shared" si="24"/>
        <v>Q2</v>
      </c>
      <c r="C1549" t="str">
        <f>TEXT(Table1[[#This Row],[Order_Date]],"mmmm")</f>
        <v>May</v>
      </c>
      <c r="D1549">
        <f>YEAR(Table1[[#This Row],[Order_Date]])</f>
        <v>2024</v>
      </c>
      <c r="E1549" s="7">
        <v>45434</v>
      </c>
      <c r="F1549" s="2" t="str">
        <f>VLOOKUP(Table1[[#This Row],[Customer_ID]],Customer_Dim!$A$2:$H$501,2,FALSE)</f>
        <v>Kathy Copeland</v>
      </c>
      <c r="G1549" s="2" t="str">
        <f>_xlfn.XLOOKUP(Table1[[#This Row],[Customer_ID]],Customer_Dim!$A$2:$A$501,Customer_Dim!$E$2:$E$501)</f>
        <v>North Christinemouth</v>
      </c>
      <c r="H1549" t="s">
        <v>699</v>
      </c>
      <c r="I1549" t="str">
        <f>VLOOKUP(Table1[[#This Row],[Product_ID]],Product_Dim!$A$2:$G$101,2,FALSE)</f>
        <v>USB External Hard Drive-Electronics</v>
      </c>
      <c r="J1549" t="s">
        <v>1609</v>
      </c>
      <c r="K1549" t="str">
        <f>VLOOKUP(Table1[[#This Row],[Store_ID]],Store_Dim!$A$3:$D$22,2,FALSE)</f>
        <v>Mann-Austin-East</v>
      </c>
      <c r="L1549" t="s">
        <v>1763</v>
      </c>
      <c r="M1549" t="s">
        <v>3957</v>
      </c>
      <c r="N1549" s="3">
        <v>661.77</v>
      </c>
      <c r="O1549" s="4">
        <v>0.03</v>
      </c>
      <c r="P1549" t="s">
        <v>1774</v>
      </c>
      <c r="Q1549" s="4">
        <v>641.91689999999994</v>
      </c>
    </row>
    <row r="1550" spans="1:17" x14ac:dyDescent="0.3">
      <c r="A1550" t="s">
        <v>3322</v>
      </c>
      <c r="B1550" t="str">
        <f t="shared" si="24"/>
        <v>Q2</v>
      </c>
      <c r="C1550" t="str">
        <f>TEXT(Table1[[#This Row],[Order_Date]],"mmmm")</f>
        <v>June</v>
      </c>
      <c r="D1550">
        <f>YEAR(Table1[[#This Row],[Order_Date]])</f>
        <v>2025</v>
      </c>
      <c r="E1550" s="7">
        <v>45819</v>
      </c>
      <c r="F1550" s="2" t="str">
        <f>VLOOKUP(Table1[[#This Row],[Customer_ID]],Customer_Dim!$A$2:$H$501,2,FALSE)</f>
        <v>Travis Holland</v>
      </c>
      <c r="G1550" s="2" t="str">
        <f>_xlfn.XLOOKUP(Table1[[#This Row],[Customer_ID]],Customer_Dim!$A$2:$A$501,Customer_Dim!$E$2:$E$501)</f>
        <v>Webstermouth</v>
      </c>
      <c r="H1550" t="s">
        <v>376</v>
      </c>
      <c r="I1550" t="str">
        <f>VLOOKUP(Table1[[#This Row],[Product_ID]],Product_Dim!$A$2:$G$101,2,FALSE)</f>
        <v>Vitamin E Body Lotion-Beauty</v>
      </c>
      <c r="J1550" t="s">
        <v>1711</v>
      </c>
      <c r="K1550" t="str">
        <f>VLOOKUP(Table1[[#This Row],[Store_ID]],Store_Dim!$A$3:$D$22,2,FALSE)</f>
        <v>Martinez-Mullins-South</v>
      </c>
      <c r="L1550" t="s">
        <v>1742</v>
      </c>
      <c r="M1550" t="s">
        <v>3958</v>
      </c>
      <c r="N1550" s="3">
        <v>99.67</v>
      </c>
      <c r="O1550" s="4">
        <v>0.17</v>
      </c>
      <c r="P1550" t="s">
        <v>1772</v>
      </c>
      <c r="Q1550" s="4">
        <v>248.17830000000001</v>
      </c>
    </row>
    <row r="1551" spans="1:17" x14ac:dyDescent="0.3">
      <c r="A1551" t="s">
        <v>3323</v>
      </c>
      <c r="B1551" t="str">
        <f t="shared" si="24"/>
        <v>Q3</v>
      </c>
      <c r="C1551" t="str">
        <f>TEXT(Table1[[#This Row],[Order_Date]],"mmmm")</f>
        <v>September</v>
      </c>
      <c r="D1551">
        <f>YEAR(Table1[[#This Row],[Order_Date]])</f>
        <v>2024</v>
      </c>
      <c r="E1551" s="7">
        <v>45553</v>
      </c>
      <c r="F1551" s="2" t="str">
        <f>VLOOKUP(Table1[[#This Row],[Customer_ID]],Customer_Dim!$A$2:$H$501,2,FALSE)</f>
        <v>Lisa Young</v>
      </c>
      <c r="G1551" s="2" t="str">
        <f>_xlfn.XLOOKUP(Table1[[#This Row],[Customer_ID]],Customer_Dim!$A$2:$A$501,Customer_Dim!$E$2:$E$501)</f>
        <v>Maybury</v>
      </c>
      <c r="H1551" t="s">
        <v>710</v>
      </c>
      <c r="I1551" t="str">
        <f>VLOOKUP(Table1[[#This Row],[Product_ID]],Product_Dim!$A$2:$G$101,2,FALSE)</f>
        <v>Laptop Cooling Pad-Electronics</v>
      </c>
      <c r="J1551" t="s">
        <v>1647</v>
      </c>
      <c r="K1551" t="str">
        <f>VLOOKUP(Table1[[#This Row],[Store_ID]],Store_Dim!$A$3:$D$22,2,FALSE)</f>
        <v>Martinez, Adkins and Johnson-North</v>
      </c>
      <c r="L1551" t="s">
        <v>1728</v>
      </c>
      <c r="M1551" t="s">
        <v>3958</v>
      </c>
      <c r="N1551" s="3">
        <v>103.66</v>
      </c>
      <c r="O1551" s="4">
        <v>0.26</v>
      </c>
      <c r="P1551" t="s">
        <v>1777</v>
      </c>
      <c r="Q1551" s="4">
        <v>230.12520000000001</v>
      </c>
    </row>
    <row r="1552" spans="1:17" x14ac:dyDescent="0.3">
      <c r="A1552" t="s">
        <v>3324</v>
      </c>
      <c r="B1552" t="str">
        <f t="shared" si="24"/>
        <v>Q4</v>
      </c>
      <c r="C1552" t="str">
        <f>TEXT(Table1[[#This Row],[Order_Date]],"mmmm")</f>
        <v>November</v>
      </c>
      <c r="D1552">
        <f>YEAR(Table1[[#This Row],[Order_Date]])</f>
        <v>2023</v>
      </c>
      <c r="E1552" s="7">
        <v>45258</v>
      </c>
      <c r="F1552" s="2" t="str">
        <f>VLOOKUP(Table1[[#This Row],[Customer_ID]],Customer_Dim!$A$2:$H$501,2,FALSE)</f>
        <v>Sharon Simpson</v>
      </c>
      <c r="G1552" s="2" t="str">
        <f>_xlfn.XLOOKUP(Table1[[#This Row],[Customer_ID]],Customer_Dim!$A$2:$A$501,Customer_Dim!$E$2:$E$501)</f>
        <v>South Michellebury</v>
      </c>
      <c r="H1552" t="s">
        <v>1336</v>
      </c>
      <c r="I1552" t="str">
        <f>VLOOKUP(Table1[[#This Row],[Product_ID]],Product_Dim!$A$2:$G$101,2,FALSE)</f>
        <v>Noise-Canceling Headphones-Electronics</v>
      </c>
      <c r="J1552" t="s">
        <v>1603</v>
      </c>
      <c r="K1552" t="str">
        <f>VLOOKUP(Table1[[#This Row],[Store_ID]],Store_Dim!$A$3:$D$22,2,FALSE)</f>
        <v>Black-Horn-South</v>
      </c>
      <c r="L1552" t="s">
        <v>1730</v>
      </c>
      <c r="M1552" t="s">
        <v>3959</v>
      </c>
      <c r="N1552" s="3">
        <v>54.4</v>
      </c>
      <c r="O1552" s="4">
        <v>0.22</v>
      </c>
      <c r="P1552" t="s">
        <v>1772</v>
      </c>
      <c r="Q1552" s="4">
        <v>169.72800000000001</v>
      </c>
    </row>
    <row r="1553" spans="1:17" x14ac:dyDescent="0.3">
      <c r="A1553" t="s">
        <v>3325</v>
      </c>
      <c r="B1553" t="str">
        <f t="shared" si="24"/>
        <v>Q2</v>
      </c>
      <c r="C1553" t="str">
        <f>TEXT(Table1[[#This Row],[Order_Date]],"mmmm")</f>
        <v>May</v>
      </c>
      <c r="D1553">
        <f>YEAR(Table1[[#This Row],[Order_Date]])</f>
        <v>2024</v>
      </c>
      <c r="E1553" s="7">
        <v>45435</v>
      </c>
      <c r="F1553" s="2" t="str">
        <f>VLOOKUP(Table1[[#This Row],[Customer_ID]],Customer_Dim!$A$2:$H$501,2,FALSE)</f>
        <v>Scott Harris</v>
      </c>
      <c r="G1553" s="2" t="str">
        <f>_xlfn.XLOOKUP(Table1[[#This Row],[Customer_ID]],Customer_Dim!$A$2:$A$501,Customer_Dim!$E$2:$E$501)</f>
        <v>North Nataliemouth</v>
      </c>
      <c r="H1553" t="s">
        <v>1490</v>
      </c>
      <c r="I1553" t="str">
        <f>VLOOKUP(Table1[[#This Row],[Product_ID]],Product_Dim!$A$2:$G$101,2,FALSE)</f>
        <v>Wooden Bookshelf-Home</v>
      </c>
      <c r="J1553" t="s">
        <v>1691</v>
      </c>
      <c r="K1553" t="str">
        <f>VLOOKUP(Table1[[#This Row],[Store_ID]],Store_Dim!$A$3:$D$22,2,FALSE)</f>
        <v>Mcdonald Inc-South</v>
      </c>
      <c r="L1553" t="s">
        <v>1754</v>
      </c>
      <c r="M1553" t="s">
        <v>3957</v>
      </c>
      <c r="N1553" s="3">
        <v>46.66</v>
      </c>
      <c r="O1553" s="4">
        <v>0.2</v>
      </c>
      <c r="P1553" t="s">
        <v>1772</v>
      </c>
      <c r="Q1553" s="4">
        <v>37.328000000000003</v>
      </c>
    </row>
    <row r="1554" spans="1:17" x14ac:dyDescent="0.3">
      <c r="A1554" t="s">
        <v>3326</v>
      </c>
      <c r="B1554" t="str">
        <f t="shared" si="24"/>
        <v>Q2</v>
      </c>
      <c r="C1554" t="str">
        <f>TEXT(Table1[[#This Row],[Order_Date]],"mmmm")</f>
        <v>June</v>
      </c>
      <c r="D1554">
        <f>YEAR(Table1[[#This Row],[Order_Date]])</f>
        <v>2024</v>
      </c>
      <c r="E1554" s="7">
        <v>45447</v>
      </c>
      <c r="F1554" s="2" t="str">
        <f>VLOOKUP(Table1[[#This Row],[Customer_ID]],Customer_Dim!$A$2:$H$501,2,FALSE)</f>
        <v>Daniel Boyd</v>
      </c>
      <c r="G1554" s="2" t="str">
        <f>_xlfn.XLOOKUP(Table1[[#This Row],[Customer_ID]],Customer_Dim!$A$2:$A$501,Customer_Dim!$E$2:$E$501)</f>
        <v>West Pamelafurt</v>
      </c>
      <c r="H1554" t="s">
        <v>40</v>
      </c>
      <c r="I1554" t="str">
        <f>VLOOKUP(Table1[[#This Row],[Product_ID]],Product_Dim!$A$2:$G$101,2,FALSE)</f>
        <v>Shin Guards – Adult-Sports</v>
      </c>
      <c r="J1554" t="s">
        <v>1669</v>
      </c>
      <c r="K1554" t="str">
        <f>VLOOKUP(Table1[[#This Row],[Store_ID]],Store_Dim!$A$3:$D$22,2,FALSE)</f>
        <v>Aguirre-Keller-South</v>
      </c>
      <c r="L1554" t="s">
        <v>1750</v>
      </c>
      <c r="M1554" t="s">
        <v>3959</v>
      </c>
      <c r="N1554" s="3">
        <v>871.2</v>
      </c>
      <c r="O1554" s="4">
        <v>0.28999999999999998</v>
      </c>
      <c r="P1554" t="s">
        <v>1772</v>
      </c>
      <c r="Q1554" s="4">
        <v>2474.2080000000001</v>
      </c>
    </row>
    <row r="1555" spans="1:17" x14ac:dyDescent="0.3">
      <c r="A1555" t="s">
        <v>3327</v>
      </c>
      <c r="B1555" t="str">
        <f t="shared" si="24"/>
        <v>Q1</v>
      </c>
      <c r="C1555" t="str">
        <f>TEXT(Table1[[#This Row],[Order_Date]],"mmmm")</f>
        <v>March</v>
      </c>
      <c r="D1555">
        <f>YEAR(Table1[[#This Row],[Order_Date]])</f>
        <v>2025</v>
      </c>
      <c r="E1555" s="7">
        <v>45724</v>
      </c>
      <c r="F1555" s="2" t="str">
        <f>VLOOKUP(Table1[[#This Row],[Customer_ID]],Customer_Dim!$A$2:$H$501,2,FALSE)</f>
        <v>Tanya Lopez</v>
      </c>
      <c r="G1555" s="2" t="str">
        <f>_xlfn.XLOOKUP(Table1[[#This Row],[Customer_ID]],Customer_Dim!$A$2:$A$501,Customer_Dim!$E$2:$E$501)</f>
        <v>West Jeffreyburgh</v>
      </c>
      <c r="H1555" t="s">
        <v>1171</v>
      </c>
      <c r="I1555" t="str">
        <f>VLOOKUP(Table1[[#This Row],[Product_ID]],Product_Dim!$A$2:$G$101,2,FALSE)</f>
        <v>Women's Denim Jeans-Clothing</v>
      </c>
      <c r="J1555" t="s">
        <v>1559</v>
      </c>
      <c r="K1555" t="str">
        <f>VLOOKUP(Table1[[#This Row],[Store_ID]],Store_Dim!$A$3:$D$22,2,FALSE)</f>
        <v>Mcdonald Inc-South</v>
      </c>
      <c r="L1555" t="s">
        <v>1754</v>
      </c>
      <c r="M1555" t="s">
        <v>3959</v>
      </c>
      <c r="N1555" s="3">
        <v>317.11</v>
      </c>
      <c r="O1555" s="4">
        <v>0.16</v>
      </c>
      <c r="P1555" t="s">
        <v>1774</v>
      </c>
      <c r="Q1555" s="4">
        <v>1065.4896000000001</v>
      </c>
    </row>
    <row r="1556" spans="1:17" x14ac:dyDescent="0.3">
      <c r="A1556" t="s">
        <v>3328</v>
      </c>
      <c r="B1556" t="str">
        <f t="shared" si="24"/>
        <v>Q1</v>
      </c>
      <c r="C1556" t="str">
        <f>TEXT(Table1[[#This Row],[Order_Date]],"mmmm")</f>
        <v>February</v>
      </c>
      <c r="D1556">
        <f>YEAR(Table1[[#This Row],[Order_Date]])</f>
        <v>2024</v>
      </c>
      <c r="E1556" s="7">
        <v>45338</v>
      </c>
      <c r="F1556" s="2" t="str">
        <f>VLOOKUP(Table1[[#This Row],[Customer_ID]],Customer_Dim!$A$2:$H$501,2,FALSE)</f>
        <v>Sarah Stewart</v>
      </c>
      <c r="G1556" s="2" t="str">
        <f>_xlfn.XLOOKUP(Table1[[#This Row],[Customer_ID]],Customer_Dim!$A$2:$A$501,Customer_Dim!$E$2:$E$501)</f>
        <v>East Richard</v>
      </c>
      <c r="H1556" t="s">
        <v>817</v>
      </c>
      <c r="I1556" t="str">
        <f>VLOOKUP(Table1[[#This Row],[Product_ID]],Product_Dim!$A$2:$G$101,2,FALSE)</f>
        <v>Women's Scarf Set-Clothing</v>
      </c>
      <c r="J1556" t="s">
        <v>1573</v>
      </c>
      <c r="K1556" t="str">
        <f>VLOOKUP(Table1[[#This Row],[Store_ID]],Store_Dim!$A$3:$D$22,2,FALSE)</f>
        <v>Gardner, Humphrey and Contreras-East</v>
      </c>
      <c r="L1556" t="s">
        <v>1753</v>
      </c>
      <c r="M1556" t="s">
        <v>3960</v>
      </c>
      <c r="N1556" s="3">
        <v>388.34</v>
      </c>
      <c r="O1556" s="4">
        <v>0.09</v>
      </c>
      <c r="P1556" t="s">
        <v>1774</v>
      </c>
      <c r="Q1556" s="4">
        <v>706.77879999999993</v>
      </c>
    </row>
    <row r="1557" spans="1:17" x14ac:dyDescent="0.3">
      <c r="A1557" t="s">
        <v>3329</v>
      </c>
      <c r="B1557" t="str">
        <f t="shared" si="24"/>
        <v>Q4</v>
      </c>
      <c r="C1557" t="str">
        <f>TEXT(Table1[[#This Row],[Order_Date]],"mmmm")</f>
        <v>November</v>
      </c>
      <c r="D1557">
        <f>YEAR(Table1[[#This Row],[Order_Date]])</f>
        <v>2023</v>
      </c>
      <c r="E1557" s="7">
        <v>45252</v>
      </c>
      <c r="F1557" s="2" t="str">
        <f>VLOOKUP(Table1[[#This Row],[Customer_ID]],Customer_Dim!$A$2:$H$501,2,FALSE)</f>
        <v>Casey Simpson</v>
      </c>
      <c r="G1557" s="2" t="str">
        <f>_xlfn.XLOOKUP(Table1[[#This Row],[Customer_ID]],Customer_Dim!$A$2:$A$501,Customer_Dim!$E$2:$E$501)</f>
        <v>West Mathewside</v>
      </c>
      <c r="H1557" t="s">
        <v>995</v>
      </c>
      <c r="I1557" t="str">
        <f>VLOOKUP(Table1[[#This Row],[Product_ID]],Product_Dim!$A$2:$G$101,2,FALSE)</f>
        <v>Stainless Steel Cutlery Set-Home</v>
      </c>
      <c r="J1557" t="s">
        <v>1583</v>
      </c>
      <c r="K1557" t="str">
        <f>VLOOKUP(Table1[[#This Row],[Store_ID]],Store_Dim!$A$3:$D$22,2,FALSE)</f>
        <v>Benson-Elliott-East</v>
      </c>
      <c r="L1557" t="s">
        <v>1740</v>
      </c>
      <c r="M1557" t="s">
        <v>3959</v>
      </c>
      <c r="N1557" s="3">
        <v>998.2</v>
      </c>
      <c r="O1557" s="4">
        <v>0.15</v>
      </c>
      <c r="P1557" t="s">
        <v>1772</v>
      </c>
      <c r="Q1557" s="4">
        <v>3393.88</v>
      </c>
    </row>
    <row r="1558" spans="1:17" x14ac:dyDescent="0.3">
      <c r="A1558" t="s">
        <v>3330</v>
      </c>
      <c r="B1558" t="str">
        <f t="shared" si="24"/>
        <v>Q4</v>
      </c>
      <c r="C1558" t="str">
        <f>TEXT(Table1[[#This Row],[Order_Date]],"mmmm")</f>
        <v>November</v>
      </c>
      <c r="D1558">
        <f>YEAR(Table1[[#This Row],[Order_Date]])</f>
        <v>2024</v>
      </c>
      <c r="E1558" s="7">
        <v>45606</v>
      </c>
      <c r="F1558" s="2" t="str">
        <f>VLOOKUP(Table1[[#This Row],[Customer_ID]],Customer_Dim!$A$2:$H$501,2,FALSE)</f>
        <v>Amanda Powell</v>
      </c>
      <c r="G1558" s="2" t="str">
        <f>_xlfn.XLOOKUP(Table1[[#This Row],[Customer_ID]],Customer_Dim!$A$2:$A$501,Customer_Dim!$E$2:$E$501)</f>
        <v>South William</v>
      </c>
      <c r="H1558" t="s">
        <v>1499</v>
      </c>
      <c r="I1558" t="str">
        <f>VLOOKUP(Table1[[#This Row],[Product_ID]],Product_Dim!$A$2:$G$101,2,FALSE)</f>
        <v>Women's Summer Dress-Clothing</v>
      </c>
      <c r="J1558" t="s">
        <v>1595</v>
      </c>
      <c r="K1558" t="str">
        <f>VLOOKUP(Table1[[#This Row],[Store_ID]],Store_Dim!$A$3:$D$22,2,FALSE)</f>
        <v>Rivera-Warner-East</v>
      </c>
      <c r="L1558" t="s">
        <v>1725</v>
      </c>
      <c r="M1558" t="s">
        <v>3957</v>
      </c>
      <c r="N1558" s="3">
        <v>887.38</v>
      </c>
      <c r="O1558" s="4">
        <v>0.01</v>
      </c>
      <c r="P1558" t="s">
        <v>1777</v>
      </c>
      <c r="Q1558" s="4">
        <v>878.50620000000004</v>
      </c>
    </row>
    <row r="1559" spans="1:17" x14ac:dyDescent="0.3">
      <c r="A1559" t="s">
        <v>3331</v>
      </c>
      <c r="B1559" t="str">
        <f t="shared" si="24"/>
        <v>Q3</v>
      </c>
      <c r="C1559" t="str">
        <f>TEXT(Table1[[#This Row],[Order_Date]],"mmmm")</f>
        <v>August</v>
      </c>
      <c r="D1559">
        <f>YEAR(Table1[[#This Row],[Order_Date]])</f>
        <v>2024</v>
      </c>
      <c r="E1559" s="7">
        <v>45524</v>
      </c>
      <c r="F1559" s="2" t="str">
        <f>VLOOKUP(Table1[[#This Row],[Customer_ID]],Customer_Dim!$A$2:$H$501,2,FALSE)</f>
        <v>Jason Mullins</v>
      </c>
      <c r="G1559" s="2" t="str">
        <f>_xlfn.XLOOKUP(Table1[[#This Row],[Customer_ID]],Customer_Dim!$A$2:$A$501,Customer_Dim!$E$2:$E$501)</f>
        <v>Brianchester</v>
      </c>
      <c r="H1559" t="s">
        <v>974</v>
      </c>
      <c r="I1559" t="str">
        <f>VLOOKUP(Table1[[#This Row],[Product_ID]],Product_Dim!$A$2:$G$101,2,FALSE)</f>
        <v>Men's Casual Sneakers-Clothing</v>
      </c>
      <c r="J1559" t="s">
        <v>1597</v>
      </c>
      <c r="K1559" t="str">
        <f>VLOOKUP(Table1[[#This Row],[Store_ID]],Store_Dim!$A$3:$D$22,2,FALSE)</f>
        <v>Thomas, Bridges and Harris-North</v>
      </c>
      <c r="L1559" t="s">
        <v>1751</v>
      </c>
      <c r="M1559" t="s">
        <v>3959</v>
      </c>
      <c r="N1559" s="3">
        <v>332.97</v>
      </c>
      <c r="O1559" s="4">
        <v>0.28000000000000003</v>
      </c>
      <c r="P1559" t="s">
        <v>1772</v>
      </c>
      <c r="Q1559" s="4">
        <v>958.95360000000005</v>
      </c>
    </row>
    <row r="1560" spans="1:17" x14ac:dyDescent="0.3">
      <c r="A1560" t="s">
        <v>3332</v>
      </c>
      <c r="B1560" t="str">
        <f t="shared" si="24"/>
        <v>Q4</v>
      </c>
      <c r="C1560" t="str">
        <f>TEXT(Table1[[#This Row],[Order_Date]],"mmmm")</f>
        <v>October</v>
      </c>
      <c r="D1560">
        <f>YEAR(Table1[[#This Row],[Order_Date]])</f>
        <v>2025</v>
      </c>
      <c r="E1560" s="7">
        <v>45934</v>
      </c>
      <c r="F1560" s="2" t="str">
        <f>VLOOKUP(Table1[[#This Row],[Customer_ID]],Customer_Dim!$A$2:$H$501,2,FALSE)</f>
        <v>Jeff Martinez</v>
      </c>
      <c r="G1560" s="2" t="str">
        <f>_xlfn.XLOOKUP(Table1[[#This Row],[Customer_ID]],Customer_Dim!$A$2:$A$501,Customer_Dim!$E$2:$E$501)</f>
        <v>Smithburgh</v>
      </c>
      <c r="H1560" t="s">
        <v>93</v>
      </c>
      <c r="I1560" t="str">
        <f>VLOOKUP(Table1[[#This Row],[Product_ID]],Product_Dim!$A$2:$G$101,2,FALSE)</f>
        <v>Men's Winter Jacket-Clothing</v>
      </c>
      <c r="J1560" t="s">
        <v>1615</v>
      </c>
      <c r="K1560" t="str">
        <f>VLOOKUP(Table1[[#This Row],[Store_ID]],Store_Dim!$A$3:$D$22,2,FALSE)</f>
        <v>Rivera-Warner-East</v>
      </c>
      <c r="L1560" t="s">
        <v>1725</v>
      </c>
      <c r="M1560" t="s">
        <v>3960</v>
      </c>
      <c r="N1560" s="3">
        <v>157.91</v>
      </c>
      <c r="O1560" s="4">
        <v>0.09</v>
      </c>
      <c r="P1560" t="s">
        <v>1777</v>
      </c>
      <c r="Q1560" s="4">
        <v>287.39620000000002</v>
      </c>
    </row>
    <row r="1561" spans="1:17" x14ac:dyDescent="0.3">
      <c r="A1561" t="s">
        <v>3333</v>
      </c>
      <c r="B1561" t="str">
        <f t="shared" si="24"/>
        <v>Q3</v>
      </c>
      <c r="C1561" t="str">
        <f>TEXT(Table1[[#This Row],[Order_Date]],"mmmm")</f>
        <v>September</v>
      </c>
      <c r="D1561">
        <f>YEAR(Table1[[#This Row],[Order_Date]])</f>
        <v>2024</v>
      </c>
      <c r="E1561" s="7">
        <v>45539</v>
      </c>
      <c r="F1561" s="2" t="str">
        <f>VLOOKUP(Table1[[#This Row],[Customer_ID]],Customer_Dim!$A$2:$H$501,2,FALSE)</f>
        <v>Steve Hunt</v>
      </c>
      <c r="G1561" s="2" t="str">
        <f>_xlfn.XLOOKUP(Table1[[#This Row],[Customer_ID]],Customer_Dim!$A$2:$A$501,Customer_Dim!$E$2:$E$501)</f>
        <v>North Richard</v>
      </c>
      <c r="H1561" t="s">
        <v>1103</v>
      </c>
      <c r="I1561" t="str">
        <f>VLOOKUP(Table1[[#This Row],[Product_ID]],Product_Dim!$A$2:$G$101,2,FALSE)</f>
        <v>Hair Strengthening Shampoo-Beauty</v>
      </c>
      <c r="J1561" t="s">
        <v>1547</v>
      </c>
      <c r="K1561" t="str">
        <f>VLOOKUP(Table1[[#This Row],[Store_ID]],Store_Dim!$A$3:$D$22,2,FALSE)</f>
        <v>Guerrero-Schmitt-East</v>
      </c>
      <c r="L1561" t="s">
        <v>1761</v>
      </c>
      <c r="M1561" t="s">
        <v>3957</v>
      </c>
      <c r="N1561" s="3">
        <v>548.15</v>
      </c>
      <c r="O1561" s="4">
        <v>0.11</v>
      </c>
      <c r="P1561" t="s">
        <v>1772</v>
      </c>
      <c r="Q1561" s="4">
        <v>487.8535</v>
      </c>
    </row>
    <row r="1562" spans="1:17" x14ac:dyDescent="0.3">
      <c r="A1562" t="s">
        <v>3334</v>
      </c>
      <c r="B1562" t="str">
        <f t="shared" si="24"/>
        <v>Q3</v>
      </c>
      <c r="C1562" t="str">
        <f>TEXT(Table1[[#This Row],[Order_Date]],"mmmm")</f>
        <v>September</v>
      </c>
      <c r="D1562">
        <f>YEAR(Table1[[#This Row],[Order_Date]])</f>
        <v>2024</v>
      </c>
      <c r="E1562" s="7">
        <v>45555</v>
      </c>
      <c r="F1562" s="2" t="str">
        <f>VLOOKUP(Table1[[#This Row],[Customer_ID]],Customer_Dim!$A$2:$H$501,2,FALSE)</f>
        <v>Joan Johnson</v>
      </c>
      <c r="G1562" s="2" t="str">
        <f>_xlfn.XLOOKUP(Table1[[#This Row],[Customer_ID]],Customer_Dim!$A$2:$A$501,Customer_Dim!$E$2:$E$501)</f>
        <v>Lake Josephport</v>
      </c>
      <c r="H1562" t="s">
        <v>675</v>
      </c>
      <c r="I1562" t="str">
        <f>VLOOKUP(Table1[[#This Row],[Product_ID]],Product_Dim!$A$2:$G$101,2,FALSE)</f>
        <v>Car Dashboard Phone Holder-Electronics</v>
      </c>
      <c r="J1562" t="s">
        <v>1619</v>
      </c>
      <c r="K1562" t="str">
        <f>VLOOKUP(Table1[[#This Row],[Store_ID]],Store_Dim!$A$3:$D$22,2,FALSE)</f>
        <v>Shelton PLC-North</v>
      </c>
      <c r="L1562" t="s">
        <v>1755</v>
      </c>
      <c r="M1562" t="s">
        <v>3957</v>
      </c>
      <c r="N1562" s="3">
        <v>135.13</v>
      </c>
      <c r="O1562" s="4">
        <v>0.04</v>
      </c>
      <c r="P1562" t="s">
        <v>1772</v>
      </c>
      <c r="Q1562" s="4">
        <v>129.72479999999999</v>
      </c>
    </row>
    <row r="1563" spans="1:17" x14ac:dyDescent="0.3">
      <c r="A1563" t="s">
        <v>3335</v>
      </c>
      <c r="B1563" t="str">
        <f t="shared" si="24"/>
        <v>Q4</v>
      </c>
      <c r="C1563" t="str">
        <f>TEXT(Table1[[#This Row],[Order_Date]],"mmmm")</f>
        <v>December</v>
      </c>
      <c r="D1563">
        <f>YEAR(Table1[[#This Row],[Order_Date]])</f>
        <v>2023</v>
      </c>
      <c r="E1563" s="7">
        <v>45281</v>
      </c>
      <c r="F1563" s="2" t="str">
        <f>VLOOKUP(Table1[[#This Row],[Customer_ID]],Customer_Dim!$A$2:$H$501,2,FALSE)</f>
        <v>Jordan Wells</v>
      </c>
      <c r="G1563" s="2" t="str">
        <f>_xlfn.XLOOKUP(Table1[[#This Row],[Customer_ID]],Customer_Dim!$A$2:$A$501,Customer_Dim!$E$2:$E$501)</f>
        <v xml:space="preserve">Phillipschester   </v>
      </c>
      <c r="H1563" t="s">
        <v>705</v>
      </c>
      <c r="I1563" t="str">
        <f>VLOOKUP(Table1[[#This Row],[Product_ID]],Product_Dim!$A$2:$G$101,2,FALSE)</f>
        <v>Premium Blanket Throw-Home</v>
      </c>
      <c r="J1563" t="s">
        <v>1635</v>
      </c>
      <c r="K1563" t="str">
        <f>VLOOKUP(Table1[[#This Row],[Store_ID]],Store_Dim!$A$3:$D$22,2,FALSE)</f>
        <v>Johnson-Wright-North</v>
      </c>
      <c r="L1563" t="s">
        <v>1733</v>
      </c>
      <c r="M1563" t="s">
        <v>3958</v>
      </c>
      <c r="N1563" s="3">
        <v>579.26</v>
      </c>
      <c r="O1563" s="4">
        <v>0.19</v>
      </c>
      <c r="P1563" t="s">
        <v>1772</v>
      </c>
      <c r="Q1563" s="4">
        <v>1407.6017999999999</v>
      </c>
    </row>
    <row r="1564" spans="1:17" x14ac:dyDescent="0.3">
      <c r="A1564" t="s">
        <v>3336</v>
      </c>
      <c r="B1564" t="str">
        <f t="shared" si="24"/>
        <v>Q4</v>
      </c>
      <c r="C1564" t="str">
        <f>TEXT(Table1[[#This Row],[Order_Date]],"mmmm")</f>
        <v>October</v>
      </c>
      <c r="D1564">
        <f>YEAR(Table1[[#This Row],[Order_Date]])</f>
        <v>2024</v>
      </c>
      <c r="E1564" s="7">
        <v>45582</v>
      </c>
      <c r="F1564" s="2" t="str">
        <f>VLOOKUP(Table1[[#This Row],[Customer_ID]],Customer_Dim!$A$2:$H$501,2,FALSE)</f>
        <v>Cynthia Lopez</v>
      </c>
      <c r="G1564" s="2" t="str">
        <f>_xlfn.XLOOKUP(Table1[[#This Row],[Customer_ID]],Customer_Dim!$A$2:$A$501,Customer_Dim!$E$2:$E$501)</f>
        <v>Joseland</v>
      </c>
      <c r="H1564" t="s">
        <v>1201</v>
      </c>
      <c r="I1564" t="str">
        <f>VLOOKUP(Table1[[#This Row],[Product_ID]],Product_Dim!$A$2:$G$101,2,FALSE)</f>
        <v>Soccer Training Cone Set-Sports</v>
      </c>
      <c r="J1564" t="s">
        <v>1557</v>
      </c>
      <c r="K1564" t="str">
        <f>VLOOKUP(Table1[[#This Row],[Store_ID]],Store_Dim!$A$3:$D$22,2,FALSE)</f>
        <v>Rivera-Warner-East</v>
      </c>
      <c r="L1564" t="s">
        <v>1725</v>
      </c>
      <c r="M1564" t="s">
        <v>3957</v>
      </c>
      <c r="N1564" s="3">
        <v>465.63</v>
      </c>
      <c r="O1564" s="4">
        <v>0.25</v>
      </c>
      <c r="P1564" t="s">
        <v>1772</v>
      </c>
      <c r="Q1564" s="4">
        <v>349.22250000000003</v>
      </c>
    </row>
    <row r="1565" spans="1:17" x14ac:dyDescent="0.3">
      <c r="A1565" t="s">
        <v>3337</v>
      </c>
      <c r="B1565" t="str">
        <f t="shared" si="24"/>
        <v>Q1</v>
      </c>
      <c r="C1565" t="str">
        <f>TEXT(Table1[[#This Row],[Order_Date]],"mmmm")</f>
        <v>March</v>
      </c>
      <c r="D1565">
        <f>YEAR(Table1[[#This Row],[Order_Date]])</f>
        <v>2024</v>
      </c>
      <c r="E1565" s="7">
        <v>45372</v>
      </c>
      <c r="F1565" s="2" t="str">
        <f>VLOOKUP(Table1[[#This Row],[Customer_ID]],Customer_Dim!$A$2:$H$501,2,FALSE)</f>
        <v>Gina Knight</v>
      </c>
      <c r="G1565" s="2" t="str">
        <f>_xlfn.XLOOKUP(Table1[[#This Row],[Customer_ID]],Customer_Dim!$A$2:$A$501,Customer_Dim!$E$2:$E$501)</f>
        <v>Lake Roberthaven</v>
      </c>
      <c r="H1565" t="s">
        <v>178</v>
      </c>
      <c r="I1565" t="str">
        <f>VLOOKUP(Table1[[#This Row],[Product_ID]],Product_Dim!$A$2:$G$101,2,FALSE)</f>
        <v>Wireless Mouse-Electronics</v>
      </c>
      <c r="J1565" t="s">
        <v>1675</v>
      </c>
      <c r="K1565" t="str">
        <f>VLOOKUP(Table1[[#This Row],[Store_ID]],Store_Dim!$A$3:$D$22,2,FALSE)</f>
        <v>Frederick-Wright-West</v>
      </c>
      <c r="L1565" t="s">
        <v>1757</v>
      </c>
      <c r="M1565" t="s">
        <v>3960</v>
      </c>
      <c r="N1565" s="3">
        <v>675.61</v>
      </c>
      <c r="O1565" s="4">
        <v>0.08</v>
      </c>
      <c r="P1565" t="s">
        <v>1777</v>
      </c>
      <c r="Q1565" s="4">
        <v>1243.1224</v>
      </c>
    </row>
    <row r="1566" spans="1:17" x14ac:dyDescent="0.3">
      <c r="A1566" t="s">
        <v>3338</v>
      </c>
      <c r="B1566" t="str">
        <f t="shared" si="24"/>
        <v>Q2</v>
      </c>
      <c r="C1566" t="str">
        <f>TEXT(Table1[[#This Row],[Order_Date]],"mmmm")</f>
        <v>June</v>
      </c>
      <c r="D1566">
        <f>YEAR(Table1[[#This Row],[Order_Date]])</f>
        <v>2024</v>
      </c>
      <c r="E1566" s="7">
        <v>45458</v>
      </c>
      <c r="F1566" s="2" t="str">
        <f>VLOOKUP(Table1[[#This Row],[Customer_ID]],Customer_Dim!$A$2:$H$501,2,FALSE)</f>
        <v>Jennifer Myers</v>
      </c>
      <c r="G1566" s="2" t="str">
        <f>_xlfn.XLOOKUP(Table1[[#This Row],[Customer_ID]],Customer_Dim!$A$2:$A$501,Customer_Dim!$E$2:$E$501)</f>
        <v>Marthaborough</v>
      </c>
      <c r="H1566" t="s">
        <v>1278</v>
      </c>
      <c r="I1566" t="str">
        <f>VLOOKUP(Table1[[#This Row],[Product_ID]],Product_Dim!$A$2:$G$101,2,FALSE)</f>
        <v>Modern Wall Clock-Home</v>
      </c>
      <c r="J1566" t="s">
        <v>1589</v>
      </c>
      <c r="K1566" t="str">
        <f>VLOOKUP(Table1[[#This Row],[Store_ID]],Store_Dim!$A$3:$D$22,2,FALSE)</f>
        <v>Benson-Elliott-East</v>
      </c>
      <c r="L1566" t="s">
        <v>1740</v>
      </c>
      <c r="M1566" t="s">
        <v>3957</v>
      </c>
      <c r="N1566" s="3">
        <v>718.99</v>
      </c>
      <c r="O1566" s="4">
        <v>0.08</v>
      </c>
      <c r="P1566" t="s">
        <v>1774</v>
      </c>
      <c r="Q1566" s="4">
        <v>661.47080000000005</v>
      </c>
    </row>
    <row r="1567" spans="1:17" x14ac:dyDescent="0.3">
      <c r="A1567" t="s">
        <v>3339</v>
      </c>
      <c r="B1567" t="str">
        <f t="shared" si="24"/>
        <v>Q4</v>
      </c>
      <c r="C1567" t="str">
        <f>TEXT(Table1[[#This Row],[Order_Date]],"mmmm")</f>
        <v>October</v>
      </c>
      <c r="D1567">
        <f>YEAR(Table1[[#This Row],[Order_Date]])</f>
        <v>2025</v>
      </c>
      <c r="E1567" s="7">
        <v>45943</v>
      </c>
      <c r="F1567" s="2" t="str">
        <f>VLOOKUP(Table1[[#This Row],[Customer_ID]],Customer_Dim!$A$2:$H$501,2,FALSE)</f>
        <v>Michele Burke</v>
      </c>
      <c r="G1567" s="2" t="str">
        <f>_xlfn.XLOOKUP(Table1[[#This Row],[Customer_ID]],Customer_Dim!$A$2:$A$501,Customer_Dim!$E$2:$E$501)</f>
        <v>Chambersberg</v>
      </c>
      <c r="H1567" t="s">
        <v>1162</v>
      </c>
      <c r="I1567" t="str">
        <f>VLOOKUP(Table1[[#This Row],[Product_ID]],Product_Dim!$A$2:$G$101,2,FALSE)</f>
        <v>Decorative Wall Mirror-Home</v>
      </c>
      <c r="J1567" t="s">
        <v>1551</v>
      </c>
      <c r="K1567" t="str">
        <f>VLOOKUP(Table1[[#This Row],[Store_ID]],Store_Dim!$A$3:$D$22,2,FALSE)</f>
        <v>Hill, Wagner and Ballard-East</v>
      </c>
      <c r="L1567" t="s">
        <v>1748</v>
      </c>
      <c r="M1567" t="s">
        <v>3960</v>
      </c>
      <c r="N1567" s="3">
        <v>675.65</v>
      </c>
      <c r="O1567" s="4">
        <v>0.2</v>
      </c>
      <c r="P1567" t="s">
        <v>1777</v>
      </c>
      <c r="Q1567" s="4">
        <v>1081.04</v>
      </c>
    </row>
    <row r="1568" spans="1:17" x14ac:dyDescent="0.3">
      <c r="A1568" t="s">
        <v>3340</v>
      </c>
      <c r="B1568" t="str">
        <f t="shared" si="24"/>
        <v>Q1</v>
      </c>
      <c r="C1568" t="str">
        <f>TEXT(Table1[[#This Row],[Order_Date]],"mmmm")</f>
        <v>March</v>
      </c>
      <c r="D1568">
        <f>YEAR(Table1[[#This Row],[Order_Date]])</f>
        <v>2024</v>
      </c>
      <c r="E1568" s="7">
        <v>45374</v>
      </c>
      <c r="F1568" s="2" t="str">
        <f>VLOOKUP(Table1[[#This Row],[Customer_ID]],Customer_Dim!$A$2:$H$501,2,FALSE)</f>
        <v>John Jones</v>
      </c>
      <c r="G1568" s="2" t="str">
        <f>_xlfn.XLOOKUP(Table1[[#This Row],[Customer_ID]],Customer_Dim!$A$2:$A$501,Customer_Dim!$E$2:$E$501)</f>
        <v>North Michaelborough</v>
      </c>
      <c r="H1568" t="s">
        <v>1045</v>
      </c>
      <c r="I1568" t="str">
        <f>VLOOKUP(Table1[[#This Row],[Product_ID]],Product_Dim!$A$2:$G$101,2,FALSE)</f>
        <v>Sports Stopwatch Basic-Sports</v>
      </c>
      <c r="J1568" t="s">
        <v>1713</v>
      </c>
      <c r="K1568" t="str">
        <f>VLOOKUP(Table1[[#This Row],[Store_ID]],Store_Dim!$A$3:$D$22,2,FALSE)</f>
        <v>Shelton PLC-North</v>
      </c>
      <c r="L1568" t="s">
        <v>1755</v>
      </c>
      <c r="M1568" t="s">
        <v>3959</v>
      </c>
      <c r="N1568" s="3">
        <v>284.24</v>
      </c>
      <c r="O1568" s="4">
        <v>0.1</v>
      </c>
      <c r="P1568" t="s">
        <v>1772</v>
      </c>
      <c r="Q1568" s="4">
        <v>1023.264</v>
      </c>
    </row>
    <row r="1569" spans="1:17" x14ac:dyDescent="0.3">
      <c r="A1569" t="s">
        <v>3341</v>
      </c>
      <c r="B1569" t="str">
        <f t="shared" si="24"/>
        <v>Q1</v>
      </c>
      <c r="C1569" t="str">
        <f>TEXT(Table1[[#This Row],[Order_Date]],"mmmm")</f>
        <v>March</v>
      </c>
      <c r="D1569">
        <f>YEAR(Table1[[#This Row],[Order_Date]])</f>
        <v>2024</v>
      </c>
      <c r="E1569" s="7">
        <v>45374</v>
      </c>
      <c r="F1569" s="2" t="str">
        <f>VLOOKUP(Table1[[#This Row],[Customer_ID]],Customer_Dim!$A$2:$H$501,2,FALSE)</f>
        <v>Stuart Johnson</v>
      </c>
      <c r="G1569" s="2" t="str">
        <f>_xlfn.XLOOKUP(Table1[[#This Row],[Customer_ID]],Customer_Dim!$A$2:$A$501,Customer_Dim!$E$2:$E$501)</f>
        <v>West Markport</v>
      </c>
      <c r="H1569" t="s">
        <v>687</v>
      </c>
      <c r="I1569" t="str">
        <f>VLOOKUP(Table1[[#This Row],[Product_ID]],Product_Dim!$A$2:$G$101,2,FALSE)</f>
        <v>Men's Graphic T-Shirt-Clothing</v>
      </c>
      <c r="J1569" t="s">
        <v>1525</v>
      </c>
      <c r="K1569" t="str">
        <f>VLOOKUP(Table1[[#This Row],[Store_ID]],Store_Dim!$A$3:$D$22,2,FALSE)</f>
        <v>Johnson-Wright-North</v>
      </c>
      <c r="L1569" t="s">
        <v>1733</v>
      </c>
      <c r="M1569" t="s">
        <v>3957</v>
      </c>
      <c r="N1569" s="3">
        <v>94.26</v>
      </c>
      <c r="O1569" s="4">
        <v>0.18</v>
      </c>
      <c r="P1569" t="s">
        <v>1774</v>
      </c>
      <c r="Q1569" s="4">
        <v>77.293200000000013</v>
      </c>
    </row>
    <row r="1570" spans="1:17" x14ac:dyDescent="0.3">
      <c r="A1570" t="s">
        <v>3342</v>
      </c>
      <c r="B1570" t="str">
        <f t="shared" si="24"/>
        <v>Q2</v>
      </c>
      <c r="C1570" t="str">
        <f>TEXT(Table1[[#This Row],[Order_Date]],"mmmm")</f>
        <v>May</v>
      </c>
      <c r="D1570">
        <f>YEAR(Table1[[#This Row],[Order_Date]])</f>
        <v>2025</v>
      </c>
      <c r="E1570" s="7">
        <v>45789</v>
      </c>
      <c r="F1570" s="2" t="str">
        <f>VLOOKUP(Table1[[#This Row],[Customer_ID]],Customer_Dim!$A$2:$H$501,2,FALSE)</f>
        <v>Jennifer Myers</v>
      </c>
      <c r="G1570" s="2" t="str">
        <f>_xlfn.XLOOKUP(Table1[[#This Row],[Customer_ID]],Customer_Dim!$A$2:$A$501,Customer_Dim!$E$2:$E$501)</f>
        <v>Marthaborough</v>
      </c>
      <c r="H1570" t="s">
        <v>1278</v>
      </c>
      <c r="I1570" t="str">
        <f>VLOOKUP(Table1[[#This Row],[Product_ID]],Product_Dim!$A$2:$G$101,2,FALSE)</f>
        <v>Herbal Face Moisturizer-Beauty</v>
      </c>
      <c r="J1570" t="s">
        <v>1535</v>
      </c>
      <c r="K1570" t="str">
        <f>VLOOKUP(Table1[[#This Row],[Store_ID]],Store_Dim!$A$3:$D$22,2,FALSE)</f>
        <v>Hill, Wagner and Ballard-East</v>
      </c>
      <c r="L1570" t="s">
        <v>1748</v>
      </c>
      <c r="M1570" t="s">
        <v>3959</v>
      </c>
      <c r="N1570" s="3">
        <v>458.58</v>
      </c>
      <c r="O1570" s="4">
        <v>0.28999999999999998</v>
      </c>
      <c r="P1570" t="s">
        <v>1777</v>
      </c>
      <c r="Q1570" s="4">
        <v>1302.3671999999999</v>
      </c>
    </row>
    <row r="1571" spans="1:17" x14ac:dyDescent="0.3">
      <c r="A1571" t="s">
        <v>3343</v>
      </c>
      <c r="B1571" t="str">
        <f t="shared" si="24"/>
        <v>Q2</v>
      </c>
      <c r="C1571" t="str">
        <f>TEXT(Table1[[#This Row],[Order_Date]],"mmmm")</f>
        <v>June</v>
      </c>
      <c r="D1571">
        <f>YEAR(Table1[[#This Row],[Order_Date]])</f>
        <v>2024</v>
      </c>
      <c r="E1571" s="7">
        <v>45452</v>
      </c>
      <c r="F1571" s="2" t="str">
        <f>VLOOKUP(Table1[[#This Row],[Customer_ID]],Customer_Dim!$A$2:$H$501,2,FALSE)</f>
        <v>Edward Hall</v>
      </c>
      <c r="G1571" s="2" t="str">
        <f>_xlfn.XLOOKUP(Table1[[#This Row],[Customer_ID]],Customer_Dim!$A$2:$A$501,Customer_Dim!$E$2:$E$501)</f>
        <v>New William</v>
      </c>
      <c r="H1571" t="s">
        <v>391</v>
      </c>
      <c r="I1571" t="str">
        <f>VLOOKUP(Table1[[#This Row],[Product_ID]],Product_Dim!$A$2:$G$101,2,FALSE)</f>
        <v>Adjustable Dumbbells 20kg-Sports</v>
      </c>
      <c r="J1571" t="s">
        <v>1653</v>
      </c>
      <c r="K1571" t="str">
        <f>VLOOKUP(Table1[[#This Row],[Store_ID]],Store_Dim!$A$3:$D$22,2,FALSE)</f>
        <v>Hill, Wagner and Ballard-East</v>
      </c>
      <c r="L1571" t="s">
        <v>1748</v>
      </c>
      <c r="M1571" t="s">
        <v>3959</v>
      </c>
      <c r="N1571" s="3">
        <v>704.49</v>
      </c>
      <c r="O1571" s="4">
        <v>0.05</v>
      </c>
      <c r="P1571" t="s">
        <v>1777</v>
      </c>
      <c r="Q1571" s="4">
        <v>2677.0619999999999</v>
      </c>
    </row>
    <row r="1572" spans="1:17" x14ac:dyDescent="0.3">
      <c r="A1572" t="s">
        <v>3344</v>
      </c>
      <c r="B1572" t="str">
        <f t="shared" si="24"/>
        <v>Q4</v>
      </c>
      <c r="C1572" t="str">
        <f>TEXT(Table1[[#This Row],[Order_Date]],"mmmm")</f>
        <v>December</v>
      </c>
      <c r="D1572">
        <f>YEAR(Table1[[#This Row],[Order_Date]])</f>
        <v>2023</v>
      </c>
      <c r="E1572" s="7">
        <v>45284</v>
      </c>
      <c r="F1572" s="2" t="str">
        <f>VLOOKUP(Table1[[#This Row],[Customer_ID]],Customer_Dim!$A$2:$H$501,2,FALSE)</f>
        <v>Mike Jennings</v>
      </c>
      <c r="G1572" s="2" t="str">
        <f>_xlfn.XLOOKUP(Table1[[#This Row],[Customer_ID]],Customer_Dim!$A$2:$A$501,Customer_Dim!$E$2:$E$501)</f>
        <v>Fostermouth</v>
      </c>
      <c r="H1572" t="s">
        <v>130</v>
      </c>
      <c r="I1572" t="str">
        <f>VLOOKUP(Table1[[#This Row],[Product_ID]],Product_Dim!$A$2:$G$101,2,FALSE)</f>
        <v>Decorative Floor Vase-Home</v>
      </c>
      <c r="J1572" t="s">
        <v>1577</v>
      </c>
      <c r="K1572" t="str">
        <f>VLOOKUP(Table1[[#This Row],[Store_ID]],Store_Dim!$A$3:$D$22,2,FALSE)</f>
        <v>Mann-Austin-East</v>
      </c>
      <c r="L1572" t="s">
        <v>1763</v>
      </c>
      <c r="M1572" t="s">
        <v>3959</v>
      </c>
      <c r="N1572" s="3">
        <v>822.32</v>
      </c>
      <c r="O1572" s="4">
        <v>0.26</v>
      </c>
      <c r="P1572" t="s">
        <v>1774</v>
      </c>
      <c r="Q1572" s="4">
        <v>2434.0672</v>
      </c>
    </row>
    <row r="1573" spans="1:17" x14ac:dyDescent="0.3">
      <c r="A1573" t="s">
        <v>3345</v>
      </c>
      <c r="B1573" t="str">
        <f t="shared" si="24"/>
        <v>Q1</v>
      </c>
      <c r="C1573" t="str">
        <f>TEXT(Table1[[#This Row],[Order_Date]],"mmmm")</f>
        <v>February</v>
      </c>
      <c r="D1573">
        <f>YEAR(Table1[[#This Row],[Order_Date]])</f>
        <v>2024</v>
      </c>
      <c r="E1573" s="7">
        <v>45325</v>
      </c>
      <c r="F1573" s="2" t="str">
        <f>VLOOKUP(Table1[[#This Row],[Customer_ID]],Customer_Dim!$A$2:$H$501,2,FALSE)</f>
        <v>Laura Soto</v>
      </c>
      <c r="G1573" s="2" t="str">
        <f>_xlfn.XLOOKUP(Table1[[#This Row],[Customer_ID]],Customer_Dim!$A$2:$A$501,Customer_Dim!$E$2:$E$501)</f>
        <v>Rodriguezton</v>
      </c>
      <c r="H1573" t="s">
        <v>779</v>
      </c>
      <c r="I1573" t="str">
        <f>VLOOKUP(Table1[[#This Row],[Product_ID]],Product_Dim!$A$2:$G$101,2,FALSE)</f>
        <v>Men's Running Jacket-Clothing</v>
      </c>
      <c r="J1573" t="s">
        <v>1529</v>
      </c>
      <c r="K1573" t="str">
        <f>VLOOKUP(Table1[[#This Row],[Store_ID]],Store_Dim!$A$3:$D$22,2,FALSE)</f>
        <v>Gardner, Humphrey and Contreras-East</v>
      </c>
      <c r="L1573" t="s">
        <v>1753</v>
      </c>
      <c r="M1573" t="s">
        <v>3959</v>
      </c>
      <c r="N1573" s="3">
        <v>785.41</v>
      </c>
      <c r="O1573" s="4">
        <v>0.13</v>
      </c>
      <c r="P1573" t="s">
        <v>1777</v>
      </c>
      <c r="Q1573" s="4">
        <v>2733.2267999999999</v>
      </c>
    </row>
    <row r="1574" spans="1:17" x14ac:dyDescent="0.3">
      <c r="A1574" t="s">
        <v>3346</v>
      </c>
      <c r="B1574" t="str">
        <f t="shared" si="24"/>
        <v>Q2</v>
      </c>
      <c r="C1574" t="str">
        <f>TEXT(Table1[[#This Row],[Order_Date]],"mmmm")</f>
        <v>June</v>
      </c>
      <c r="D1574">
        <f>YEAR(Table1[[#This Row],[Order_Date]])</f>
        <v>2024</v>
      </c>
      <c r="E1574" s="7">
        <v>45465</v>
      </c>
      <c r="F1574" s="2" t="str">
        <f>VLOOKUP(Table1[[#This Row],[Customer_ID]],Customer_Dim!$A$2:$H$501,2,FALSE)</f>
        <v>Sarah Vance</v>
      </c>
      <c r="G1574" s="2" t="str">
        <f>_xlfn.XLOOKUP(Table1[[#This Row],[Customer_ID]],Customer_Dim!$A$2:$A$501,Customer_Dim!$E$2:$E$501)</f>
        <v>Johnsonville</v>
      </c>
      <c r="H1574" t="s">
        <v>127</v>
      </c>
      <c r="I1574" t="str">
        <f>VLOOKUP(Table1[[#This Row],[Product_ID]],Product_Dim!$A$2:$G$101,2,FALSE)</f>
        <v>Portable Power Bank-Electronics</v>
      </c>
      <c r="J1574" t="s">
        <v>1601</v>
      </c>
      <c r="K1574" t="str">
        <f>VLOOKUP(Table1[[#This Row],[Store_ID]],Store_Dim!$A$3:$D$22,2,FALSE)</f>
        <v>Mcdonald Inc-South</v>
      </c>
      <c r="L1574" t="s">
        <v>1754</v>
      </c>
      <c r="M1574" t="s">
        <v>3957</v>
      </c>
      <c r="N1574" s="3">
        <v>405.8</v>
      </c>
      <c r="O1574" s="4">
        <v>0.11</v>
      </c>
      <c r="P1574" t="s">
        <v>1774</v>
      </c>
      <c r="Q1574" s="4">
        <v>361.16199999999998</v>
      </c>
    </row>
    <row r="1575" spans="1:17" x14ac:dyDescent="0.3">
      <c r="A1575" t="s">
        <v>3347</v>
      </c>
      <c r="B1575" t="str">
        <f t="shared" si="24"/>
        <v>Q4</v>
      </c>
      <c r="C1575" t="str">
        <f>TEXT(Table1[[#This Row],[Order_Date]],"mmmm")</f>
        <v>November</v>
      </c>
      <c r="D1575">
        <f>YEAR(Table1[[#This Row],[Order_Date]])</f>
        <v>2024</v>
      </c>
      <c r="E1575" s="7">
        <v>45612</v>
      </c>
      <c r="F1575" s="2" t="str">
        <f>VLOOKUP(Table1[[#This Row],[Customer_ID]],Customer_Dim!$A$2:$H$501,2,FALSE)</f>
        <v>Thomas Moore</v>
      </c>
      <c r="G1575" s="2" t="str">
        <f>_xlfn.XLOOKUP(Table1[[#This Row],[Customer_ID]],Customer_Dim!$A$2:$A$501,Customer_Dim!$E$2:$E$501)</f>
        <v>Williamsberg</v>
      </c>
      <c r="H1575" t="s">
        <v>1327</v>
      </c>
      <c r="I1575" t="str">
        <f>VLOOKUP(Table1[[#This Row],[Product_ID]],Product_Dim!$A$2:$G$101,2,FALSE)</f>
        <v>Women's High Heels-Clothing</v>
      </c>
      <c r="J1575" t="s">
        <v>1705</v>
      </c>
      <c r="K1575" t="str">
        <f>VLOOKUP(Table1[[#This Row],[Store_ID]],Store_Dim!$A$3:$D$22,2,FALSE)</f>
        <v>Moore, Padilla and Butler-South</v>
      </c>
      <c r="L1575" t="s">
        <v>1746</v>
      </c>
      <c r="M1575" t="s">
        <v>3960</v>
      </c>
      <c r="N1575" s="3">
        <v>976.83</v>
      </c>
      <c r="O1575" s="4">
        <v>0.1</v>
      </c>
      <c r="P1575" t="s">
        <v>1774</v>
      </c>
      <c r="Q1575" s="4">
        <v>1758.2940000000001</v>
      </c>
    </row>
    <row r="1576" spans="1:17" x14ac:dyDescent="0.3">
      <c r="A1576" t="s">
        <v>3348</v>
      </c>
      <c r="B1576" t="str">
        <f t="shared" si="24"/>
        <v>Q2</v>
      </c>
      <c r="C1576" t="str">
        <f>TEXT(Table1[[#This Row],[Order_Date]],"mmmm")</f>
        <v>June</v>
      </c>
      <c r="D1576">
        <f>YEAR(Table1[[#This Row],[Order_Date]])</f>
        <v>2024</v>
      </c>
      <c r="E1576" s="7">
        <v>45472</v>
      </c>
      <c r="F1576" s="2" t="str">
        <f>VLOOKUP(Table1[[#This Row],[Customer_ID]],Customer_Dim!$A$2:$H$501,2,FALSE)</f>
        <v>Samantha Robinson</v>
      </c>
      <c r="G1576" s="2" t="str">
        <f>_xlfn.XLOOKUP(Table1[[#This Row],[Customer_ID]],Customer_Dim!$A$2:$A$501,Customer_Dim!$E$2:$E$501)</f>
        <v>North Roy</v>
      </c>
      <c r="H1576" t="s">
        <v>861</v>
      </c>
      <c r="I1576" t="str">
        <f>VLOOKUP(Table1[[#This Row],[Product_ID]],Product_Dim!$A$2:$G$101,2,FALSE)</f>
        <v>Matte Lipstick Set-Beauty</v>
      </c>
      <c r="J1576" t="s">
        <v>1651</v>
      </c>
      <c r="K1576" t="str">
        <f>VLOOKUP(Table1[[#This Row],[Store_ID]],Store_Dim!$A$3:$D$22,2,FALSE)</f>
        <v>Black-Horn-South</v>
      </c>
      <c r="L1576" t="s">
        <v>1730</v>
      </c>
      <c r="M1576" t="s">
        <v>3957</v>
      </c>
      <c r="N1576" s="3">
        <v>644.15</v>
      </c>
      <c r="O1576" s="4">
        <v>0.06</v>
      </c>
      <c r="P1576" t="s">
        <v>1772</v>
      </c>
      <c r="Q1576" s="4">
        <v>605.50099999999998</v>
      </c>
    </row>
    <row r="1577" spans="1:17" x14ac:dyDescent="0.3">
      <c r="A1577" t="s">
        <v>3349</v>
      </c>
      <c r="B1577" t="str">
        <f t="shared" si="24"/>
        <v>Q3</v>
      </c>
      <c r="C1577" t="str">
        <f>TEXT(Table1[[#This Row],[Order_Date]],"mmmm")</f>
        <v>August</v>
      </c>
      <c r="D1577">
        <f>YEAR(Table1[[#This Row],[Order_Date]])</f>
        <v>2025</v>
      </c>
      <c r="E1577" s="7">
        <v>45897</v>
      </c>
      <c r="F1577" s="2" t="str">
        <f>VLOOKUP(Table1[[#This Row],[Customer_ID]],Customer_Dim!$A$2:$H$501,2,FALSE)</f>
        <v>Carol Lewis</v>
      </c>
      <c r="G1577" s="2" t="str">
        <f>_xlfn.XLOOKUP(Table1[[#This Row],[Customer_ID]],Customer_Dim!$A$2:$A$501,Customer_Dim!$E$2:$E$501)</f>
        <v>Ryanport</v>
      </c>
      <c r="H1577" t="s">
        <v>1048</v>
      </c>
      <c r="I1577" t="str">
        <f>VLOOKUP(Table1[[#This Row],[Product_ID]],Product_Dim!$A$2:$G$101,2,FALSE)</f>
        <v>Smart LED Light Strip-Electronics</v>
      </c>
      <c r="J1577" t="s">
        <v>1657</v>
      </c>
      <c r="K1577" t="str">
        <f>VLOOKUP(Table1[[#This Row],[Store_ID]],Store_Dim!$A$3:$D$22,2,FALSE)</f>
        <v>Gardner, Humphrey and Contreras-East</v>
      </c>
      <c r="L1577" t="s">
        <v>1753</v>
      </c>
      <c r="M1577" t="s">
        <v>3957</v>
      </c>
      <c r="N1577" s="3">
        <v>470.55</v>
      </c>
      <c r="O1577" s="4">
        <v>0.23</v>
      </c>
      <c r="P1577" t="s">
        <v>1774</v>
      </c>
      <c r="Q1577" s="4">
        <v>362.32350000000002</v>
      </c>
    </row>
    <row r="1578" spans="1:17" x14ac:dyDescent="0.3">
      <c r="A1578" t="s">
        <v>3350</v>
      </c>
      <c r="B1578" t="str">
        <f t="shared" si="24"/>
        <v>Q4</v>
      </c>
      <c r="C1578" t="str">
        <f>TEXT(Table1[[#This Row],[Order_Date]],"mmmm")</f>
        <v>November</v>
      </c>
      <c r="D1578">
        <f>YEAR(Table1[[#This Row],[Order_Date]])</f>
        <v>2023</v>
      </c>
      <c r="E1578" s="7">
        <v>45241</v>
      </c>
      <c r="F1578" s="2" t="str">
        <f>VLOOKUP(Table1[[#This Row],[Customer_ID]],Customer_Dim!$A$2:$H$501,2,FALSE)</f>
        <v>Earl Smith Dds</v>
      </c>
      <c r="G1578" s="2" t="str">
        <f>_xlfn.XLOOKUP(Table1[[#This Row],[Customer_ID]],Customer_Dim!$A$2:$A$501,Customer_Dim!$E$2:$E$501)</f>
        <v>West Sarah</v>
      </c>
      <c r="H1578" t="s">
        <v>1456</v>
      </c>
      <c r="I1578" t="str">
        <f>VLOOKUP(Table1[[#This Row],[Product_ID]],Product_Dim!$A$2:$G$101,2,FALSE)</f>
        <v>LED Table Lamp-Home</v>
      </c>
      <c r="J1578" t="s">
        <v>1537</v>
      </c>
      <c r="K1578" t="str">
        <f>VLOOKUP(Table1[[#This Row],[Store_ID]],Store_Dim!$A$3:$D$22,2,FALSE)</f>
        <v>Benson-Elliott-East</v>
      </c>
      <c r="L1578" t="s">
        <v>1740</v>
      </c>
      <c r="M1578" t="s">
        <v>3958</v>
      </c>
      <c r="N1578" s="3">
        <v>598.82000000000005</v>
      </c>
      <c r="O1578" s="4">
        <v>0.19</v>
      </c>
      <c r="P1578" t="s">
        <v>1777</v>
      </c>
      <c r="Q1578" s="4">
        <v>1455.1325999999999</v>
      </c>
    </row>
    <row r="1579" spans="1:17" x14ac:dyDescent="0.3">
      <c r="A1579" t="s">
        <v>3351</v>
      </c>
      <c r="B1579" t="str">
        <f t="shared" si="24"/>
        <v>Q3</v>
      </c>
      <c r="C1579" t="str">
        <f>TEXT(Table1[[#This Row],[Order_Date]],"mmmm")</f>
        <v>July</v>
      </c>
      <c r="D1579">
        <f>YEAR(Table1[[#This Row],[Order_Date]])</f>
        <v>2025</v>
      </c>
      <c r="E1579" s="7">
        <v>45851</v>
      </c>
      <c r="F1579" s="2" t="str">
        <f>VLOOKUP(Table1[[#This Row],[Customer_ID]],Customer_Dim!$A$2:$H$501,2,FALSE)</f>
        <v>Colleen Maynard</v>
      </c>
      <c r="G1579" s="2" t="str">
        <f>_xlfn.XLOOKUP(Table1[[#This Row],[Customer_ID]],Customer_Dim!$A$2:$A$501,Customer_Dim!$E$2:$E$501)</f>
        <v>Singletonmouth</v>
      </c>
      <c r="H1579" t="s">
        <v>355</v>
      </c>
      <c r="I1579" t="str">
        <f>VLOOKUP(Table1[[#This Row],[Product_ID]],Product_Dim!$A$2:$G$101,2,FALSE)</f>
        <v>Outdoor Sports Water Bottle-Sports</v>
      </c>
      <c r="J1579" t="s">
        <v>1563</v>
      </c>
      <c r="K1579" t="str">
        <f>VLOOKUP(Table1[[#This Row],[Store_ID]],Store_Dim!$A$3:$D$22,2,FALSE)</f>
        <v>Thomas, Bridges and Harris-North</v>
      </c>
      <c r="L1579" t="s">
        <v>1751</v>
      </c>
      <c r="M1579" t="s">
        <v>3959</v>
      </c>
      <c r="N1579" s="3">
        <v>659.17</v>
      </c>
      <c r="O1579" s="4">
        <v>0.12</v>
      </c>
      <c r="P1579" t="s">
        <v>1772</v>
      </c>
      <c r="Q1579" s="4">
        <v>2320.2784000000001</v>
      </c>
    </row>
    <row r="1580" spans="1:17" x14ac:dyDescent="0.3">
      <c r="A1580" t="s">
        <v>3352</v>
      </c>
      <c r="B1580" t="str">
        <f t="shared" si="24"/>
        <v>Q4</v>
      </c>
      <c r="C1580" t="str">
        <f>TEXT(Table1[[#This Row],[Order_Date]],"mmmm")</f>
        <v>October</v>
      </c>
      <c r="D1580">
        <f>YEAR(Table1[[#This Row],[Order_Date]])</f>
        <v>2024</v>
      </c>
      <c r="E1580" s="7">
        <v>45572</v>
      </c>
      <c r="F1580" s="2" t="str">
        <f>VLOOKUP(Table1[[#This Row],[Customer_ID]],Customer_Dim!$A$2:$H$501,2,FALSE)</f>
        <v>Christopher Lester</v>
      </c>
      <c r="G1580" s="2" t="str">
        <f>_xlfn.XLOOKUP(Table1[[#This Row],[Customer_ID]],Customer_Dim!$A$2:$A$501,Customer_Dim!$E$2:$E$501)</f>
        <v>South Jenniferville</v>
      </c>
      <c r="H1580" t="s">
        <v>364</v>
      </c>
      <c r="I1580" t="str">
        <f>VLOOKUP(Table1[[#This Row],[Product_ID]],Product_Dim!$A$2:$G$101,2,FALSE)</f>
        <v>Men's Winter Jacket-Clothing</v>
      </c>
      <c r="J1580" t="s">
        <v>1615</v>
      </c>
      <c r="K1580" t="str">
        <f>VLOOKUP(Table1[[#This Row],[Store_ID]],Store_Dim!$A$3:$D$22,2,FALSE)</f>
        <v>Martinez, Adkins and Johnson-North</v>
      </c>
      <c r="L1580" t="s">
        <v>1728</v>
      </c>
      <c r="M1580" t="s">
        <v>3960</v>
      </c>
      <c r="N1580" s="3">
        <v>216.02</v>
      </c>
      <c r="O1580" s="4">
        <v>0.25</v>
      </c>
      <c r="P1580" t="s">
        <v>1772</v>
      </c>
      <c r="Q1580" s="4">
        <v>324.02999999999997</v>
      </c>
    </row>
    <row r="1581" spans="1:17" x14ac:dyDescent="0.3">
      <c r="A1581" t="s">
        <v>3353</v>
      </c>
      <c r="B1581" t="str">
        <f t="shared" si="24"/>
        <v>Q2</v>
      </c>
      <c r="C1581" t="str">
        <f>TEXT(Table1[[#This Row],[Order_Date]],"mmmm")</f>
        <v>April</v>
      </c>
      <c r="D1581">
        <f>YEAR(Table1[[#This Row],[Order_Date]])</f>
        <v>2025</v>
      </c>
      <c r="E1581" s="7">
        <v>45774</v>
      </c>
      <c r="F1581" s="2" t="str">
        <f>VLOOKUP(Table1[[#This Row],[Customer_ID]],Customer_Dim!$A$2:$H$501,2,FALSE)</f>
        <v>Jessica Acevedo</v>
      </c>
      <c r="G1581" s="2" t="str">
        <f>_xlfn.XLOOKUP(Table1[[#This Row],[Customer_ID]],Customer_Dim!$A$2:$A$501,Customer_Dim!$E$2:$E$501)</f>
        <v>Amybury</v>
      </c>
      <c r="H1581" t="s">
        <v>124</v>
      </c>
      <c r="I1581" t="str">
        <f>VLOOKUP(Table1[[#This Row],[Product_ID]],Product_Dim!$A$2:$G$101,2,FALSE)</f>
        <v>Basketball-Sports</v>
      </c>
      <c r="J1581" t="s">
        <v>1585</v>
      </c>
      <c r="K1581" t="str">
        <f>VLOOKUP(Table1[[#This Row],[Store_ID]],Store_Dim!$A$3:$D$22,2,FALSE)</f>
        <v>Hill, Wagner and Ballard-East</v>
      </c>
      <c r="L1581" t="s">
        <v>1748</v>
      </c>
      <c r="M1581" t="s">
        <v>3960</v>
      </c>
      <c r="N1581" s="3">
        <v>613.47</v>
      </c>
      <c r="O1581" s="4">
        <v>0.02</v>
      </c>
      <c r="P1581" t="s">
        <v>1774</v>
      </c>
      <c r="Q1581" s="4">
        <v>1202.4012</v>
      </c>
    </row>
    <row r="1582" spans="1:17" x14ac:dyDescent="0.3">
      <c r="A1582" t="s">
        <v>3354</v>
      </c>
      <c r="B1582" t="str">
        <f t="shared" si="24"/>
        <v>Q3</v>
      </c>
      <c r="C1582" t="str">
        <f>TEXT(Table1[[#This Row],[Order_Date]],"mmmm")</f>
        <v>September</v>
      </c>
      <c r="D1582">
        <f>YEAR(Table1[[#This Row],[Order_Date]])</f>
        <v>2025</v>
      </c>
      <c r="E1582" s="7">
        <v>45921</v>
      </c>
      <c r="F1582" s="2" t="str">
        <f>VLOOKUP(Table1[[#This Row],[Customer_ID]],Customer_Dim!$A$2:$H$501,2,FALSE)</f>
        <v>Brittney Morgan</v>
      </c>
      <c r="G1582" s="2" t="str">
        <f>_xlfn.XLOOKUP(Table1[[#This Row],[Customer_ID]],Customer_Dim!$A$2:$A$501,Customer_Dim!$E$2:$E$501)</f>
        <v>Lake Kaylahaven</v>
      </c>
      <c r="H1582" t="s">
        <v>345</v>
      </c>
      <c r="I1582" t="str">
        <f>VLOOKUP(Table1[[#This Row],[Product_ID]],Product_Dim!$A$2:$G$101,2,FALSE)</f>
        <v>Womens Cotton Scarf-Clothing</v>
      </c>
      <c r="J1582" t="s">
        <v>1639</v>
      </c>
      <c r="K1582" t="str">
        <f>VLOOKUP(Table1[[#This Row],[Store_ID]],Store_Dim!$A$3:$D$22,2,FALSE)</f>
        <v>Thomas, Bridges and Harris-North</v>
      </c>
      <c r="L1582" t="s">
        <v>1751</v>
      </c>
      <c r="M1582" t="s">
        <v>3960</v>
      </c>
      <c r="N1582" s="3">
        <v>485.17</v>
      </c>
      <c r="O1582" s="4">
        <v>0.11</v>
      </c>
      <c r="P1582" t="s">
        <v>1774</v>
      </c>
      <c r="Q1582" s="4">
        <v>863.60260000000005</v>
      </c>
    </row>
    <row r="1583" spans="1:17" x14ac:dyDescent="0.3">
      <c r="A1583" t="s">
        <v>3355</v>
      </c>
      <c r="B1583" t="str">
        <f t="shared" si="24"/>
        <v>Q4</v>
      </c>
      <c r="C1583" t="str">
        <f>TEXT(Table1[[#This Row],[Order_Date]],"mmmm")</f>
        <v>December</v>
      </c>
      <c r="D1583">
        <f>YEAR(Table1[[#This Row],[Order_Date]])</f>
        <v>2023</v>
      </c>
      <c r="E1583" s="7">
        <v>45268</v>
      </c>
      <c r="F1583" s="2" t="str">
        <f>VLOOKUP(Table1[[#This Row],[Customer_ID]],Customer_Dim!$A$2:$H$501,2,FALSE)</f>
        <v>Brandy Thompson</v>
      </c>
      <c r="G1583" s="2" t="str">
        <f>_xlfn.XLOOKUP(Table1[[#This Row],[Customer_ID]],Customer_Dim!$A$2:$A$501,Customer_Dim!$E$2:$E$501)</f>
        <v>West Patriciaview</v>
      </c>
      <c r="H1583" t="s">
        <v>959</v>
      </c>
      <c r="I1583" t="str">
        <f>VLOOKUP(Table1[[#This Row],[Product_ID]],Product_Dim!$A$2:$G$101,2,FALSE)</f>
        <v>Men's Winter Jacket-Clothing</v>
      </c>
      <c r="J1583" t="s">
        <v>1615</v>
      </c>
      <c r="K1583" t="str">
        <f>VLOOKUP(Table1[[#This Row],[Store_ID]],Store_Dim!$A$3:$D$22,2,FALSE)</f>
        <v>Hill, Wagner and Ballard-East</v>
      </c>
      <c r="L1583" t="s">
        <v>1748</v>
      </c>
      <c r="M1583" t="s">
        <v>3957</v>
      </c>
      <c r="N1583" s="3">
        <v>209.7</v>
      </c>
      <c r="O1583" s="4">
        <v>0.2</v>
      </c>
      <c r="P1583" t="s">
        <v>1774</v>
      </c>
      <c r="Q1583" s="4">
        <v>167.76</v>
      </c>
    </row>
    <row r="1584" spans="1:17" x14ac:dyDescent="0.3">
      <c r="A1584" t="s">
        <v>3356</v>
      </c>
      <c r="B1584" t="str">
        <f t="shared" si="24"/>
        <v>Q2</v>
      </c>
      <c r="C1584" t="str">
        <f>TEXT(Table1[[#This Row],[Order_Date]],"mmmm")</f>
        <v>April</v>
      </c>
      <c r="D1584">
        <f>YEAR(Table1[[#This Row],[Order_Date]])</f>
        <v>2024</v>
      </c>
      <c r="E1584" s="7">
        <v>45402</v>
      </c>
      <c r="F1584" s="2" t="str">
        <f>VLOOKUP(Table1[[#This Row],[Customer_ID]],Customer_Dim!$A$2:$H$501,2,FALSE)</f>
        <v>Robert King</v>
      </c>
      <c r="G1584" s="2" t="str">
        <f>_xlfn.XLOOKUP(Table1[[#This Row],[Customer_ID]],Customer_Dim!$A$2:$A$501,Customer_Dim!$E$2:$E$501)</f>
        <v>Cindyton</v>
      </c>
      <c r="H1584" t="s">
        <v>1015</v>
      </c>
      <c r="I1584" t="str">
        <f>VLOOKUP(Table1[[#This Row],[Product_ID]],Product_Dim!$A$2:$G$101,2,FALSE)</f>
        <v>Microwave Oven-Home</v>
      </c>
      <c r="J1584" t="s">
        <v>1707</v>
      </c>
      <c r="K1584" t="str">
        <f>VLOOKUP(Table1[[#This Row],[Store_ID]],Store_Dim!$A$3:$D$22,2,FALSE)</f>
        <v>Rivera-Warner-East</v>
      </c>
      <c r="L1584" t="s">
        <v>1725</v>
      </c>
      <c r="M1584" t="s">
        <v>3957</v>
      </c>
      <c r="N1584" s="3">
        <v>681.47</v>
      </c>
      <c r="O1584" s="4">
        <v>0.15</v>
      </c>
      <c r="P1584" t="s">
        <v>1772</v>
      </c>
      <c r="Q1584" s="4">
        <v>579.24950000000001</v>
      </c>
    </row>
    <row r="1585" spans="1:17" x14ac:dyDescent="0.3">
      <c r="A1585" t="s">
        <v>3357</v>
      </c>
      <c r="B1585" t="str">
        <f t="shared" si="24"/>
        <v>Q1</v>
      </c>
      <c r="C1585" t="str">
        <f>TEXT(Table1[[#This Row],[Order_Date]],"mmmm")</f>
        <v>January</v>
      </c>
      <c r="D1585">
        <f>YEAR(Table1[[#This Row],[Order_Date]])</f>
        <v>2025</v>
      </c>
      <c r="E1585" s="7">
        <v>45667</v>
      </c>
      <c r="F1585" s="2" t="str">
        <f>VLOOKUP(Table1[[#This Row],[Customer_ID]],Customer_Dim!$A$2:$H$501,2,FALSE)</f>
        <v>Tammy Trevino</v>
      </c>
      <c r="G1585" s="2" t="str">
        <f>_xlfn.XLOOKUP(Table1[[#This Row],[Customer_ID]],Customer_Dim!$A$2:$A$501,Customer_Dim!$E$2:$E$501)</f>
        <v>Justinberg</v>
      </c>
      <c r="H1585" t="s">
        <v>1346</v>
      </c>
      <c r="I1585" t="str">
        <f>VLOOKUP(Table1[[#This Row],[Product_ID]],Product_Dim!$A$2:$G$101,2,FALSE)</f>
        <v>Wireless Mouse-Electronics</v>
      </c>
      <c r="J1585" t="s">
        <v>1675</v>
      </c>
      <c r="K1585" t="str">
        <f>VLOOKUP(Table1[[#This Row],[Store_ID]],Store_Dim!$A$3:$D$22,2,FALSE)</f>
        <v>Holloway Ltd-North</v>
      </c>
      <c r="L1585" t="s">
        <v>1759</v>
      </c>
      <c r="M1585" t="s">
        <v>3960</v>
      </c>
      <c r="N1585" s="3">
        <v>877.21</v>
      </c>
      <c r="O1585" s="4">
        <v>0.1</v>
      </c>
      <c r="P1585" t="s">
        <v>1772</v>
      </c>
      <c r="Q1585" s="4">
        <v>1578.9780000000001</v>
      </c>
    </row>
    <row r="1586" spans="1:17" x14ac:dyDescent="0.3">
      <c r="A1586" t="s">
        <v>3358</v>
      </c>
      <c r="B1586" t="str">
        <f t="shared" si="24"/>
        <v>Q3</v>
      </c>
      <c r="C1586" t="str">
        <f>TEXT(Table1[[#This Row],[Order_Date]],"mmmm")</f>
        <v>September</v>
      </c>
      <c r="D1586">
        <f>YEAR(Table1[[#This Row],[Order_Date]])</f>
        <v>2025</v>
      </c>
      <c r="E1586" s="7">
        <v>45902</v>
      </c>
      <c r="F1586" s="2" t="str">
        <f>VLOOKUP(Table1[[#This Row],[Customer_ID]],Customer_Dim!$A$2:$H$501,2,FALSE)</f>
        <v>Madison Wright</v>
      </c>
      <c r="G1586" s="2" t="str">
        <f>_xlfn.XLOOKUP(Table1[[#This Row],[Customer_ID]],Customer_Dim!$A$2:$A$501,Customer_Dim!$E$2:$E$501)</f>
        <v>Monicaview</v>
      </c>
      <c r="H1586" t="s">
        <v>992</v>
      </c>
      <c r="I1586" t="str">
        <f>VLOOKUP(Table1[[#This Row],[Product_ID]],Product_Dim!$A$2:$G$101,2,FALSE)</f>
        <v>Essential Oil Diffuser-Home</v>
      </c>
      <c r="J1586" t="s">
        <v>1679</v>
      </c>
      <c r="K1586" t="str">
        <f>VLOOKUP(Table1[[#This Row],[Store_ID]],Store_Dim!$A$3:$D$22,2,FALSE)</f>
        <v>Gray Ltd-North</v>
      </c>
      <c r="L1586" t="s">
        <v>1738</v>
      </c>
      <c r="M1586" t="s">
        <v>3960</v>
      </c>
      <c r="N1586" s="3">
        <v>479.77</v>
      </c>
      <c r="O1586" s="4">
        <v>0.21</v>
      </c>
      <c r="P1586" t="s">
        <v>1774</v>
      </c>
      <c r="Q1586" s="4">
        <v>758.03660000000002</v>
      </c>
    </row>
    <row r="1587" spans="1:17" x14ac:dyDescent="0.3">
      <c r="A1587" t="s">
        <v>3359</v>
      </c>
      <c r="B1587" t="str">
        <f t="shared" si="24"/>
        <v>Q4</v>
      </c>
      <c r="C1587" t="str">
        <f>TEXT(Table1[[#This Row],[Order_Date]],"mmmm")</f>
        <v>October</v>
      </c>
      <c r="D1587">
        <f>YEAR(Table1[[#This Row],[Order_Date]])</f>
        <v>2024</v>
      </c>
      <c r="E1587" s="7">
        <v>45589</v>
      </c>
      <c r="F1587" s="2" t="str">
        <f>VLOOKUP(Table1[[#This Row],[Customer_ID]],Customer_Dim!$A$2:$H$501,2,FALSE)</f>
        <v>Samuel Arias</v>
      </c>
      <c r="G1587" s="2" t="str">
        <f>_xlfn.XLOOKUP(Table1[[#This Row],[Customer_ID]],Customer_Dim!$A$2:$A$501,Customer_Dim!$E$2:$E$501)</f>
        <v>North Nicole</v>
      </c>
      <c r="H1587" t="s">
        <v>1004</v>
      </c>
      <c r="I1587" t="str">
        <f>VLOOKUP(Table1[[#This Row],[Product_ID]],Product_Dim!$A$2:$G$101,2,FALSE)</f>
        <v>Hydrating Face Cleanser-Beauty</v>
      </c>
      <c r="J1587" t="s">
        <v>1689</v>
      </c>
      <c r="K1587" t="str">
        <f>VLOOKUP(Table1[[#This Row],[Store_ID]],Store_Dim!$A$3:$D$22,2,FALSE)</f>
        <v>Shelton PLC-North</v>
      </c>
      <c r="L1587" t="s">
        <v>1755</v>
      </c>
      <c r="M1587" t="s">
        <v>3957</v>
      </c>
      <c r="N1587" s="3">
        <v>140.72</v>
      </c>
      <c r="O1587" s="4">
        <v>0</v>
      </c>
      <c r="P1587" t="s">
        <v>1777</v>
      </c>
      <c r="Q1587" s="4">
        <v>140.72</v>
      </c>
    </row>
    <row r="1588" spans="1:17" x14ac:dyDescent="0.3">
      <c r="A1588" t="s">
        <v>3360</v>
      </c>
      <c r="B1588" t="str">
        <f t="shared" si="24"/>
        <v>Q1</v>
      </c>
      <c r="C1588" t="str">
        <f>TEXT(Table1[[#This Row],[Order_Date]],"mmmm")</f>
        <v>January</v>
      </c>
      <c r="D1588">
        <f>YEAR(Table1[[#This Row],[Order_Date]])</f>
        <v>2025</v>
      </c>
      <c r="E1588" s="7">
        <v>45668</v>
      </c>
      <c r="F1588" s="2" t="str">
        <f>VLOOKUP(Table1[[#This Row],[Customer_ID]],Customer_Dim!$A$2:$H$501,2,FALSE)</f>
        <v>Leslie Johnson</v>
      </c>
      <c r="G1588" s="2" t="str">
        <f>_xlfn.XLOOKUP(Table1[[#This Row],[Customer_ID]],Customer_Dim!$A$2:$A$501,Customer_Dim!$E$2:$E$501)</f>
        <v>Mollyshire</v>
      </c>
      <c r="H1588" t="s">
        <v>114</v>
      </c>
      <c r="I1588" t="str">
        <f>VLOOKUP(Table1[[#This Row],[Product_ID]],Product_Dim!$A$2:$G$101,2,FALSE)</f>
        <v>Knee Support Brace-Sports</v>
      </c>
      <c r="J1588" t="s">
        <v>1561</v>
      </c>
      <c r="K1588" t="str">
        <f>VLOOKUP(Table1[[#This Row],[Store_ID]],Store_Dim!$A$3:$D$22,2,FALSE)</f>
        <v>Benson-Elliott-East</v>
      </c>
      <c r="L1588" t="s">
        <v>1740</v>
      </c>
      <c r="M1588" t="s">
        <v>3960</v>
      </c>
      <c r="N1588" s="3">
        <v>764.25</v>
      </c>
      <c r="O1588" s="4">
        <v>0.23</v>
      </c>
      <c r="P1588" t="s">
        <v>1774</v>
      </c>
      <c r="Q1588" s="4">
        <v>1176.9449999999999</v>
      </c>
    </row>
    <row r="1589" spans="1:17" x14ac:dyDescent="0.3">
      <c r="A1589" t="s">
        <v>3361</v>
      </c>
      <c r="B1589" t="str">
        <f t="shared" si="24"/>
        <v>Q1</v>
      </c>
      <c r="C1589" t="str">
        <f>TEXT(Table1[[#This Row],[Order_Date]],"mmmm")</f>
        <v>January</v>
      </c>
      <c r="D1589">
        <f>YEAR(Table1[[#This Row],[Order_Date]])</f>
        <v>2024</v>
      </c>
      <c r="E1589" s="7">
        <v>45300</v>
      </c>
      <c r="F1589" s="2" t="str">
        <f>VLOOKUP(Table1[[#This Row],[Customer_ID]],Customer_Dim!$A$2:$H$501,2,FALSE)</f>
        <v>Alejandro Doyle</v>
      </c>
      <c r="G1589" s="2" t="str">
        <f>_xlfn.XLOOKUP(Table1[[#This Row],[Customer_ID]],Customer_Dim!$A$2:$A$501,Customer_Dim!$E$2:$E$501)</f>
        <v>East Crystalton</v>
      </c>
      <c r="H1589" t="s">
        <v>713</v>
      </c>
      <c r="I1589" t="str">
        <f>VLOOKUP(Table1[[#This Row],[Product_ID]],Product_Dim!$A$2:$G$101,2,FALSE)</f>
        <v>Hydrating Face Cleanser-Beauty</v>
      </c>
      <c r="J1589" t="s">
        <v>1689</v>
      </c>
      <c r="K1589" t="str">
        <f>VLOOKUP(Table1[[#This Row],[Store_ID]],Store_Dim!$A$3:$D$22,2,FALSE)</f>
        <v>Gray Ltd-North</v>
      </c>
      <c r="L1589" t="s">
        <v>1738</v>
      </c>
      <c r="M1589" t="s">
        <v>3958</v>
      </c>
      <c r="N1589" s="3">
        <v>107.8</v>
      </c>
      <c r="O1589" s="4">
        <v>0.28999999999999998</v>
      </c>
      <c r="P1589" t="s">
        <v>1774</v>
      </c>
      <c r="Q1589" s="4">
        <v>229.614</v>
      </c>
    </row>
    <row r="1590" spans="1:17" x14ac:dyDescent="0.3">
      <c r="A1590" t="s">
        <v>3362</v>
      </c>
      <c r="B1590" t="str">
        <f t="shared" si="24"/>
        <v>Q2</v>
      </c>
      <c r="C1590" t="str">
        <f>TEXT(Table1[[#This Row],[Order_Date]],"mmmm")</f>
        <v>April</v>
      </c>
      <c r="D1590">
        <f>YEAR(Table1[[#This Row],[Order_Date]])</f>
        <v>2025</v>
      </c>
      <c r="E1590" s="7">
        <v>45757</v>
      </c>
      <c r="F1590" s="2" t="str">
        <f>VLOOKUP(Table1[[#This Row],[Customer_ID]],Customer_Dim!$A$2:$H$501,2,FALSE)</f>
        <v>Rhonda Young</v>
      </c>
      <c r="G1590" s="2" t="str">
        <f>_xlfn.XLOOKUP(Table1[[#This Row],[Customer_ID]],Customer_Dim!$A$2:$A$501,Customer_Dim!$E$2:$E$501)</f>
        <v>Lake Nathanfort</v>
      </c>
      <c r="H1590" t="s">
        <v>491</v>
      </c>
      <c r="I1590" t="str">
        <f>VLOOKUP(Table1[[#This Row],[Product_ID]],Product_Dim!$A$2:$G$101,2,FALSE)</f>
        <v>Carbon Fiber Tennis Racket-Sports</v>
      </c>
      <c r="J1590" t="s">
        <v>1567</v>
      </c>
      <c r="K1590" t="str">
        <f>VLOOKUP(Table1[[#This Row],[Store_ID]],Store_Dim!$A$3:$D$22,2,FALSE)</f>
        <v>Bean, Jones and Park-West</v>
      </c>
      <c r="L1590" t="s">
        <v>1744</v>
      </c>
      <c r="M1590" t="s">
        <v>3959</v>
      </c>
      <c r="N1590" s="3">
        <v>565.37</v>
      </c>
      <c r="O1590" s="4">
        <v>7.0000000000000007E-2</v>
      </c>
      <c r="P1590" t="s">
        <v>1774</v>
      </c>
      <c r="Q1590" s="4">
        <v>2103.1763999999998</v>
      </c>
    </row>
    <row r="1591" spans="1:17" x14ac:dyDescent="0.3">
      <c r="A1591" t="s">
        <v>3363</v>
      </c>
      <c r="B1591" t="str">
        <f t="shared" si="24"/>
        <v>Q4</v>
      </c>
      <c r="C1591" t="str">
        <f>TEXT(Table1[[#This Row],[Order_Date]],"mmmm")</f>
        <v>November</v>
      </c>
      <c r="D1591">
        <f>YEAR(Table1[[#This Row],[Order_Date]])</f>
        <v>2023</v>
      </c>
      <c r="E1591" s="7">
        <v>45235</v>
      </c>
      <c r="F1591" s="2" t="str">
        <f>VLOOKUP(Table1[[#This Row],[Customer_ID]],Customer_Dim!$A$2:$H$501,2,FALSE)</f>
        <v>Christopher Olson</v>
      </c>
      <c r="G1591" s="2" t="str">
        <f>_xlfn.XLOOKUP(Table1[[#This Row],[Customer_ID]],Customer_Dim!$A$2:$A$501,Customer_Dim!$E$2:$E$501)</f>
        <v>West Richard</v>
      </c>
      <c r="H1591" t="s">
        <v>136</v>
      </c>
      <c r="I1591" t="str">
        <f>VLOOKUP(Table1[[#This Row],[Product_ID]],Product_Dim!$A$2:$G$101,2,FALSE)</f>
        <v>Women's Summer Dress-Clothing</v>
      </c>
      <c r="J1591" t="s">
        <v>1595</v>
      </c>
      <c r="K1591" t="str">
        <f>VLOOKUP(Table1[[#This Row],[Store_ID]],Store_Dim!$A$3:$D$22,2,FALSE)</f>
        <v>Alexander Group-South</v>
      </c>
      <c r="L1591" t="s">
        <v>1735</v>
      </c>
      <c r="M1591" t="s">
        <v>3958</v>
      </c>
      <c r="N1591" s="3">
        <v>811.45</v>
      </c>
      <c r="O1591" s="4">
        <v>0.26</v>
      </c>
      <c r="P1591" t="s">
        <v>1772</v>
      </c>
      <c r="Q1591" s="4">
        <v>1801.4190000000001</v>
      </c>
    </row>
    <row r="1592" spans="1:17" x14ac:dyDescent="0.3">
      <c r="A1592" t="s">
        <v>3364</v>
      </c>
      <c r="B1592" t="str">
        <f t="shared" si="24"/>
        <v>Q2</v>
      </c>
      <c r="C1592" t="str">
        <f>TEXT(Table1[[#This Row],[Order_Date]],"mmmm")</f>
        <v>April</v>
      </c>
      <c r="D1592">
        <f>YEAR(Table1[[#This Row],[Order_Date]])</f>
        <v>2025</v>
      </c>
      <c r="E1592" s="7">
        <v>45749</v>
      </c>
      <c r="F1592" s="2" t="str">
        <f>VLOOKUP(Table1[[#This Row],[Customer_ID]],Customer_Dim!$A$2:$H$501,2,FALSE)</f>
        <v>Jackie Thompson</v>
      </c>
      <c r="G1592" s="2" t="str">
        <f>_xlfn.XLOOKUP(Table1[[#This Row],[Customer_ID]],Customer_Dim!$A$2:$A$501,Customer_Dim!$E$2:$E$501)</f>
        <v>South Edwin</v>
      </c>
      <c r="H1592" t="s">
        <v>1261</v>
      </c>
      <c r="I1592" t="str">
        <f>VLOOKUP(Table1[[#This Row],[Product_ID]],Product_Dim!$A$2:$G$101,2,FALSE)</f>
        <v>Modern Wall Clock-Home</v>
      </c>
      <c r="J1592" t="s">
        <v>1589</v>
      </c>
      <c r="K1592" t="str">
        <f>VLOOKUP(Table1[[#This Row],[Store_ID]],Store_Dim!$A$3:$D$22,2,FALSE)</f>
        <v>Mann-Austin-East</v>
      </c>
      <c r="L1592" t="s">
        <v>1763</v>
      </c>
      <c r="M1592" t="s">
        <v>3959</v>
      </c>
      <c r="N1592" s="3">
        <v>62.25</v>
      </c>
      <c r="O1592" s="4">
        <v>0.11</v>
      </c>
      <c r="P1592" t="s">
        <v>1774</v>
      </c>
      <c r="Q1592" s="4">
        <v>221.61</v>
      </c>
    </row>
    <row r="1593" spans="1:17" x14ac:dyDescent="0.3">
      <c r="A1593" t="s">
        <v>3365</v>
      </c>
      <c r="B1593" t="str">
        <f t="shared" si="24"/>
        <v>Q2</v>
      </c>
      <c r="C1593" t="str">
        <f>TEXT(Table1[[#This Row],[Order_Date]],"mmmm")</f>
        <v>May</v>
      </c>
      <c r="D1593">
        <f>YEAR(Table1[[#This Row],[Order_Date]])</f>
        <v>2025</v>
      </c>
      <c r="E1593" s="7">
        <v>45807</v>
      </c>
      <c r="F1593" s="2" t="str">
        <f>VLOOKUP(Table1[[#This Row],[Customer_ID]],Customer_Dim!$A$2:$H$501,2,FALSE)</f>
        <v>Diana Taylor</v>
      </c>
      <c r="G1593" s="2" t="str">
        <f>_xlfn.XLOOKUP(Table1[[#This Row],[Customer_ID]],Customer_Dim!$A$2:$A$501,Customer_Dim!$E$2:$E$501)</f>
        <v>Vasqueztown</v>
      </c>
      <c r="H1593" t="s">
        <v>107</v>
      </c>
      <c r="I1593" t="str">
        <f>VLOOKUP(Table1[[#This Row],[Product_ID]],Product_Dim!$A$2:$G$101,2,FALSE)</f>
        <v>Sports Stopwatch Basic-Sports</v>
      </c>
      <c r="J1593" t="s">
        <v>1713</v>
      </c>
      <c r="K1593" t="str">
        <f>VLOOKUP(Table1[[#This Row],[Store_ID]],Store_Dim!$A$3:$D$22,2,FALSE)</f>
        <v>Hill, Wagner and Ballard-East</v>
      </c>
      <c r="L1593" t="s">
        <v>1748</v>
      </c>
      <c r="M1593" t="s">
        <v>3957</v>
      </c>
      <c r="N1593" s="3">
        <v>749.78</v>
      </c>
      <c r="O1593" s="4">
        <v>0.03</v>
      </c>
      <c r="P1593" t="s">
        <v>1772</v>
      </c>
      <c r="Q1593" s="4">
        <v>727.28659999999991</v>
      </c>
    </row>
    <row r="1594" spans="1:17" x14ac:dyDescent="0.3">
      <c r="A1594" t="s">
        <v>3366</v>
      </c>
      <c r="B1594" t="str">
        <f t="shared" si="24"/>
        <v>Q3</v>
      </c>
      <c r="C1594" t="str">
        <f>TEXT(Table1[[#This Row],[Order_Date]],"mmmm")</f>
        <v>July</v>
      </c>
      <c r="D1594">
        <f>YEAR(Table1[[#This Row],[Order_Date]])</f>
        <v>2024</v>
      </c>
      <c r="E1594" s="7">
        <v>45496</v>
      </c>
      <c r="F1594" s="2" t="str">
        <f>VLOOKUP(Table1[[#This Row],[Customer_ID]],Customer_Dim!$A$2:$H$501,2,FALSE)</f>
        <v>Charles Miller</v>
      </c>
      <c r="G1594" s="2" t="str">
        <f>_xlfn.XLOOKUP(Table1[[#This Row],[Customer_ID]],Customer_Dim!$A$2:$A$501,Customer_Dim!$E$2:$E$501)</f>
        <v>Lake Allisonborough</v>
      </c>
      <c r="H1594" t="s">
        <v>1086</v>
      </c>
      <c r="I1594" t="str">
        <f>VLOOKUP(Table1[[#This Row],[Product_ID]],Product_Dim!$A$2:$G$101,2,FALSE)</f>
        <v>Men's Hair Styling Gel-Beauty</v>
      </c>
      <c r="J1594" t="s">
        <v>1641</v>
      </c>
      <c r="K1594" t="str">
        <f>VLOOKUP(Table1[[#This Row],[Store_ID]],Store_Dim!$A$3:$D$22,2,FALSE)</f>
        <v>Gray Ltd-North</v>
      </c>
      <c r="L1594" t="s">
        <v>1738</v>
      </c>
      <c r="M1594" t="s">
        <v>3958</v>
      </c>
      <c r="N1594" s="3">
        <v>630.28</v>
      </c>
      <c r="O1594" s="4">
        <v>7.0000000000000007E-2</v>
      </c>
      <c r="P1594" t="s">
        <v>1777</v>
      </c>
      <c r="Q1594" s="4">
        <v>1758.4811999999999</v>
      </c>
    </row>
    <row r="1595" spans="1:17" x14ac:dyDescent="0.3">
      <c r="A1595" t="s">
        <v>3367</v>
      </c>
      <c r="B1595" t="str">
        <f t="shared" si="24"/>
        <v>Q1</v>
      </c>
      <c r="C1595" t="str">
        <f>TEXT(Table1[[#This Row],[Order_Date]],"mmmm")</f>
        <v>March</v>
      </c>
      <c r="D1595">
        <f>YEAR(Table1[[#This Row],[Order_Date]])</f>
        <v>2024</v>
      </c>
      <c r="E1595" s="7">
        <v>45355</v>
      </c>
      <c r="F1595" s="2" t="str">
        <f>VLOOKUP(Table1[[#This Row],[Customer_ID]],Customer_Dim!$A$2:$H$501,2,FALSE)</f>
        <v>Carlos Skinner</v>
      </c>
      <c r="G1595" s="2" t="str">
        <f>_xlfn.XLOOKUP(Table1[[#This Row],[Customer_ID]],Customer_Dim!$A$2:$A$501,Customer_Dim!$E$2:$E$501)</f>
        <v>Dwaynemouth</v>
      </c>
      <c r="H1595" t="s">
        <v>479</v>
      </c>
      <c r="I1595" t="str">
        <f>VLOOKUP(Table1[[#This Row],[Product_ID]],Product_Dim!$A$2:$G$101,2,FALSE)</f>
        <v>Stainless Steel Cutlery Set-Home</v>
      </c>
      <c r="J1595" t="s">
        <v>1583</v>
      </c>
      <c r="K1595" t="str">
        <f>VLOOKUP(Table1[[#This Row],[Store_ID]],Store_Dim!$A$3:$D$22,2,FALSE)</f>
        <v>Frederick-Wright-West</v>
      </c>
      <c r="L1595" t="s">
        <v>1757</v>
      </c>
      <c r="M1595" t="s">
        <v>3957</v>
      </c>
      <c r="N1595" s="3">
        <v>101.84</v>
      </c>
      <c r="O1595" s="4">
        <v>0.17</v>
      </c>
      <c r="P1595" t="s">
        <v>1772</v>
      </c>
      <c r="Q1595" s="4">
        <v>84.527199999999993</v>
      </c>
    </row>
    <row r="1596" spans="1:17" x14ac:dyDescent="0.3">
      <c r="A1596" t="s">
        <v>3368</v>
      </c>
      <c r="B1596" t="str">
        <f t="shared" si="24"/>
        <v>Q4</v>
      </c>
      <c r="C1596" t="str">
        <f>TEXT(Table1[[#This Row],[Order_Date]],"mmmm")</f>
        <v>November</v>
      </c>
      <c r="D1596">
        <f>YEAR(Table1[[#This Row],[Order_Date]])</f>
        <v>2023</v>
      </c>
      <c r="E1596" s="7">
        <v>45256</v>
      </c>
      <c r="F1596" s="2" t="str">
        <f>VLOOKUP(Table1[[#This Row],[Customer_ID]],Customer_Dim!$A$2:$H$501,2,FALSE)</f>
        <v>Wayne Mcpherson</v>
      </c>
      <c r="G1596" s="2" t="str">
        <f>_xlfn.XLOOKUP(Table1[[#This Row],[Customer_ID]],Customer_Dim!$A$2:$A$501,Customer_Dim!$E$2:$E$501)</f>
        <v>Edwardsfort</v>
      </c>
      <c r="H1596" t="s">
        <v>205</v>
      </c>
      <c r="I1596" t="str">
        <f>VLOOKUP(Table1[[#This Row],[Product_ID]],Product_Dim!$A$2:$G$101,2,FALSE)</f>
        <v>Foldable Camping Chair-Sports</v>
      </c>
      <c r="J1596" t="s">
        <v>1571</v>
      </c>
      <c r="K1596" t="str">
        <f>VLOOKUP(Table1[[#This Row],[Store_ID]],Store_Dim!$A$3:$D$22,2,FALSE)</f>
        <v>Guerrero-Schmitt-East</v>
      </c>
      <c r="L1596" t="s">
        <v>1761</v>
      </c>
      <c r="M1596" t="s">
        <v>3959</v>
      </c>
      <c r="N1596" s="3">
        <v>641.45000000000005</v>
      </c>
      <c r="O1596" s="4">
        <v>0.16</v>
      </c>
      <c r="P1596" t="s">
        <v>1777</v>
      </c>
      <c r="Q1596" s="4">
        <v>2155.2719999999999</v>
      </c>
    </row>
    <row r="1597" spans="1:17" x14ac:dyDescent="0.3">
      <c r="A1597" t="s">
        <v>3369</v>
      </c>
      <c r="B1597" t="str">
        <f t="shared" si="24"/>
        <v>Q3</v>
      </c>
      <c r="C1597" t="str">
        <f>TEXT(Table1[[#This Row],[Order_Date]],"mmmm")</f>
        <v>July</v>
      </c>
      <c r="D1597">
        <f>YEAR(Table1[[#This Row],[Order_Date]])</f>
        <v>2025</v>
      </c>
      <c r="E1597" s="7">
        <v>45849</v>
      </c>
      <c r="F1597" s="2" t="str">
        <f>VLOOKUP(Table1[[#This Row],[Customer_ID]],Customer_Dim!$A$2:$H$501,2,FALSE)</f>
        <v>Debra Mccullough</v>
      </c>
      <c r="G1597" s="2" t="str">
        <f>_xlfn.XLOOKUP(Table1[[#This Row],[Customer_ID]],Customer_Dim!$A$2:$A$501,Customer_Dim!$E$2:$E$501)</f>
        <v>Mcdanielfurt</v>
      </c>
      <c r="H1597" t="s">
        <v>1436</v>
      </c>
      <c r="I1597" t="str">
        <f>VLOOKUP(Table1[[#This Row],[Product_ID]],Product_Dim!$A$2:$G$101,2,FALSE)</f>
        <v>USB External Hard Drive-Electronics</v>
      </c>
      <c r="J1597" t="s">
        <v>1609</v>
      </c>
      <c r="K1597" t="str">
        <f>VLOOKUP(Table1[[#This Row],[Store_ID]],Store_Dim!$A$3:$D$22,2,FALSE)</f>
        <v>Martinez, Adkins and Johnson-North</v>
      </c>
      <c r="L1597" t="s">
        <v>1728</v>
      </c>
      <c r="M1597" t="s">
        <v>3957</v>
      </c>
      <c r="N1597" s="3">
        <v>135.87</v>
      </c>
      <c r="O1597" s="4">
        <v>0.23</v>
      </c>
      <c r="P1597" t="s">
        <v>1774</v>
      </c>
      <c r="Q1597" s="4">
        <v>104.6199</v>
      </c>
    </row>
    <row r="1598" spans="1:17" x14ac:dyDescent="0.3">
      <c r="A1598" t="s">
        <v>3370</v>
      </c>
      <c r="B1598" t="str">
        <f t="shared" si="24"/>
        <v>Q1</v>
      </c>
      <c r="C1598" t="str">
        <f>TEXT(Table1[[#This Row],[Order_Date]],"mmmm")</f>
        <v>February</v>
      </c>
      <c r="D1598">
        <f>YEAR(Table1[[#This Row],[Order_Date]])</f>
        <v>2024</v>
      </c>
      <c r="E1598" s="7">
        <v>45344</v>
      </c>
      <c r="F1598" s="2" t="str">
        <f>VLOOKUP(Table1[[#This Row],[Customer_ID]],Customer_Dim!$A$2:$H$501,2,FALSE)</f>
        <v>Amy Fowler</v>
      </c>
      <c r="G1598" s="2" t="str">
        <f>_xlfn.XLOOKUP(Table1[[#This Row],[Customer_ID]],Customer_Dim!$A$2:$A$501,Customer_Dim!$E$2:$E$501)</f>
        <v>West Bobbyshire</v>
      </c>
      <c r="H1598" t="s">
        <v>336</v>
      </c>
      <c r="I1598" t="str">
        <f>VLOOKUP(Table1[[#This Row],[Product_ID]],Product_Dim!$A$2:$G$101,2,FALSE)</f>
        <v>Multi-Purpose Storage Box-Home</v>
      </c>
      <c r="J1598" t="s">
        <v>1565</v>
      </c>
      <c r="K1598" t="str">
        <f>VLOOKUP(Table1[[#This Row],[Store_ID]],Store_Dim!$A$3:$D$22,2,FALSE)</f>
        <v>Benson-Elliott-East</v>
      </c>
      <c r="L1598" t="s">
        <v>1740</v>
      </c>
      <c r="M1598" t="s">
        <v>3957</v>
      </c>
      <c r="N1598" s="3">
        <v>388.35</v>
      </c>
      <c r="O1598" s="4">
        <v>0.01</v>
      </c>
      <c r="P1598" t="s">
        <v>1774</v>
      </c>
      <c r="Q1598" s="4">
        <v>384.4665</v>
      </c>
    </row>
    <row r="1599" spans="1:17" x14ac:dyDescent="0.3">
      <c r="A1599" t="s">
        <v>3371</v>
      </c>
      <c r="B1599" t="str">
        <f t="shared" si="24"/>
        <v>Q1</v>
      </c>
      <c r="C1599" t="str">
        <f>TEXT(Table1[[#This Row],[Order_Date]],"mmmm")</f>
        <v>March</v>
      </c>
      <c r="D1599">
        <f>YEAR(Table1[[#This Row],[Order_Date]])</f>
        <v>2024</v>
      </c>
      <c r="E1599" s="7">
        <v>45367</v>
      </c>
      <c r="F1599" s="2" t="str">
        <f>VLOOKUP(Table1[[#This Row],[Customer_ID]],Customer_Dim!$A$2:$H$501,2,FALSE)</f>
        <v>Eric Lee</v>
      </c>
      <c r="G1599" s="2" t="str">
        <f>_xlfn.XLOOKUP(Table1[[#This Row],[Customer_ID]],Customer_Dim!$A$2:$A$501,Customer_Dim!$E$2:$E$501)</f>
        <v>Lake April</v>
      </c>
      <c r="H1599" t="s">
        <v>1478</v>
      </c>
      <c r="I1599" t="str">
        <f>VLOOKUP(Table1[[#This Row],[Product_ID]],Product_Dim!$A$2:$G$101,2,FALSE)</f>
        <v>Sports Water Hydration Pack-Sports</v>
      </c>
      <c r="J1599" t="s">
        <v>1599</v>
      </c>
      <c r="K1599" t="str">
        <f>VLOOKUP(Table1[[#This Row],[Store_ID]],Store_Dim!$A$3:$D$22,2,FALSE)</f>
        <v>Moore, Padilla and Butler-South</v>
      </c>
      <c r="L1599" t="s">
        <v>1746</v>
      </c>
      <c r="M1599" t="s">
        <v>3960</v>
      </c>
      <c r="N1599" s="3">
        <v>999.08</v>
      </c>
      <c r="O1599" s="4">
        <v>0.3</v>
      </c>
      <c r="P1599" t="s">
        <v>1774</v>
      </c>
      <c r="Q1599" s="4">
        <v>1398.712</v>
      </c>
    </row>
    <row r="1600" spans="1:17" x14ac:dyDescent="0.3">
      <c r="A1600" t="s">
        <v>3372</v>
      </c>
      <c r="B1600" t="str">
        <f t="shared" si="24"/>
        <v>Q3</v>
      </c>
      <c r="C1600" t="str">
        <f>TEXT(Table1[[#This Row],[Order_Date]],"mmmm")</f>
        <v>August</v>
      </c>
      <c r="D1600">
        <f>YEAR(Table1[[#This Row],[Order_Date]])</f>
        <v>2025</v>
      </c>
      <c r="E1600" s="7">
        <v>45887</v>
      </c>
      <c r="F1600" s="2" t="str">
        <f>VLOOKUP(Table1[[#This Row],[Customer_ID]],Customer_Dim!$A$2:$H$501,2,FALSE)</f>
        <v>Christopher Garcia Dds</v>
      </c>
      <c r="G1600" s="2" t="str">
        <f>_xlfn.XLOOKUP(Table1[[#This Row],[Customer_ID]],Customer_Dim!$A$2:$A$501,Customer_Dim!$E$2:$E$501)</f>
        <v>New Joseph</v>
      </c>
      <c r="H1600" t="s">
        <v>560</v>
      </c>
      <c r="I1600" t="str">
        <f>VLOOKUP(Table1[[#This Row],[Product_ID]],Product_Dim!$A$2:$G$101,2,FALSE)</f>
        <v>Sports Water Hydration Pack-Sports</v>
      </c>
      <c r="J1600" t="s">
        <v>1599</v>
      </c>
      <c r="K1600" t="str">
        <f>VLOOKUP(Table1[[#This Row],[Store_ID]],Store_Dim!$A$3:$D$22,2,FALSE)</f>
        <v>Holloway Ltd-North</v>
      </c>
      <c r="L1600" t="s">
        <v>1759</v>
      </c>
      <c r="M1600" t="s">
        <v>3958</v>
      </c>
      <c r="N1600" s="3">
        <v>453.19</v>
      </c>
      <c r="O1600" s="4">
        <v>0.08</v>
      </c>
      <c r="P1600" t="s">
        <v>1777</v>
      </c>
      <c r="Q1600" s="4">
        <v>1250.8044</v>
      </c>
    </row>
    <row r="1601" spans="1:17" x14ac:dyDescent="0.3">
      <c r="A1601" t="s">
        <v>3373</v>
      </c>
      <c r="B1601" t="str">
        <f t="shared" si="24"/>
        <v>Q4</v>
      </c>
      <c r="C1601" t="str">
        <f>TEXT(Table1[[#This Row],[Order_Date]],"mmmm")</f>
        <v>October</v>
      </c>
      <c r="D1601">
        <f>YEAR(Table1[[#This Row],[Order_Date]])</f>
        <v>2024</v>
      </c>
      <c r="E1601" s="7">
        <v>45567</v>
      </c>
      <c r="F1601" s="2" t="str">
        <f>VLOOKUP(Table1[[#This Row],[Customer_ID]],Customer_Dim!$A$2:$H$501,2,FALSE)</f>
        <v>Jon Ortiz</v>
      </c>
      <c r="G1601" s="2" t="str">
        <f>_xlfn.XLOOKUP(Table1[[#This Row],[Customer_ID]],Customer_Dim!$A$2:$A$501,Customer_Dim!$E$2:$E$501)</f>
        <v>South Angelaport</v>
      </c>
      <c r="H1601" t="s">
        <v>749</v>
      </c>
      <c r="I1601" t="str">
        <f>VLOOKUP(Table1[[#This Row],[Product_ID]],Product_Dim!$A$2:$G$101,2,FALSE)</f>
        <v>Wall-Mounted Spice Rack-Home</v>
      </c>
      <c r="J1601" t="s">
        <v>1683</v>
      </c>
      <c r="K1601" t="str">
        <f>VLOOKUP(Table1[[#This Row],[Store_ID]],Store_Dim!$A$3:$D$22,2,FALSE)</f>
        <v>Hill, Wagner and Ballard-East</v>
      </c>
      <c r="L1601" t="s">
        <v>1748</v>
      </c>
      <c r="M1601" t="s">
        <v>3960</v>
      </c>
      <c r="N1601" s="3">
        <v>61.31</v>
      </c>
      <c r="O1601" s="4">
        <v>0.15</v>
      </c>
      <c r="P1601" t="s">
        <v>1777</v>
      </c>
      <c r="Q1601" s="4">
        <v>104.227</v>
      </c>
    </row>
    <row r="1602" spans="1:17" x14ac:dyDescent="0.3">
      <c r="A1602" t="s">
        <v>3374</v>
      </c>
      <c r="B1602" t="str">
        <f t="shared" ref="B1602:B1665" si="25">"Q" &amp;ROUNDUP(MONTH(E1602)/3,0)</f>
        <v>Q4</v>
      </c>
      <c r="C1602" t="str">
        <f>TEXT(Table1[[#This Row],[Order_Date]],"mmmm")</f>
        <v>October</v>
      </c>
      <c r="D1602">
        <f>YEAR(Table1[[#This Row],[Order_Date]])</f>
        <v>2023</v>
      </c>
      <c r="E1602" s="7">
        <v>45223</v>
      </c>
      <c r="F1602" s="2" t="str">
        <f>VLOOKUP(Table1[[#This Row],[Customer_ID]],Customer_Dim!$A$2:$H$501,2,FALSE)</f>
        <v>Michelle Cunningham</v>
      </c>
      <c r="G1602" s="2" t="str">
        <f>_xlfn.XLOOKUP(Table1[[#This Row],[Customer_ID]],Customer_Dim!$A$2:$A$501,Customer_Dim!$E$2:$E$501)</f>
        <v>Amandaborough</v>
      </c>
      <c r="H1602" t="s">
        <v>1063</v>
      </c>
      <c r="I1602" t="str">
        <f>VLOOKUP(Table1[[#This Row],[Product_ID]],Product_Dim!$A$2:$G$101,2,FALSE)</f>
        <v>Badminton Racket Set-Sports</v>
      </c>
      <c r="J1602" t="s">
        <v>1685</v>
      </c>
      <c r="K1602" t="str">
        <f>VLOOKUP(Table1[[#This Row],[Store_ID]],Store_Dim!$A$3:$D$22,2,FALSE)</f>
        <v>Hill, Wagner and Ballard-East</v>
      </c>
      <c r="L1602" t="s">
        <v>1748</v>
      </c>
      <c r="M1602" t="s">
        <v>3960</v>
      </c>
      <c r="N1602" s="3">
        <v>870.13</v>
      </c>
      <c r="O1602" s="4">
        <v>0.23</v>
      </c>
      <c r="P1602" t="s">
        <v>1772</v>
      </c>
      <c r="Q1602" s="4">
        <v>1340.0001999999999</v>
      </c>
    </row>
    <row r="1603" spans="1:17" x14ac:dyDescent="0.3">
      <c r="A1603" t="s">
        <v>3375</v>
      </c>
      <c r="B1603" t="str">
        <f t="shared" si="25"/>
        <v>Q1</v>
      </c>
      <c r="C1603" t="str">
        <f>TEXT(Table1[[#This Row],[Order_Date]],"mmmm")</f>
        <v>January</v>
      </c>
      <c r="D1603">
        <f>YEAR(Table1[[#This Row],[Order_Date]])</f>
        <v>2025</v>
      </c>
      <c r="E1603" s="7">
        <v>45664</v>
      </c>
      <c r="F1603" s="2" t="str">
        <f>VLOOKUP(Table1[[#This Row],[Customer_ID]],Customer_Dim!$A$2:$H$501,2,FALSE)</f>
        <v>Amber Mcclain</v>
      </c>
      <c r="G1603" s="2" t="str">
        <f>_xlfn.XLOOKUP(Table1[[#This Row],[Customer_ID]],Customer_Dim!$A$2:$A$501,Customer_Dim!$E$2:$E$501)</f>
        <v>Brendaburgh</v>
      </c>
      <c r="H1603" t="s">
        <v>244</v>
      </c>
      <c r="I1603" t="str">
        <f>VLOOKUP(Table1[[#This Row],[Product_ID]],Product_Dim!$A$2:$G$101,2,FALSE)</f>
        <v>4K Home Projector-Electronics</v>
      </c>
      <c r="J1603" t="s">
        <v>1553</v>
      </c>
      <c r="K1603" t="str">
        <f>VLOOKUP(Table1[[#This Row],[Store_ID]],Store_Dim!$A$3:$D$22,2,FALSE)</f>
        <v>Mann-Austin-East</v>
      </c>
      <c r="L1603" t="s">
        <v>1763</v>
      </c>
      <c r="M1603" t="s">
        <v>3957</v>
      </c>
      <c r="N1603" s="3">
        <v>336.51</v>
      </c>
      <c r="O1603" s="4">
        <v>0.11</v>
      </c>
      <c r="P1603" t="s">
        <v>1774</v>
      </c>
      <c r="Q1603" s="4">
        <v>299.4939</v>
      </c>
    </row>
    <row r="1604" spans="1:17" x14ac:dyDescent="0.3">
      <c r="A1604" t="s">
        <v>3376</v>
      </c>
      <c r="B1604" t="str">
        <f t="shared" si="25"/>
        <v>Q1</v>
      </c>
      <c r="C1604" t="str">
        <f>TEXT(Table1[[#This Row],[Order_Date]],"mmmm")</f>
        <v>January</v>
      </c>
      <c r="D1604">
        <f>YEAR(Table1[[#This Row],[Order_Date]])</f>
        <v>2024</v>
      </c>
      <c r="E1604" s="7">
        <v>45313</v>
      </c>
      <c r="F1604" s="2" t="str">
        <f>VLOOKUP(Table1[[#This Row],[Customer_ID]],Customer_Dim!$A$2:$H$501,2,FALSE)</f>
        <v>Erin Ward</v>
      </c>
      <c r="G1604" s="2" t="str">
        <f>_xlfn.XLOOKUP(Table1[[#This Row],[Customer_ID]],Customer_Dim!$A$2:$A$501,Customer_Dim!$E$2:$E$501)</f>
        <v>New Brianchester</v>
      </c>
      <c r="H1604" t="s">
        <v>592</v>
      </c>
      <c r="I1604" t="str">
        <f>VLOOKUP(Table1[[#This Row],[Product_ID]],Product_Dim!$A$2:$G$101,2,FALSE)</f>
        <v>Smart LED Light Strip-Electronics</v>
      </c>
      <c r="J1604" t="s">
        <v>1657</v>
      </c>
      <c r="K1604" t="str">
        <f>VLOOKUP(Table1[[#This Row],[Store_ID]],Store_Dim!$A$3:$D$22,2,FALSE)</f>
        <v>Rivera-Warner-East</v>
      </c>
      <c r="L1604" t="s">
        <v>1725</v>
      </c>
      <c r="M1604" t="s">
        <v>3957</v>
      </c>
      <c r="N1604" s="3">
        <v>305.70999999999998</v>
      </c>
      <c r="O1604" s="4">
        <v>0.26</v>
      </c>
      <c r="P1604" t="s">
        <v>1777</v>
      </c>
      <c r="Q1604" s="4">
        <v>226.22540000000001</v>
      </c>
    </row>
    <row r="1605" spans="1:17" x14ac:dyDescent="0.3">
      <c r="A1605" t="s">
        <v>3377</v>
      </c>
      <c r="B1605" t="str">
        <f t="shared" si="25"/>
        <v>Q4</v>
      </c>
      <c r="C1605" t="str">
        <f>TEXT(Table1[[#This Row],[Order_Date]],"mmmm")</f>
        <v>October</v>
      </c>
      <c r="D1605">
        <f>YEAR(Table1[[#This Row],[Order_Date]])</f>
        <v>2023</v>
      </c>
      <c r="E1605" s="7">
        <v>45224</v>
      </c>
      <c r="F1605" s="2" t="str">
        <f>VLOOKUP(Table1[[#This Row],[Customer_ID]],Customer_Dim!$A$2:$H$501,2,FALSE)</f>
        <v>Joel Robinson</v>
      </c>
      <c r="G1605" s="2" t="str">
        <f>_xlfn.XLOOKUP(Table1[[#This Row],[Customer_ID]],Customer_Dim!$A$2:$A$501,Customer_Dim!$E$2:$E$501)</f>
        <v>Lake Danielport</v>
      </c>
      <c r="H1605" t="s">
        <v>414</v>
      </c>
      <c r="I1605" t="str">
        <f>VLOOKUP(Table1[[#This Row],[Product_ID]],Product_Dim!$A$2:$G$101,2,FALSE)</f>
        <v>Ceramic Kitchen Bowl Set-Home</v>
      </c>
      <c r="J1605" t="s">
        <v>1543</v>
      </c>
      <c r="K1605" t="str">
        <f>VLOOKUP(Table1[[#This Row],[Store_ID]],Store_Dim!$A$3:$D$22,2,FALSE)</f>
        <v>Guerrero-Schmitt-East</v>
      </c>
      <c r="L1605" t="s">
        <v>1761</v>
      </c>
      <c r="M1605" t="s">
        <v>3960</v>
      </c>
      <c r="N1605" s="3">
        <v>635.39</v>
      </c>
      <c r="O1605" s="4">
        <v>0.28999999999999998</v>
      </c>
      <c r="P1605" t="s">
        <v>1777</v>
      </c>
      <c r="Q1605" s="4">
        <v>902.25379999999996</v>
      </c>
    </row>
    <row r="1606" spans="1:17" x14ac:dyDescent="0.3">
      <c r="A1606" t="s">
        <v>3378</v>
      </c>
      <c r="B1606" t="str">
        <f t="shared" si="25"/>
        <v>Q3</v>
      </c>
      <c r="C1606" t="str">
        <f>TEXT(Table1[[#This Row],[Order_Date]],"mmmm")</f>
        <v>July</v>
      </c>
      <c r="D1606">
        <f>YEAR(Table1[[#This Row],[Order_Date]])</f>
        <v>2024</v>
      </c>
      <c r="E1606" s="7">
        <v>45491</v>
      </c>
      <c r="F1606" s="2" t="str">
        <f>VLOOKUP(Table1[[#This Row],[Customer_ID]],Customer_Dim!$A$2:$H$501,2,FALSE)</f>
        <v>Anthony Phillips</v>
      </c>
      <c r="G1606" s="2" t="str">
        <f>_xlfn.XLOOKUP(Table1[[#This Row],[Customer_ID]],Customer_Dim!$A$2:$A$501,Customer_Dim!$E$2:$E$501)</f>
        <v>North Davidport</v>
      </c>
      <c r="H1606" t="s">
        <v>400</v>
      </c>
      <c r="I1606" t="str">
        <f>VLOOKUP(Table1[[#This Row],[Product_ID]],Product_Dim!$A$2:$G$101,2,FALSE)</f>
        <v>Microwave Oven-Home</v>
      </c>
      <c r="J1606" t="s">
        <v>1707</v>
      </c>
      <c r="K1606" t="str">
        <f>VLOOKUP(Table1[[#This Row],[Store_ID]],Store_Dim!$A$3:$D$22,2,FALSE)</f>
        <v>Mann-Austin-East</v>
      </c>
      <c r="L1606" t="s">
        <v>1763</v>
      </c>
      <c r="M1606" t="s">
        <v>3960</v>
      </c>
      <c r="N1606" s="3">
        <v>253.87</v>
      </c>
      <c r="O1606" s="4">
        <v>0.23</v>
      </c>
      <c r="P1606" t="s">
        <v>1777</v>
      </c>
      <c r="Q1606" s="4">
        <v>390.95979999999997</v>
      </c>
    </row>
    <row r="1607" spans="1:17" x14ac:dyDescent="0.3">
      <c r="A1607" t="s">
        <v>3379</v>
      </c>
      <c r="B1607" t="str">
        <f t="shared" si="25"/>
        <v>Q2</v>
      </c>
      <c r="C1607" t="str">
        <f>TEXT(Table1[[#This Row],[Order_Date]],"mmmm")</f>
        <v>June</v>
      </c>
      <c r="D1607">
        <f>YEAR(Table1[[#This Row],[Order_Date]])</f>
        <v>2024</v>
      </c>
      <c r="E1607" s="7">
        <v>45472</v>
      </c>
      <c r="F1607" s="2" t="str">
        <f>VLOOKUP(Table1[[#This Row],[Customer_ID]],Customer_Dim!$A$2:$H$501,2,FALSE)</f>
        <v>Jessica Castro</v>
      </c>
      <c r="G1607" s="2" t="str">
        <f>_xlfn.XLOOKUP(Table1[[#This Row],[Customer_ID]],Customer_Dim!$A$2:$A$501,Customer_Dim!$E$2:$E$501)</f>
        <v>West Markton</v>
      </c>
      <c r="H1607" t="s">
        <v>1472</v>
      </c>
      <c r="I1607" t="str">
        <f>VLOOKUP(Table1[[#This Row],[Product_ID]],Product_Dim!$A$2:$G$101,2,FALSE)</f>
        <v>Wireless Mouse-Electronics</v>
      </c>
      <c r="J1607" t="s">
        <v>1675</v>
      </c>
      <c r="K1607" t="str">
        <f>VLOOKUP(Table1[[#This Row],[Store_ID]],Store_Dim!$A$3:$D$22,2,FALSE)</f>
        <v>Holloway Ltd-North</v>
      </c>
      <c r="L1607" t="s">
        <v>1759</v>
      </c>
      <c r="M1607" t="s">
        <v>3958</v>
      </c>
      <c r="N1607" s="3">
        <v>915.81</v>
      </c>
      <c r="O1607" s="4">
        <v>0.17</v>
      </c>
      <c r="P1607" t="s">
        <v>1777</v>
      </c>
      <c r="Q1607" s="4">
        <v>2280.3669</v>
      </c>
    </row>
    <row r="1608" spans="1:17" x14ac:dyDescent="0.3">
      <c r="A1608" t="s">
        <v>3380</v>
      </c>
      <c r="B1608" t="str">
        <f t="shared" si="25"/>
        <v>Q2</v>
      </c>
      <c r="C1608" t="str">
        <f>TEXT(Table1[[#This Row],[Order_Date]],"mmmm")</f>
        <v>May</v>
      </c>
      <c r="D1608">
        <f>YEAR(Table1[[#This Row],[Order_Date]])</f>
        <v>2025</v>
      </c>
      <c r="E1608" s="7">
        <v>45795</v>
      </c>
      <c r="F1608" s="2" t="str">
        <f>VLOOKUP(Table1[[#This Row],[Customer_ID]],Customer_Dim!$A$2:$H$501,2,FALSE)</f>
        <v>Joan Johnson</v>
      </c>
      <c r="G1608" s="2" t="str">
        <f>_xlfn.XLOOKUP(Table1[[#This Row],[Customer_ID]],Customer_Dim!$A$2:$A$501,Customer_Dim!$E$2:$E$501)</f>
        <v>Lake Josephport</v>
      </c>
      <c r="H1608" t="s">
        <v>675</v>
      </c>
      <c r="I1608" t="str">
        <f>VLOOKUP(Table1[[#This Row],[Product_ID]],Product_Dim!$A$2:$G$101,2,FALSE)</f>
        <v>Smart Home WiFi Camera-Electronics</v>
      </c>
      <c r="J1608" t="s">
        <v>1607</v>
      </c>
      <c r="K1608" t="str">
        <f>VLOOKUP(Table1[[#This Row],[Store_ID]],Store_Dim!$A$3:$D$22,2,FALSE)</f>
        <v>Bean, Jones and Park-West</v>
      </c>
      <c r="L1608" t="s">
        <v>1744</v>
      </c>
      <c r="M1608" t="s">
        <v>3958</v>
      </c>
      <c r="N1608" s="3">
        <v>779.5</v>
      </c>
      <c r="O1608" s="4">
        <v>0.02</v>
      </c>
      <c r="P1608" t="s">
        <v>1772</v>
      </c>
      <c r="Q1608" s="4">
        <v>2291.73</v>
      </c>
    </row>
    <row r="1609" spans="1:17" x14ac:dyDescent="0.3">
      <c r="A1609" t="s">
        <v>3381</v>
      </c>
      <c r="B1609" t="str">
        <f t="shared" si="25"/>
        <v>Q2</v>
      </c>
      <c r="C1609" t="str">
        <f>TEXT(Table1[[#This Row],[Order_Date]],"mmmm")</f>
        <v>June</v>
      </c>
      <c r="D1609">
        <f>YEAR(Table1[[#This Row],[Order_Date]])</f>
        <v>2024</v>
      </c>
      <c r="E1609" s="7">
        <v>45470</v>
      </c>
      <c r="F1609" s="2" t="str">
        <f>VLOOKUP(Table1[[#This Row],[Customer_ID]],Customer_Dim!$A$2:$H$501,2,FALSE)</f>
        <v>James Foster</v>
      </c>
      <c r="G1609" s="2" t="str">
        <f>_xlfn.XLOOKUP(Table1[[#This Row],[Customer_ID]],Customer_Dim!$A$2:$A$501,Customer_Dim!$E$2:$E$501)</f>
        <v>East Audrey</v>
      </c>
      <c r="H1609" t="s">
        <v>1430</v>
      </c>
      <c r="I1609" t="str">
        <f>VLOOKUP(Table1[[#This Row],[Product_ID]],Product_Dim!$A$2:$G$101,2,FALSE)</f>
        <v>Tennis Ball 3-Pack-Sports</v>
      </c>
      <c r="J1609" t="s">
        <v>1645</v>
      </c>
      <c r="K1609" t="str">
        <f>VLOOKUP(Table1[[#This Row],[Store_ID]],Store_Dim!$A$3:$D$22,2,FALSE)</f>
        <v>Frederick-Wright-West</v>
      </c>
      <c r="L1609" t="s">
        <v>1757</v>
      </c>
      <c r="M1609" t="s">
        <v>3960</v>
      </c>
      <c r="N1609" s="3">
        <v>780.57</v>
      </c>
      <c r="O1609" s="4">
        <v>0.26</v>
      </c>
      <c r="P1609" t="s">
        <v>1772</v>
      </c>
      <c r="Q1609" s="4">
        <v>1155.2436</v>
      </c>
    </row>
    <row r="1610" spans="1:17" x14ac:dyDescent="0.3">
      <c r="A1610" t="s">
        <v>3382</v>
      </c>
      <c r="B1610" t="str">
        <f t="shared" si="25"/>
        <v>Q2</v>
      </c>
      <c r="C1610" t="str">
        <f>TEXT(Table1[[#This Row],[Order_Date]],"mmmm")</f>
        <v>April</v>
      </c>
      <c r="D1610">
        <f>YEAR(Table1[[#This Row],[Order_Date]])</f>
        <v>2024</v>
      </c>
      <c r="E1610" s="7">
        <v>45390</v>
      </c>
      <c r="F1610" s="2" t="str">
        <f>VLOOKUP(Table1[[#This Row],[Customer_ID]],Customer_Dim!$A$2:$H$501,2,FALSE)</f>
        <v>Kristine Higgins</v>
      </c>
      <c r="G1610" s="2" t="str">
        <f>_xlfn.XLOOKUP(Table1[[#This Row],[Customer_ID]],Customer_Dim!$A$2:$A$501,Customer_Dim!$E$2:$E$501)</f>
        <v>Jennifertown</v>
      </c>
      <c r="H1610" t="s">
        <v>1183</v>
      </c>
      <c r="I1610" t="str">
        <f>VLOOKUP(Table1[[#This Row],[Product_ID]],Product_Dim!$A$2:$G$101,2,FALSE)</f>
        <v>Sports Stopwatch Basic-Sports</v>
      </c>
      <c r="J1610" t="s">
        <v>1713</v>
      </c>
      <c r="K1610" t="str">
        <f>VLOOKUP(Table1[[#This Row],[Store_ID]],Store_Dim!$A$3:$D$22,2,FALSE)</f>
        <v>Mann-Austin-East</v>
      </c>
      <c r="L1610" t="s">
        <v>1763</v>
      </c>
      <c r="M1610" t="s">
        <v>3957</v>
      </c>
      <c r="N1610" s="3">
        <v>511.35</v>
      </c>
      <c r="O1610" s="4">
        <v>0.149038961038961</v>
      </c>
      <c r="P1610" t="s">
        <v>1772</v>
      </c>
      <c r="Q1610" s="4">
        <v>511.35</v>
      </c>
    </row>
    <row r="1611" spans="1:17" x14ac:dyDescent="0.3">
      <c r="A1611" t="s">
        <v>3383</v>
      </c>
      <c r="B1611" t="str">
        <f t="shared" si="25"/>
        <v>Q2</v>
      </c>
      <c r="C1611" t="str">
        <f>TEXT(Table1[[#This Row],[Order_Date]],"mmmm")</f>
        <v>May</v>
      </c>
      <c r="D1611">
        <f>YEAR(Table1[[#This Row],[Order_Date]])</f>
        <v>2025</v>
      </c>
      <c r="E1611" s="7">
        <v>45803</v>
      </c>
      <c r="F1611" s="2" t="str">
        <f>VLOOKUP(Table1[[#This Row],[Customer_ID]],Customer_Dim!$A$2:$H$501,2,FALSE)</f>
        <v>John Scott</v>
      </c>
      <c r="G1611" s="2" t="str">
        <f>_xlfn.XLOOKUP(Table1[[#This Row],[Customer_ID]],Customer_Dim!$A$2:$A$501,Customer_Dim!$E$2:$E$501)</f>
        <v>South Christopher</v>
      </c>
      <c r="H1611" t="s">
        <v>75</v>
      </c>
      <c r="I1611" t="str">
        <f>VLOOKUP(Table1[[#This Row],[Product_ID]],Product_Dim!$A$2:$G$101,2,FALSE)</f>
        <v>Cricket Bat-Sports</v>
      </c>
      <c r="J1611" t="s">
        <v>1717</v>
      </c>
      <c r="K1611" t="str">
        <f>VLOOKUP(Table1[[#This Row],[Store_ID]],Store_Dim!$A$3:$D$22,2,FALSE)</f>
        <v>Johnson-Wright-North</v>
      </c>
      <c r="L1611" t="s">
        <v>1733</v>
      </c>
      <c r="M1611" t="s">
        <v>3959</v>
      </c>
      <c r="N1611" s="3">
        <v>44.07</v>
      </c>
      <c r="O1611" s="4">
        <v>0.28999999999999998</v>
      </c>
      <c r="P1611" t="s">
        <v>1777</v>
      </c>
      <c r="Q1611" s="4">
        <v>125.1588</v>
      </c>
    </row>
    <row r="1612" spans="1:17" x14ac:dyDescent="0.3">
      <c r="A1612" t="s">
        <v>3384</v>
      </c>
      <c r="B1612" t="str">
        <f t="shared" si="25"/>
        <v>Q1</v>
      </c>
      <c r="C1612" t="str">
        <f>TEXT(Table1[[#This Row],[Order_Date]],"mmmm")</f>
        <v>January</v>
      </c>
      <c r="D1612">
        <f>YEAR(Table1[[#This Row],[Order_Date]])</f>
        <v>2024</v>
      </c>
      <c r="E1612" s="7">
        <v>45320</v>
      </c>
      <c r="F1612" s="2" t="str">
        <f>VLOOKUP(Table1[[#This Row],[Customer_ID]],Customer_Dim!$A$2:$H$501,2,FALSE)</f>
        <v>Andrea Jacobs</v>
      </c>
      <c r="G1612" s="2" t="str">
        <f>_xlfn.XLOOKUP(Table1[[#This Row],[Customer_ID]],Customer_Dim!$A$2:$A$501,Customer_Dim!$E$2:$E$501)</f>
        <v>Christopherland</v>
      </c>
      <c r="H1612" t="s">
        <v>640</v>
      </c>
      <c r="I1612" t="str">
        <f>VLOOKUP(Table1[[#This Row],[Product_ID]],Product_Dim!$A$2:$G$101,2,FALSE)</f>
        <v>Men's Sports Shorts-Clothing</v>
      </c>
      <c r="J1612" t="s">
        <v>1661</v>
      </c>
      <c r="K1612" t="str">
        <f>VLOOKUP(Table1[[#This Row],[Store_ID]],Store_Dim!$A$3:$D$22,2,FALSE)</f>
        <v>Aguirre-Keller-South</v>
      </c>
      <c r="L1612" t="s">
        <v>1750</v>
      </c>
      <c r="M1612" t="s">
        <v>3960</v>
      </c>
      <c r="N1612" s="3">
        <v>895.92</v>
      </c>
      <c r="O1612" s="4">
        <v>0.15</v>
      </c>
      <c r="P1612" t="s">
        <v>1772</v>
      </c>
      <c r="Q1612" s="4">
        <v>1523.0640000000001</v>
      </c>
    </row>
    <row r="1613" spans="1:17" x14ac:dyDescent="0.3">
      <c r="A1613" t="s">
        <v>3385</v>
      </c>
      <c r="B1613" t="str">
        <f t="shared" si="25"/>
        <v>Q4</v>
      </c>
      <c r="C1613" t="str">
        <f>TEXT(Table1[[#This Row],[Order_Date]],"mmmm")</f>
        <v>November</v>
      </c>
      <c r="D1613">
        <f>YEAR(Table1[[#This Row],[Order_Date]])</f>
        <v>2024</v>
      </c>
      <c r="E1613" s="7">
        <v>45619</v>
      </c>
      <c r="F1613" s="2" t="str">
        <f>VLOOKUP(Table1[[#This Row],[Customer_ID]],Customer_Dim!$A$2:$H$501,2,FALSE)</f>
        <v>Roberta Green</v>
      </c>
      <c r="G1613" s="2" t="str">
        <f>_xlfn.XLOOKUP(Table1[[#This Row],[Customer_ID]],Customer_Dim!$A$2:$A$501,Customer_Dim!$E$2:$E$501)</f>
        <v>West Joseph</v>
      </c>
      <c r="H1613" t="s">
        <v>953</v>
      </c>
      <c r="I1613" t="str">
        <f>VLOOKUP(Table1[[#This Row],[Product_ID]],Product_Dim!$A$2:$G$101,2,FALSE)</f>
        <v>Men's Track Pants-Clothing</v>
      </c>
      <c r="J1613" t="s">
        <v>1629</v>
      </c>
      <c r="K1613" t="str">
        <f>VLOOKUP(Table1[[#This Row],[Store_ID]],Store_Dim!$A$3:$D$22,2,FALSE)</f>
        <v>Black-Horn-South</v>
      </c>
      <c r="L1613" t="s">
        <v>1730</v>
      </c>
      <c r="M1613" t="s">
        <v>3959</v>
      </c>
      <c r="N1613" s="3">
        <v>456.32</v>
      </c>
      <c r="O1613" s="4">
        <v>0.22</v>
      </c>
      <c r="P1613" t="s">
        <v>1777</v>
      </c>
      <c r="Q1613" s="4">
        <v>1423.7184</v>
      </c>
    </row>
    <row r="1614" spans="1:17" x14ac:dyDescent="0.3">
      <c r="A1614" t="s">
        <v>3386</v>
      </c>
      <c r="B1614" t="str">
        <f t="shared" si="25"/>
        <v>Q2</v>
      </c>
      <c r="C1614" t="str">
        <f>TEXT(Table1[[#This Row],[Order_Date]],"mmmm")</f>
        <v>April</v>
      </c>
      <c r="D1614">
        <f>YEAR(Table1[[#This Row],[Order_Date]])</f>
        <v>2025</v>
      </c>
      <c r="E1614" s="7">
        <v>45777</v>
      </c>
      <c r="F1614" s="2" t="str">
        <f>VLOOKUP(Table1[[#This Row],[Customer_ID]],Customer_Dim!$A$2:$H$501,2,FALSE)</f>
        <v>Dr. Tamara White Md</v>
      </c>
      <c r="G1614" s="2" t="str">
        <f>_xlfn.XLOOKUP(Table1[[#This Row],[Customer_ID]],Customer_Dim!$A$2:$A$501,Customer_Dim!$E$2:$E$501)</f>
        <v>New Benjamin</v>
      </c>
      <c r="H1614" t="s">
        <v>1290</v>
      </c>
      <c r="I1614" t="str">
        <f>VLOOKUP(Table1[[#This Row],[Product_ID]],Product_Dim!$A$2:$G$101,2,FALSE)</f>
        <v>Gaming Mechanical Keyboard-Electronics</v>
      </c>
      <c r="J1614" t="s">
        <v>1591</v>
      </c>
      <c r="K1614" t="str">
        <f>VLOOKUP(Table1[[#This Row],[Store_ID]],Store_Dim!$A$3:$D$22,2,FALSE)</f>
        <v>Rivera-Warner-East</v>
      </c>
      <c r="L1614" t="s">
        <v>1725</v>
      </c>
      <c r="M1614" t="s">
        <v>3957</v>
      </c>
      <c r="N1614" s="3">
        <v>905.5</v>
      </c>
      <c r="O1614" s="4">
        <v>0.28999999999999998</v>
      </c>
      <c r="P1614" t="s">
        <v>1777</v>
      </c>
      <c r="Q1614" s="4">
        <v>642.90499999999997</v>
      </c>
    </row>
    <row r="1615" spans="1:17" x14ac:dyDescent="0.3">
      <c r="A1615" t="s">
        <v>3387</v>
      </c>
      <c r="B1615" t="str">
        <f t="shared" si="25"/>
        <v>Q3</v>
      </c>
      <c r="C1615" t="str">
        <f>TEXT(Table1[[#This Row],[Order_Date]],"mmmm")</f>
        <v>August</v>
      </c>
      <c r="D1615">
        <f>YEAR(Table1[[#This Row],[Order_Date]])</f>
        <v>2024</v>
      </c>
      <c r="E1615" s="7">
        <v>45523</v>
      </c>
      <c r="F1615" s="2" t="str">
        <f>VLOOKUP(Table1[[#This Row],[Customer_ID]],Customer_Dim!$A$2:$H$501,2,FALSE)</f>
        <v>Tiffany Herrera</v>
      </c>
      <c r="G1615" s="2" t="str">
        <f>_xlfn.XLOOKUP(Table1[[#This Row],[Customer_ID]],Customer_Dim!$A$2:$A$501,Customer_Dim!$E$2:$E$501)</f>
        <v>New Dianebury</v>
      </c>
      <c r="H1615" t="s">
        <v>660</v>
      </c>
      <c r="I1615" t="str">
        <f>VLOOKUP(Table1[[#This Row],[Product_ID]],Product_Dim!$A$2:$G$101,2,FALSE)</f>
        <v>Beard Grooming Kit-Beauty</v>
      </c>
      <c r="J1615" t="s">
        <v>1555</v>
      </c>
      <c r="K1615" t="str">
        <f>VLOOKUP(Table1[[#This Row],[Store_ID]],Store_Dim!$A$3:$D$22,2,FALSE)</f>
        <v>Gardner, Humphrey and Contreras-East</v>
      </c>
      <c r="L1615" t="s">
        <v>1753</v>
      </c>
      <c r="M1615" t="s">
        <v>3958</v>
      </c>
      <c r="N1615" s="3">
        <v>63.19</v>
      </c>
      <c r="O1615" s="4">
        <v>0.08</v>
      </c>
      <c r="P1615" t="s">
        <v>1772</v>
      </c>
      <c r="Q1615" s="4">
        <v>174.40440000000001</v>
      </c>
    </row>
    <row r="1616" spans="1:17" x14ac:dyDescent="0.3">
      <c r="A1616" t="s">
        <v>3388</v>
      </c>
      <c r="B1616" t="str">
        <f t="shared" si="25"/>
        <v>Q4</v>
      </c>
      <c r="C1616" t="str">
        <f>TEXT(Table1[[#This Row],[Order_Date]],"mmmm")</f>
        <v>December</v>
      </c>
      <c r="D1616">
        <f>YEAR(Table1[[#This Row],[Order_Date]])</f>
        <v>2024</v>
      </c>
      <c r="E1616" s="7">
        <v>45628</v>
      </c>
      <c r="F1616" s="2" t="str">
        <f>VLOOKUP(Table1[[#This Row],[Customer_ID]],Customer_Dim!$A$2:$H$501,2,FALSE)</f>
        <v>Matthew Hunter Jr.</v>
      </c>
      <c r="G1616" s="2" t="str">
        <f>_xlfn.XLOOKUP(Table1[[#This Row],[Customer_ID]],Customer_Dim!$A$2:$A$501,Customer_Dim!$E$2:$E$501)</f>
        <v>Gregoryview</v>
      </c>
      <c r="H1616" t="s">
        <v>188</v>
      </c>
      <c r="I1616" t="str">
        <f>VLOOKUP(Table1[[#This Row],[Product_ID]],Product_Dim!$A$2:$G$101,2,FALSE)</f>
        <v>Kitchen Storage Rack-Home</v>
      </c>
      <c r="J1616" t="s">
        <v>1663</v>
      </c>
      <c r="K1616" t="str">
        <f>VLOOKUP(Table1[[#This Row],[Store_ID]],Store_Dim!$A$3:$D$22,2,FALSE)</f>
        <v>Martinez-Mullins-South</v>
      </c>
      <c r="L1616" t="s">
        <v>1742</v>
      </c>
      <c r="M1616" t="s">
        <v>3958</v>
      </c>
      <c r="N1616" s="3">
        <v>687.66</v>
      </c>
      <c r="O1616" s="4">
        <v>0.06</v>
      </c>
      <c r="P1616" t="s">
        <v>1774</v>
      </c>
      <c r="Q1616" s="4">
        <v>1939.2012</v>
      </c>
    </row>
    <row r="1617" spans="1:17" x14ac:dyDescent="0.3">
      <c r="A1617" t="s">
        <v>3389</v>
      </c>
      <c r="B1617" t="str">
        <f t="shared" si="25"/>
        <v>Q1</v>
      </c>
      <c r="C1617" t="str">
        <f>TEXT(Table1[[#This Row],[Order_Date]],"mmmm")</f>
        <v>March</v>
      </c>
      <c r="D1617">
        <f>YEAR(Table1[[#This Row],[Order_Date]])</f>
        <v>2025</v>
      </c>
      <c r="E1617" s="7">
        <v>45742</v>
      </c>
      <c r="F1617" s="2" t="str">
        <f>VLOOKUP(Table1[[#This Row],[Customer_ID]],Customer_Dim!$A$2:$H$501,2,FALSE)</f>
        <v>Jordan Wells</v>
      </c>
      <c r="G1617" s="2" t="str">
        <f>_xlfn.XLOOKUP(Table1[[#This Row],[Customer_ID]],Customer_Dim!$A$2:$A$501,Customer_Dim!$E$2:$E$501)</f>
        <v xml:space="preserve">Phillipschester   </v>
      </c>
      <c r="H1617" t="s">
        <v>705</v>
      </c>
      <c r="I1617" t="str">
        <f>VLOOKUP(Table1[[#This Row],[Product_ID]],Product_Dim!$A$2:$G$101,2,FALSE)</f>
        <v>USB External Hard Drive-Electronics</v>
      </c>
      <c r="J1617" t="s">
        <v>1609</v>
      </c>
      <c r="K1617" t="str">
        <f>VLOOKUP(Table1[[#This Row],[Store_ID]],Store_Dim!$A$3:$D$22,2,FALSE)</f>
        <v>Moore, Padilla and Butler-South</v>
      </c>
      <c r="L1617" t="s">
        <v>1746</v>
      </c>
      <c r="M1617" t="s">
        <v>3959</v>
      </c>
      <c r="N1617" s="3">
        <v>639.05999999999995</v>
      </c>
      <c r="O1617" s="4">
        <v>0.12</v>
      </c>
      <c r="P1617" t="s">
        <v>1774</v>
      </c>
      <c r="Q1617" s="4">
        <v>2249.4911999999999</v>
      </c>
    </row>
    <row r="1618" spans="1:17" x14ac:dyDescent="0.3">
      <c r="A1618" t="s">
        <v>3390</v>
      </c>
      <c r="B1618" t="str">
        <f t="shared" si="25"/>
        <v>Q2</v>
      </c>
      <c r="C1618" t="str">
        <f>TEXT(Table1[[#This Row],[Order_Date]],"mmmm")</f>
        <v>June</v>
      </c>
      <c r="D1618">
        <f>YEAR(Table1[[#This Row],[Order_Date]])</f>
        <v>2024</v>
      </c>
      <c r="E1618" s="7">
        <v>45456</v>
      </c>
      <c r="F1618" s="2" t="str">
        <f>VLOOKUP(Table1[[#This Row],[Customer_ID]],Customer_Dim!$A$2:$H$501,2,FALSE)</f>
        <v>Amber Mcclain</v>
      </c>
      <c r="G1618" s="2" t="str">
        <f>_xlfn.XLOOKUP(Table1[[#This Row],[Customer_ID]],Customer_Dim!$A$2:$A$501,Customer_Dim!$E$2:$E$501)</f>
        <v>Brendaburgh</v>
      </c>
      <c r="H1618" t="s">
        <v>244</v>
      </c>
      <c r="I1618" t="str">
        <f>VLOOKUP(Table1[[#This Row],[Product_ID]],Product_Dim!$A$2:$G$101,2,FALSE)</f>
        <v>Hair Repair Oil Treatment-Beauty</v>
      </c>
      <c r="J1618" t="s">
        <v>1665</v>
      </c>
      <c r="K1618" t="str">
        <f>VLOOKUP(Table1[[#This Row],[Store_ID]],Store_Dim!$A$3:$D$22,2,FALSE)</f>
        <v>Martinez-Mullins-South</v>
      </c>
      <c r="L1618" t="s">
        <v>1742</v>
      </c>
      <c r="M1618" t="s">
        <v>3957</v>
      </c>
      <c r="N1618" s="3">
        <v>475.15</v>
      </c>
      <c r="O1618" s="4">
        <v>0.04</v>
      </c>
      <c r="P1618" t="s">
        <v>1777</v>
      </c>
      <c r="Q1618" s="4">
        <v>456.14399999999989</v>
      </c>
    </row>
    <row r="1619" spans="1:17" x14ac:dyDescent="0.3">
      <c r="A1619" t="s">
        <v>3391</v>
      </c>
      <c r="B1619" t="str">
        <f t="shared" si="25"/>
        <v>Q3</v>
      </c>
      <c r="C1619" t="str">
        <f>TEXT(Table1[[#This Row],[Order_Date]],"mmmm")</f>
        <v>August</v>
      </c>
      <c r="D1619">
        <f>YEAR(Table1[[#This Row],[Order_Date]])</f>
        <v>2024</v>
      </c>
      <c r="E1619" s="7">
        <v>45534</v>
      </c>
      <c r="F1619" s="2" t="str">
        <f>VLOOKUP(Table1[[#This Row],[Customer_ID]],Customer_Dim!$A$2:$H$501,2,FALSE)</f>
        <v>Christopher Stewart</v>
      </c>
      <c r="G1619" s="2" t="str">
        <f>_xlfn.XLOOKUP(Table1[[#This Row],[Customer_ID]],Customer_Dim!$A$2:$A$501,Customer_Dim!$E$2:$E$501)</f>
        <v>Amandaside</v>
      </c>
      <c r="H1619" t="s">
        <v>619</v>
      </c>
      <c r="I1619" t="str">
        <f>VLOOKUP(Table1[[#This Row],[Product_ID]],Product_Dim!$A$2:$G$101,2,FALSE)</f>
        <v>Adjustable Jump Rope-Sports</v>
      </c>
      <c r="J1619" t="s">
        <v>1611</v>
      </c>
      <c r="K1619" t="str">
        <f>VLOOKUP(Table1[[#This Row],[Store_ID]],Store_Dim!$A$3:$D$22,2,FALSE)</f>
        <v>Benson-Elliott-East</v>
      </c>
      <c r="L1619" t="s">
        <v>1740</v>
      </c>
      <c r="M1619" t="s">
        <v>3957</v>
      </c>
      <c r="N1619" s="3">
        <v>62.38</v>
      </c>
      <c r="O1619" s="4">
        <v>0.08</v>
      </c>
      <c r="P1619" t="s">
        <v>1777</v>
      </c>
      <c r="Q1619" s="4">
        <v>57.389600000000002</v>
      </c>
    </row>
    <row r="1620" spans="1:17" x14ac:dyDescent="0.3">
      <c r="A1620" t="s">
        <v>3392</v>
      </c>
      <c r="B1620" t="str">
        <f t="shared" si="25"/>
        <v>Q1</v>
      </c>
      <c r="C1620" t="str">
        <f>TEXT(Table1[[#This Row],[Order_Date]],"mmmm")</f>
        <v>March</v>
      </c>
      <c r="D1620">
        <f>YEAR(Table1[[#This Row],[Order_Date]])</f>
        <v>2024</v>
      </c>
      <c r="E1620" s="7">
        <v>45375</v>
      </c>
      <c r="F1620" s="2" t="str">
        <f>VLOOKUP(Table1[[#This Row],[Customer_ID]],Customer_Dim!$A$2:$H$501,2,FALSE)</f>
        <v>Ryan Torres</v>
      </c>
      <c r="G1620" s="2" t="str">
        <f>_xlfn.XLOOKUP(Table1[[#This Row],[Customer_ID]],Customer_Dim!$A$2:$A$501,Customer_Dim!$E$2:$E$501)</f>
        <v>Guerreroport</v>
      </c>
      <c r="H1620" t="s">
        <v>1097</v>
      </c>
      <c r="I1620" t="str">
        <f>VLOOKUP(Table1[[#This Row],[Product_ID]],Product_Dim!$A$2:$G$101,2,FALSE)</f>
        <v>4K Home Projector-Electronics</v>
      </c>
      <c r="J1620" t="s">
        <v>1553</v>
      </c>
      <c r="K1620" t="str">
        <f>VLOOKUP(Table1[[#This Row],[Store_ID]],Store_Dim!$A$3:$D$22,2,FALSE)</f>
        <v>Martinez-Mullins-South</v>
      </c>
      <c r="L1620" t="s">
        <v>1742</v>
      </c>
      <c r="M1620" t="s">
        <v>3957</v>
      </c>
      <c r="N1620" s="3">
        <v>977.02</v>
      </c>
      <c r="O1620" s="4">
        <v>0.2</v>
      </c>
      <c r="P1620" t="s">
        <v>1777</v>
      </c>
      <c r="Q1620" s="4">
        <v>781.61599999999999</v>
      </c>
    </row>
    <row r="1621" spans="1:17" x14ac:dyDescent="0.3">
      <c r="A1621" t="s">
        <v>3393</v>
      </c>
      <c r="B1621" t="str">
        <f t="shared" si="25"/>
        <v>Q3</v>
      </c>
      <c r="C1621" t="str">
        <f>TEXT(Table1[[#This Row],[Order_Date]],"mmmm")</f>
        <v>September</v>
      </c>
      <c r="D1621">
        <f>YEAR(Table1[[#This Row],[Order_Date]])</f>
        <v>2024</v>
      </c>
      <c r="E1621" s="7">
        <v>45546</v>
      </c>
      <c r="F1621" s="2" t="str">
        <f>VLOOKUP(Table1[[#This Row],[Customer_ID]],Customer_Dim!$A$2:$H$501,2,FALSE)</f>
        <v>John Mayer</v>
      </c>
      <c r="G1621" s="2" t="str">
        <f>_xlfn.XLOOKUP(Table1[[#This Row],[Customer_ID]],Customer_Dim!$A$2:$A$501,Customer_Dim!$E$2:$E$501)</f>
        <v>Longport</v>
      </c>
      <c r="H1621" t="s">
        <v>268</v>
      </c>
      <c r="I1621" t="str">
        <f>VLOOKUP(Table1[[#This Row],[Product_ID]],Product_Dim!$A$2:$G$101,2,FALSE)</f>
        <v>Hydrating Face Cleanser-Beauty</v>
      </c>
      <c r="J1621" t="s">
        <v>1689</v>
      </c>
      <c r="K1621" t="str">
        <f>VLOOKUP(Table1[[#This Row],[Store_ID]],Store_Dim!$A$3:$D$22,2,FALSE)</f>
        <v>Alexander Group-South</v>
      </c>
      <c r="L1621" t="s">
        <v>1735</v>
      </c>
      <c r="M1621" t="s">
        <v>3960</v>
      </c>
      <c r="N1621" s="3">
        <v>898.81</v>
      </c>
      <c r="O1621" s="4">
        <v>0.25</v>
      </c>
      <c r="P1621" t="s">
        <v>1772</v>
      </c>
      <c r="Q1621" s="4">
        <v>1348.2149999999999</v>
      </c>
    </row>
    <row r="1622" spans="1:17" x14ac:dyDescent="0.3">
      <c r="A1622" t="s">
        <v>3394</v>
      </c>
      <c r="B1622" t="str">
        <f t="shared" si="25"/>
        <v>Q2</v>
      </c>
      <c r="C1622" t="str">
        <f>TEXT(Table1[[#This Row],[Order_Date]],"mmmm")</f>
        <v>April</v>
      </c>
      <c r="D1622">
        <f>YEAR(Table1[[#This Row],[Order_Date]])</f>
        <v>2025</v>
      </c>
      <c r="E1622" s="7">
        <v>45769</v>
      </c>
      <c r="F1622" s="2" t="str">
        <f>VLOOKUP(Table1[[#This Row],[Customer_ID]],Customer_Dim!$A$2:$H$501,2,FALSE)</f>
        <v>Jeffrey Mccarthy</v>
      </c>
      <c r="G1622" s="2" t="str">
        <f>_xlfn.XLOOKUP(Table1[[#This Row],[Customer_ID]],Customer_Dim!$A$2:$A$501,Customer_Dim!$E$2:$E$501)</f>
        <v>North Samuel</v>
      </c>
      <c r="H1622" t="s">
        <v>1089</v>
      </c>
      <c r="I1622" t="str">
        <f>VLOOKUP(Table1[[#This Row],[Product_ID]],Product_Dim!$A$2:$G$101,2,FALSE)</f>
        <v>Foam Roller-Sports</v>
      </c>
      <c r="J1622" t="s">
        <v>1637</v>
      </c>
      <c r="K1622" t="str">
        <f>VLOOKUP(Table1[[#This Row],[Store_ID]],Store_Dim!$A$3:$D$22,2,FALSE)</f>
        <v>Johnson-Wright-North</v>
      </c>
      <c r="L1622" t="s">
        <v>1733</v>
      </c>
      <c r="M1622" t="s">
        <v>3960</v>
      </c>
      <c r="N1622" s="3">
        <v>422.13</v>
      </c>
      <c r="O1622" s="4">
        <v>0.28000000000000003</v>
      </c>
      <c r="P1622" t="s">
        <v>1772</v>
      </c>
      <c r="Q1622" s="4">
        <v>607.86720000000003</v>
      </c>
    </row>
    <row r="1623" spans="1:17" x14ac:dyDescent="0.3">
      <c r="A1623" t="s">
        <v>3395</v>
      </c>
      <c r="B1623" t="str">
        <f t="shared" si="25"/>
        <v>Q3</v>
      </c>
      <c r="C1623" t="str">
        <f>TEXT(Table1[[#This Row],[Order_Date]],"mmmm")</f>
        <v>August</v>
      </c>
      <c r="D1623">
        <f>YEAR(Table1[[#This Row],[Order_Date]])</f>
        <v>2024</v>
      </c>
      <c r="E1623" s="7">
        <v>45524</v>
      </c>
      <c r="F1623" s="2" t="str">
        <f>VLOOKUP(Table1[[#This Row],[Customer_ID]],Customer_Dim!$A$2:$H$501,2,FALSE)</f>
        <v>Matthew Hunter Jr.</v>
      </c>
      <c r="G1623" s="2" t="str">
        <f>_xlfn.XLOOKUP(Table1[[#This Row],[Customer_ID]],Customer_Dim!$A$2:$A$501,Customer_Dim!$E$2:$E$501)</f>
        <v>Gregoryview</v>
      </c>
      <c r="H1623" t="s">
        <v>188</v>
      </c>
      <c r="I1623" t="str">
        <f>VLOOKUP(Table1[[#This Row],[Product_ID]],Product_Dim!$A$2:$G$101,2,FALSE)</f>
        <v>Gaming Mechanical Keyboard-Electronics</v>
      </c>
      <c r="J1623" t="s">
        <v>1591</v>
      </c>
      <c r="K1623" t="str">
        <f>VLOOKUP(Table1[[#This Row],[Store_ID]],Store_Dim!$A$3:$D$22,2,FALSE)</f>
        <v>Aguirre-Keller-South</v>
      </c>
      <c r="L1623" t="s">
        <v>1750</v>
      </c>
      <c r="M1623" t="s">
        <v>3957</v>
      </c>
      <c r="N1623" s="3">
        <v>324.56</v>
      </c>
      <c r="O1623" s="4">
        <v>0.03</v>
      </c>
      <c r="P1623" t="s">
        <v>1777</v>
      </c>
      <c r="Q1623" s="4">
        <v>314.82319999999999</v>
      </c>
    </row>
    <row r="1624" spans="1:17" x14ac:dyDescent="0.3">
      <c r="A1624" t="s">
        <v>3396</v>
      </c>
      <c r="B1624" t="str">
        <f t="shared" si="25"/>
        <v>Q3</v>
      </c>
      <c r="C1624" t="str">
        <f>TEXT(Table1[[#This Row],[Order_Date]],"mmmm")</f>
        <v>August</v>
      </c>
      <c r="D1624">
        <f>YEAR(Table1[[#This Row],[Order_Date]])</f>
        <v>2024</v>
      </c>
      <c r="E1624" s="7">
        <v>45531</v>
      </c>
      <c r="F1624" s="2" t="str">
        <f>VLOOKUP(Table1[[#This Row],[Customer_ID]],Customer_Dim!$A$2:$H$501,2,FALSE)</f>
        <v>Gregory Curtis</v>
      </c>
      <c r="G1624" s="2" t="str">
        <f>_xlfn.XLOOKUP(Table1[[#This Row],[Customer_ID]],Customer_Dim!$A$2:$A$501,Customer_Dim!$E$2:$E$501)</f>
        <v>Bergermouth</v>
      </c>
      <c r="H1624" t="s">
        <v>1427</v>
      </c>
      <c r="I1624" t="str">
        <f>VLOOKUP(Table1[[#This Row],[Product_ID]],Product_Dim!$A$2:$G$101,2,FALSE)</f>
        <v>Ceramic Plant Pot-Home</v>
      </c>
      <c r="J1624" t="s">
        <v>1633</v>
      </c>
      <c r="K1624" t="str">
        <f>VLOOKUP(Table1[[#This Row],[Store_ID]],Store_Dim!$A$3:$D$22,2,FALSE)</f>
        <v>Frederick-Wright-West</v>
      </c>
      <c r="L1624" t="s">
        <v>1757</v>
      </c>
      <c r="M1624" t="s">
        <v>3959</v>
      </c>
      <c r="N1624" s="3">
        <v>570.38</v>
      </c>
      <c r="O1624" s="4">
        <v>0.26</v>
      </c>
      <c r="P1624" t="s">
        <v>1774</v>
      </c>
      <c r="Q1624" s="4">
        <v>1688.3248000000001</v>
      </c>
    </row>
    <row r="1625" spans="1:17" x14ac:dyDescent="0.3">
      <c r="A1625" t="s">
        <v>3397</v>
      </c>
      <c r="B1625" t="str">
        <f t="shared" si="25"/>
        <v>Q3</v>
      </c>
      <c r="C1625" t="str">
        <f>TEXT(Table1[[#This Row],[Order_Date]],"mmmm")</f>
        <v>July</v>
      </c>
      <c r="D1625">
        <f>YEAR(Table1[[#This Row],[Order_Date]])</f>
        <v>2024</v>
      </c>
      <c r="E1625" s="7">
        <v>45479</v>
      </c>
      <c r="F1625" s="2" t="str">
        <f>VLOOKUP(Table1[[#This Row],[Customer_ID]],Customer_Dim!$A$2:$H$501,2,FALSE)</f>
        <v>Alejandro Evans</v>
      </c>
      <c r="G1625" s="2" t="str">
        <f>_xlfn.XLOOKUP(Table1[[#This Row],[Customer_ID]],Customer_Dim!$A$2:$A$501,Customer_Dim!$E$2:$E$501)</f>
        <v>Cannonberg</v>
      </c>
      <c r="H1625" t="s">
        <v>1216</v>
      </c>
      <c r="I1625" t="str">
        <f>VLOOKUP(Table1[[#This Row],[Product_ID]],Product_Dim!$A$2:$G$101,2,FALSE)</f>
        <v>Gaming Mechanical Keyboard-Electronics</v>
      </c>
      <c r="J1625" t="s">
        <v>1591</v>
      </c>
      <c r="K1625" t="str">
        <f>VLOOKUP(Table1[[#This Row],[Store_ID]],Store_Dim!$A$3:$D$22,2,FALSE)</f>
        <v>Shelton PLC-North</v>
      </c>
      <c r="L1625" t="s">
        <v>1755</v>
      </c>
      <c r="M1625" t="s">
        <v>3960</v>
      </c>
      <c r="N1625" s="3">
        <v>223.73</v>
      </c>
      <c r="O1625" s="4">
        <v>0.11</v>
      </c>
      <c r="P1625" t="s">
        <v>1774</v>
      </c>
      <c r="Q1625" s="4">
        <v>398.23939999999999</v>
      </c>
    </row>
    <row r="1626" spans="1:17" x14ac:dyDescent="0.3">
      <c r="A1626" t="s">
        <v>3398</v>
      </c>
      <c r="B1626" t="str">
        <f t="shared" si="25"/>
        <v>Q3</v>
      </c>
      <c r="C1626" t="str">
        <f>TEXT(Table1[[#This Row],[Order_Date]],"mmmm")</f>
        <v>July</v>
      </c>
      <c r="D1626">
        <f>YEAR(Table1[[#This Row],[Order_Date]])</f>
        <v>2025</v>
      </c>
      <c r="E1626" s="7">
        <v>45868</v>
      </c>
      <c r="F1626" s="2" t="str">
        <f>VLOOKUP(Table1[[#This Row],[Customer_ID]],Customer_Dim!$A$2:$H$501,2,FALSE)</f>
        <v>Jeffrey Mccarthy</v>
      </c>
      <c r="G1626" s="2" t="str">
        <f>_xlfn.XLOOKUP(Table1[[#This Row],[Customer_ID]],Customer_Dim!$A$2:$A$501,Customer_Dim!$E$2:$E$501)</f>
        <v>North Samuel</v>
      </c>
      <c r="H1626" t="s">
        <v>1089</v>
      </c>
      <c r="I1626" t="str">
        <f>VLOOKUP(Table1[[#This Row],[Product_ID]],Product_Dim!$A$2:$G$101,2,FALSE)</f>
        <v>Kitchen Cutting Board-Home</v>
      </c>
      <c r="J1626" t="s">
        <v>1695</v>
      </c>
      <c r="K1626" t="str">
        <f>VLOOKUP(Table1[[#This Row],[Store_ID]],Store_Dim!$A$3:$D$22,2,FALSE)</f>
        <v>Frederick-Wright-West</v>
      </c>
      <c r="L1626" t="s">
        <v>1757</v>
      </c>
      <c r="M1626" t="s">
        <v>3959</v>
      </c>
      <c r="N1626" s="3">
        <v>164.93</v>
      </c>
      <c r="O1626" s="4">
        <v>0.11</v>
      </c>
      <c r="P1626" t="s">
        <v>1772</v>
      </c>
      <c r="Q1626" s="4">
        <v>587.1508</v>
      </c>
    </row>
    <row r="1627" spans="1:17" x14ac:dyDescent="0.3">
      <c r="A1627" t="s">
        <v>3399</v>
      </c>
      <c r="B1627" t="str">
        <f t="shared" si="25"/>
        <v>Q4</v>
      </c>
      <c r="C1627" t="str">
        <f>TEXT(Table1[[#This Row],[Order_Date]],"mmmm")</f>
        <v>October</v>
      </c>
      <c r="D1627">
        <f>YEAR(Table1[[#This Row],[Order_Date]])</f>
        <v>2024</v>
      </c>
      <c r="E1627" s="7">
        <v>45569</v>
      </c>
      <c r="F1627" s="2" t="str">
        <f>VLOOKUP(Table1[[#This Row],[Customer_ID]],Customer_Dim!$A$2:$H$501,2,FALSE)</f>
        <v>Lauren George</v>
      </c>
      <c r="G1627" s="2" t="str">
        <f>_xlfn.XLOOKUP(Table1[[#This Row],[Customer_ID]],Customer_Dim!$A$2:$A$501,Customer_Dim!$E$2:$E$501)</f>
        <v>Garciamouth</v>
      </c>
      <c r="H1627" t="s">
        <v>791</v>
      </c>
      <c r="I1627" t="str">
        <f>VLOOKUP(Table1[[#This Row],[Product_ID]],Product_Dim!$A$2:$G$101,2,FALSE)</f>
        <v>4K Home Projector-Electronics</v>
      </c>
      <c r="J1627" t="s">
        <v>1553</v>
      </c>
      <c r="K1627" t="str">
        <f>VLOOKUP(Table1[[#This Row],[Store_ID]],Store_Dim!$A$3:$D$22,2,FALSE)</f>
        <v>Martinez-Mullins-South</v>
      </c>
      <c r="L1627" t="s">
        <v>1742</v>
      </c>
      <c r="M1627" t="s">
        <v>3958</v>
      </c>
      <c r="N1627" s="3">
        <v>326.66000000000003</v>
      </c>
      <c r="O1627" s="4">
        <v>0.28000000000000003</v>
      </c>
      <c r="P1627" t="s">
        <v>1777</v>
      </c>
      <c r="Q1627" s="4">
        <v>705.5856</v>
      </c>
    </row>
    <row r="1628" spans="1:17" x14ac:dyDescent="0.3">
      <c r="A1628" t="s">
        <v>3400</v>
      </c>
      <c r="B1628" t="str">
        <f t="shared" si="25"/>
        <v>Q1</v>
      </c>
      <c r="C1628" t="str">
        <f>TEXT(Table1[[#This Row],[Order_Date]],"mmmm")</f>
        <v>March</v>
      </c>
      <c r="D1628">
        <f>YEAR(Table1[[#This Row],[Order_Date]])</f>
        <v>2024</v>
      </c>
      <c r="E1628" s="7">
        <v>45382</v>
      </c>
      <c r="F1628" s="2" t="str">
        <f>VLOOKUP(Table1[[#This Row],[Customer_ID]],Customer_Dim!$A$2:$H$501,2,FALSE)</f>
        <v>Melissa Hamilton</v>
      </c>
      <c r="G1628" s="2" t="str">
        <f>_xlfn.XLOOKUP(Table1[[#This Row],[Customer_ID]],Customer_Dim!$A$2:$A$501,Customer_Dim!$E$2:$E$501)</f>
        <v>Hutchinsonville</v>
      </c>
      <c r="H1628" t="s">
        <v>595</v>
      </c>
      <c r="I1628" t="str">
        <f>VLOOKUP(Table1[[#This Row],[Product_ID]],Product_Dim!$A$2:$G$101,2,FALSE)</f>
        <v>Men's Graphic T-Shirt-Clothing</v>
      </c>
      <c r="J1628" t="s">
        <v>1525</v>
      </c>
      <c r="K1628" t="str">
        <f>VLOOKUP(Table1[[#This Row],[Store_ID]],Store_Dim!$A$3:$D$22,2,FALSE)</f>
        <v>Shelton PLC-North</v>
      </c>
      <c r="L1628" t="s">
        <v>1755</v>
      </c>
      <c r="M1628" t="s">
        <v>3960</v>
      </c>
      <c r="N1628" s="3">
        <v>462.93</v>
      </c>
      <c r="O1628" s="4">
        <v>0.17</v>
      </c>
      <c r="P1628" t="s">
        <v>1774</v>
      </c>
      <c r="Q1628" s="4">
        <v>768.46379999999999</v>
      </c>
    </row>
    <row r="1629" spans="1:17" x14ac:dyDescent="0.3">
      <c r="A1629" t="s">
        <v>3401</v>
      </c>
      <c r="B1629" t="str">
        <f t="shared" si="25"/>
        <v>Q3</v>
      </c>
      <c r="C1629" t="str">
        <f>TEXT(Table1[[#This Row],[Order_Date]],"mmmm")</f>
        <v>August</v>
      </c>
      <c r="D1629">
        <f>YEAR(Table1[[#This Row],[Order_Date]])</f>
        <v>2025</v>
      </c>
      <c r="E1629" s="7">
        <v>45885</v>
      </c>
      <c r="F1629" s="2" t="str">
        <f>VLOOKUP(Table1[[#This Row],[Customer_ID]],Customer_Dim!$A$2:$H$501,2,FALSE)</f>
        <v>Rhonda Young</v>
      </c>
      <c r="G1629" s="2" t="str">
        <f>_xlfn.XLOOKUP(Table1[[#This Row],[Customer_ID]],Customer_Dim!$A$2:$A$501,Customer_Dim!$E$2:$E$501)</f>
        <v>Lake Nathanfort</v>
      </c>
      <c r="H1629" t="s">
        <v>491</v>
      </c>
      <c r="I1629" t="str">
        <f>VLOOKUP(Table1[[#This Row],[Product_ID]],Product_Dim!$A$2:$G$101,2,FALSE)</f>
        <v>Brother Laser Printer-Electronics</v>
      </c>
      <c r="J1629" t="s">
        <v>1523</v>
      </c>
      <c r="K1629" t="str">
        <f>VLOOKUP(Table1[[#This Row],[Store_ID]],Store_Dim!$A$3:$D$22,2,FALSE)</f>
        <v>Frederick-Wright-West</v>
      </c>
      <c r="L1629" t="s">
        <v>1757</v>
      </c>
      <c r="M1629" t="s">
        <v>3958</v>
      </c>
      <c r="N1629" s="3">
        <v>60.26</v>
      </c>
      <c r="O1629" s="4">
        <v>0.04</v>
      </c>
      <c r="P1629" t="s">
        <v>1772</v>
      </c>
      <c r="Q1629" s="4">
        <v>173.5488</v>
      </c>
    </row>
    <row r="1630" spans="1:17" x14ac:dyDescent="0.3">
      <c r="A1630" t="s">
        <v>3402</v>
      </c>
      <c r="B1630" t="str">
        <f t="shared" si="25"/>
        <v>Q2</v>
      </c>
      <c r="C1630" t="str">
        <f>TEXT(Table1[[#This Row],[Order_Date]],"mmmm")</f>
        <v>June</v>
      </c>
      <c r="D1630">
        <f>YEAR(Table1[[#This Row],[Order_Date]])</f>
        <v>2025</v>
      </c>
      <c r="E1630" s="7">
        <v>45829</v>
      </c>
      <c r="F1630" s="2" t="str">
        <f>VLOOKUP(Table1[[#This Row],[Customer_ID]],Customer_Dim!$A$2:$H$501,2,FALSE)</f>
        <v>Andrea Perez</v>
      </c>
      <c r="G1630" s="2" t="str">
        <f>_xlfn.XLOOKUP(Table1[[#This Row],[Customer_ID]],Customer_Dim!$A$2:$A$501,Customer_Dim!$E$2:$E$501)</f>
        <v>South Shaun</v>
      </c>
      <c r="H1630" t="s">
        <v>258</v>
      </c>
      <c r="I1630" t="str">
        <f>VLOOKUP(Table1[[#This Row],[Product_ID]],Product_Dim!$A$2:$G$101,2,FALSE)</f>
        <v>Gaming Mechanical Keyboard-Electronics</v>
      </c>
      <c r="J1630" t="s">
        <v>1591</v>
      </c>
      <c r="K1630" t="str">
        <f>VLOOKUP(Table1[[#This Row],[Store_ID]],Store_Dim!$A$3:$D$22,2,FALSE)</f>
        <v>Moore, Padilla and Butler-South</v>
      </c>
      <c r="L1630" t="s">
        <v>1746</v>
      </c>
      <c r="M1630" t="s">
        <v>3958</v>
      </c>
      <c r="N1630" s="3">
        <v>109.5</v>
      </c>
      <c r="O1630" s="4">
        <v>0.06</v>
      </c>
      <c r="P1630" t="s">
        <v>1777</v>
      </c>
      <c r="Q1630" s="4">
        <v>308.79000000000002</v>
      </c>
    </row>
    <row r="1631" spans="1:17" x14ac:dyDescent="0.3">
      <c r="A1631" t="s">
        <v>3403</v>
      </c>
      <c r="B1631" t="str">
        <f t="shared" si="25"/>
        <v>Q1</v>
      </c>
      <c r="C1631" t="str">
        <f>TEXT(Table1[[#This Row],[Order_Date]],"mmmm")</f>
        <v>March</v>
      </c>
      <c r="D1631">
        <f>YEAR(Table1[[#This Row],[Order_Date]])</f>
        <v>2025</v>
      </c>
      <c r="E1631" s="7">
        <v>45721</v>
      </c>
      <c r="F1631" s="2" t="str">
        <f>VLOOKUP(Table1[[#This Row],[Customer_ID]],Customer_Dim!$A$2:$H$501,2,FALSE)</f>
        <v>Martha Brown</v>
      </c>
      <c r="G1631" s="2" t="str">
        <f>_xlfn.XLOOKUP(Table1[[#This Row],[Customer_ID]],Customer_Dim!$A$2:$A$501,Customer_Dim!$E$2:$E$501)</f>
        <v>Novakstad</v>
      </c>
      <c r="H1631" t="s">
        <v>1180</v>
      </c>
      <c r="I1631" t="str">
        <f>VLOOKUP(Table1[[#This Row],[Product_ID]],Product_Dim!$A$2:$G$101,2,FALSE)</f>
        <v>Kitchen Storage Rack-Home</v>
      </c>
      <c r="J1631" t="s">
        <v>1663</v>
      </c>
      <c r="K1631" t="str">
        <f>VLOOKUP(Table1[[#This Row],[Store_ID]],Store_Dim!$A$3:$D$22,2,FALSE)</f>
        <v>Frederick-Wright-West</v>
      </c>
      <c r="L1631" t="s">
        <v>1757</v>
      </c>
      <c r="M1631" t="s">
        <v>3957</v>
      </c>
      <c r="N1631" s="3">
        <v>505.83</v>
      </c>
      <c r="O1631" s="4">
        <v>0.14000000000000001</v>
      </c>
      <c r="P1631" t="s">
        <v>1777</v>
      </c>
      <c r="Q1631" s="4">
        <v>435.0138</v>
      </c>
    </row>
    <row r="1632" spans="1:17" x14ac:dyDescent="0.3">
      <c r="A1632" t="s">
        <v>3404</v>
      </c>
      <c r="B1632" t="str">
        <f t="shared" si="25"/>
        <v>Q3</v>
      </c>
      <c r="C1632" t="str">
        <f>TEXT(Table1[[#This Row],[Order_Date]],"mmmm")</f>
        <v>August</v>
      </c>
      <c r="D1632">
        <f>YEAR(Table1[[#This Row],[Order_Date]])</f>
        <v>2024</v>
      </c>
      <c r="E1632" s="7">
        <v>45511</v>
      </c>
      <c r="F1632" s="2" t="str">
        <f>VLOOKUP(Table1[[#This Row],[Customer_ID]],Customer_Dim!$A$2:$H$501,2,FALSE)</f>
        <v>Joseph Jones</v>
      </c>
      <c r="G1632" s="2" t="str">
        <f>_xlfn.XLOOKUP(Table1[[#This Row],[Customer_ID]],Customer_Dim!$A$2:$A$501,Customer_Dim!$E$2:$E$501)</f>
        <v>North Matthew</v>
      </c>
      <c r="H1632" t="s">
        <v>539</v>
      </c>
      <c r="I1632" t="str">
        <f>VLOOKUP(Table1[[#This Row],[Product_ID]],Product_Dim!$A$2:$G$101,2,FALSE)</f>
        <v>Portable Bluetooth Speaker-Electronics</v>
      </c>
      <c r="J1632" t="s">
        <v>1719</v>
      </c>
      <c r="K1632" t="str">
        <f>VLOOKUP(Table1[[#This Row],[Store_ID]],Store_Dim!$A$3:$D$22,2,FALSE)</f>
        <v>Hill, Wagner and Ballard-East</v>
      </c>
      <c r="L1632" t="s">
        <v>1748</v>
      </c>
      <c r="M1632" t="s">
        <v>3960</v>
      </c>
      <c r="N1632" s="3">
        <v>443.15</v>
      </c>
      <c r="O1632" s="4">
        <v>0.27</v>
      </c>
      <c r="P1632" t="s">
        <v>1774</v>
      </c>
      <c r="Q1632" s="4">
        <v>646.99899999999991</v>
      </c>
    </row>
    <row r="1633" spans="1:17" x14ac:dyDescent="0.3">
      <c r="A1633" t="s">
        <v>3405</v>
      </c>
      <c r="B1633" t="str">
        <f t="shared" si="25"/>
        <v>Q1</v>
      </c>
      <c r="C1633" t="str">
        <f>TEXT(Table1[[#This Row],[Order_Date]],"mmmm")</f>
        <v>March</v>
      </c>
      <c r="D1633">
        <f>YEAR(Table1[[#This Row],[Order_Date]])</f>
        <v>2025</v>
      </c>
      <c r="E1633" s="7">
        <v>45739</v>
      </c>
      <c r="F1633" s="2" t="str">
        <f>VLOOKUP(Table1[[#This Row],[Customer_ID]],Customer_Dim!$A$2:$H$501,2,FALSE)</f>
        <v>Sarah Marsh</v>
      </c>
      <c r="G1633" s="2" t="str">
        <f>_xlfn.XLOOKUP(Table1[[#This Row],[Customer_ID]],Customer_Dim!$A$2:$A$501,Customer_Dim!$E$2:$E$501)</f>
        <v>Port William</v>
      </c>
      <c r="H1633" t="s">
        <v>1510</v>
      </c>
      <c r="I1633" t="str">
        <f>VLOOKUP(Table1[[#This Row],[Product_ID]],Product_Dim!$A$2:$G$101,2,FALSE)</f>
        <v>LED Table Lamp-Home</v>
      </c>
      <c r="J1633" t="s">
        <v>1537</v>
      </c>
      <c r="K1633" t="str">
        <f>VLOOKUP(Table1[[#This Row],[Store_ID]],Store_Dim!$A$3:$D$22,2,FALSE)</f>
        <v>Martinez-Mullins-South</v>
      </c>
      <c r="L1633" t="s">
        <v>1742</v>
      </c>
      <c r="M1633" t="s">
        <v>3960</v>
      </c>
      <c r="N1633" s="3">
        <v>784.26</v>
      </c>
      <c r="O1633" s="4">
        <v>0.23</v>
      </c>
      <c r="P1633" t="s">
        <v>1774</v>
      </c>
      <c r="Q1633" s="4">
        <v>1207.7603999999999</v>
      </c>
    </row>
    <row r="1634" spans="1:17" x14ac:dyDescent="0.3">
      <c r="A1634" t="s">
        <v>3406</v>
      </c>
      <c r="B1634" t="str">
        <f t="shared" si="25"/>
        <v>Q3</v>
      </c>
      <c r="C1634" t="str">
        <f>TEXT(Table1[[#This Row],[Order_Date]],"mmmm")</f>
        <v>August</v>
      </c>
      <c r="D1634">
        <f>YEAR(Table1[[#This Row],[Order_Date]])</f>
        <v>2024</v>
      </c>
      <c r="E1634" s="7">
        <v>45533</v>
      </c>
      <c r="F1634" s="2" t="str">
        <f>VLOOKUP(Table1[[#This Row],[Customer_ID]],Customer_Dim!$A$2:$H$501,2,FALSE)</f>
        <v>Tyler Weber</v>
      </c>
      <c r="G1634" s="2" t="str">
        <f>_xlfn.XLOOKUP(Table1[[#This Row],[Customer_ID]],Customer_Dim!$A$2:$A$501,Customer_Dim!$E$2:$E$501)</f>
        <v>East Yvette</v>
      </c>
      <c r="H1634" t="s">
        <v>1389</v>
      </c>
      <c r="I1634" t="str">
        <f>VLOOKUP(Table1[[#This Row],[Product_ID]],Product_Dim!$A$2:$G$101,2,FALSE)</f>
        <v>Portable Power Bank-Electronics</v>
      </c>
      <c r="J1634" t="s">
        <v>1601</v>
      </c>
      <c r="K1634" t="str">
        <f>VLOOKUP(Table1[[#This Row],[Store_ID]],Store_Dim!$A$3:$D$22,2,FALSE)</f>
        <v>Aguirre-Keller-South</v>
      </c>
      <c r="L1634" t="s">
        <v>1750</v>
      </c>
      <c r="M1634" t="s">
        <v>3958</v>
      </c>
      <c r="N1634" s="3">
        <v>590.30999999999995</v>
      </c>
      <c r="O1634" s="4">
        <v>0.17</v>
      </c>
      <c r="P1634" t="s">
        <v>1774</v>
      </c>
      <c r="Q1634" s="4">
        <v>1469.8719000000001</v>
      </c>
    </row>
    <row r="1635" spans="1:17" x14ac:dyDescent="0.3">
      <c r="A1635" t="s">
        <v>3407</v>
      </c>
      <c r="B1635" t="str">
        <f t="shared" si="25"/>
        <v>Q3</v>
      </c>
      <c r="C1635" t="str">
        <f>TEXT(Table1[[#This Row],[Order_Date]],"mmmm")</f>
        <v>September</v>
      </c>
      <c r="D1635">
        <f>YEAR(Table1[[#This Row],[Order_Date]])</f>
        <v>2024</v>
      </c>
      <c r="E1635" s="7">
        <v>45553</v>
      </c>
      <c r="F1635" s="2" t="str">
        <f>VLOOKUP(Table1[[#This Row],[Customer_ID]],Customer_Dim!$A$2:$H$501,2,FALSE)</f>
        <v>Jacob Hopkins</v>
      </c>
      <c r="G1635" s="2" t="str">
        <f>_xlfn.XLOOKUP(Table1[[#This Row],[Customer_ID]],Customer_Dim!$A$2:$A$501,Customer_Dim!$E$2:$E$501)</f>
        <v>lake tylerfort</v>
      </c>
      <c r="H1635" t="s">
        <v>412</v>
      </c>
      <c r="I1635" t="str">
        <f>VLOOKUP(Table1[[#This Row],[Product_ID]],Product_Dim!$A$2:$G$101,2,FALSE)</f>
        <v>Men's Sports Shorts-Clothing</v>
      </c>
      <c r="J1635" t="s">
        <v>1661</v>
      </c>
      <c r="K1635" t="str">
        <f>VLOOKUP(Table1[[#This Row],[Store_ID]],Store_Dim!$A$3:$D$22,2,FALSE)</f>
        <v>Frederick-Wright-West</v>
      </c>
      <c r="L1635" t="s">
        <v>1757</v>
      </c>
      <c r="M1635" t="s">
        <v>3957</v>
      </c>
      <c r="N1635" s="3">
        <v>696.13</v>
      </c>
      <c r="O1635" s="4">
        <v>0.06</v>
      </c>
      <c r="P1635" t="s">
        <v>1777</v>
      </c>
      <c r="Q1635" s="4">
        <v>654.36219999999992</v>
      </c>
    </row>
    <row r="1636" spans="1:17" x14ac:dyDescent="0.3">
      <c r="A1636" t="s">
        <v>3408</v>
      </c>
      <c r="B1636" t="str">
        <f t="shared" si="25"/>
        <v>Q1</v>
      </c>
      <c r="C1636" t="str">
        <f>TEXT(Table1[[#This Row],[Order_Date]],"mmmm")</f>
        <v>February</v>
      </c>
      <c r="D1636">
        <f>YEAR(Table1[[#This Row],[Order_Date]])</f>
        <v>2024</v>
      </c>
      <c r="E1636" s="7">
        <v>45341</v>
      </c>
      <c r="F1636" s="2" t="str">
        <f>VLOOKUP(Table1[[#This Row],[Customer_ID]],Customer_Dim!$A$2:$H$501,2,FALSE)</f>
        <v>Christopher Lester</v>
      </c>
      <c r="G1636" s="2" t="str">
        <f>_xlfn.XLOOKUP(Table1[[#This Row],[Customer_ID]],Customer_Dim!$A$2:$A$501,Customer_Dim!$E$2:$E$501)</f>
        <v>South Jenniferville</v>
      </c>
      <c r="H1636" t="s">
        <v>364</v>
      </c>
      <c r="I1636" t="str">
        <f>VLOOKUP(Table1[[#This Row],[Product_ID]],Product_Dim!$A$2:$G$101,2,FALSE)</f>
        <v>HDMI Cable – 2m-Electronics</v>
      </c>
      <c r="J1636" t="s">
        <v>1625</v>
      </c>
      <c r="K1636" t="str">
        <f>VLOOKUP(Table1[[#This Row],[Store_ID]],Store_Dim!$A$3:$D$22,2,FALSE)</f>
        <v>Benson-Elliott-East</v>
      </c>
      <c r="L1636" t="s">
        <v>1740</v>
      </c>
      <c r="M1636" t="s">
        <v>3959</v>
      </c>
      <c r="N1636" s="3">
        <v>194.39</v>
      </c>
      <c r="O1636" s="4">
        <v>0.25</v>
      </c>
      <c r="P1636" t="s">
        <v>1772</v>
      </c>
      <c r="Q1636" s="4">
        <v>583.16999999999996</v>
      </c>
    </row>
    <row r="1637" spans="1:17" x14ac:dyDescent="0.3">
      <c r="A1637" t="s">
        <v>3409</v>
      </c>
      <c r="B1637" t="str">
        <f t="shared" si="25"/>
        <v>Q2</v>
      </c>
      <c r="C1637" t="str">
        <f>TEXT(Table1[[#This Row],[Order_Date]],"mmmm")</f>
        <v>May</v>
      </c>
      <c r="D1637">
        <f>YEAR(Table1[[#This Row],[Order_Date]])</f>
        <v>2024</v>
      </c>
      <c r="E1637" s="7">
        <v>45430</v>
      </c>
      <c r="F1637" s="2" t="str">
        <f>VLOOKUP(Table1[[#This Row],[Customer_ID]],Customer_Dim!$A$2:$H$501,2,FALSE)</f>
        <v>Pamela Mcguire</v>
      </c>
      <c r="G1637" s="2" t="str">
        <f>_xlfn.XLOOKUP(Table1[[#This Row],[Customer_ID]],Customer_Dim!$A$2:$A$501,Customer_Dim!$E$2:$E$501)</f>
        <v>South Jasontown</v>
      </c>
      <c r="H1637" t="s">
        <v>1027</v>
      </c>
      <c r="I1637" t="str">
        <f>VLOOKUP(Table1[[#This Row],[Product_ID]],Product_Dim!$A$2:$G$101,2,FALSE)</f>
        <v>Modern Wall Clock-Home</v>
      </c>
      <c r="J1637" t="s">
        <v>1589</v>
      </c>
      <c r="K1637" t="str">
        <f>VLOOKUP(Table1[[#This Row],[Store_ID]],Store_Dim!$A$3:$D$22,2,FALSE)</f>
        <v>Martinez, Adkins and Johnson-North</v>
      </c>
      <c r="L1637" t="s">
        <v>1728</v>
      </c>
      <c r="M1637" t="s">
        <v>3957</v>
      </c>
      <c r="N1637" s="3">
        <v>339.7</v>
      </c>
      <c r="O1637" s="4">
        <v>0.1</v>
      </c>
      <c r="P1637" t="s">
        <v>1772</v>
      </c>
      <c r="Q1637" s="4">
        <v>305.73</v>
      </c>
    </row>
    <row r="1638" spans="1:17" x14ac:dyDescent="0.3">
      <c r="A1638" t="s">
        <v>3410</v>
      </c>
      <c r="B1638" t="str">
        <f t="shared" si="25"/>
        <v>Q3</v>
      </c>
      <c r="C1638" t="str">
        <f>TEXT(Table1[[#This Row],[Order_Date]],"mmmm")</f>
        <v>September</v>
      </c>
      <c r="D1638">
        <f>YEAR(Table1[[#This Row],[Order_Date]])</f>
        <v>2025</v>
      </c>
      <c r="E1638" s="7">
        <v>45912</v>
      </c>
      <c r="F1638" s="2" t="str">
        <f>VLOOKUP(Table1[[#This Row],[Customer_ID]],Customer_Dim!$A$2:$H$501,2,FALSE)</f>
        <v>April Mullins</v>
      </c>
      <c r="G1638" s="2" t="str">
        <f>_xlfn.XLOOKUP(Table1[[#This Row],[Customer_ID]],Customer_Dim!$A$2:$A$501,Customer_Dim!$E$2:$E$501)</f>
        <v>Dawsonbury</v>
      </c>
      <c r="H1638" t="s">
        <v>182</v>
      </c>
      <c r="I1638" t="str">
        <f>VLOOKUP(Table1[[#This Row],[Product_ID]],Product_Dim!$A$2:$G$101,2,FALSE)</f>
        <v>Wooden Nightstand-Home</v>
      </c>
      <c r="J1638" t="s">
        <v>1659</v>
      </c>
      <c r="K1638" t="str">
        <f>VLOOKUP(Table1[[#This Row],[Store_ID]],Store_Dim!$A$3:$D$22,2,FALSE)</f>
        <v>Gardner, Humphrey and Contreras-East</v>
      </c>
      <c r="L1638" t="s">
        <v>1753</v>
      </c>
      <c r="M1638" t="s">
        <v>3959</v>
      </c>
      <c r="N1638" s="3">
        <v>463.16</v>
      </c>
      <c r="O1638" s="4">
        <v>0.27</v>
      </c>
      <c r="P1638" t="s">
        <v>1774</v>
      </c>
      <c r="Q1638" s="4">
        <v>1352.4272000000001</v>
      </c>
    </row>
    <row r="1639" spans="1:17" x14ac:dyDescent="0.3">
      <c r="A1639" t="s">
        <v>3411</v>
      </c>
      <c r="B1639" t="str">
        <f t="shared" si="25"/>
        <v>Q1</v>
      </c>
      <c r="C1639" t="str">
        <f>TEXT(Table1[[#This Row],[Order_Date]],"mmmm")</f>
        <v>February</v>
      </c>
      <c r="D1639">
        <f>YEAR(Table1[[#This Row],[Order_Date]])</f>
        <v>2025</v>
      </c>
      <c r="E1639" s="7">
        <v>45709</v>
      </c>
      <c r="F1639" s="2" t="str">
        <f>VLOOKUP(Table1[[#This Row],[Customer_ID]],Customer_Dim!$A$2:$H$501,2,FALSE)</f>
        <v>Erica Carney</v>
      </c>
      <c r="G1639" s="2" t="str">
        <f>_xlfn.XLOOKUP(Table1[[#This Row],[Customer_ID]],Customer_Dim!$A$2:$A$501,Customer_Dim!$E$2:$E$501)</f>
        <v>North Justin</v>
      </c>
      <c r="H1639" t="s">
        <v>373</v>
      </c>
      <c r="I1639" t="str">
        <f>VLOOKUP(Table1[[#This Row],[Product_ID]],Product_Dim!$A$2:$G$101,2,FALSE)</f>
        <v>Men's Leather Belt-Clothing</v>
      </c>
      <c r="J1639" t="s">
        <v>1533</v>
      </c>
      <c r="K1639" t="str">
        <f>VLOOKUP(Table1[[#This Row],[Store_ID]],Store_Dim!$A$3:$D$22,2,FALSE)</f>
        <v>Hill, Wagner and Ballard-East</v>
      </c>
      <c r="L1639" t="s">
        <v>1748</v>
      </c>
      <c r="M1639" t="s">
        <v>3960</v>
      </c>
      <c r="N1639" s="3">
        <v>824.91</v>
      </c>
      <c r="O1639" s="4">
        <v>0.09</v>
      </c>
      <c r="P1639" t="s">
        <v>1772</v>
      </c>
      <c r="Q1639" s="4">
        <v>1501.3362</v>
      </c>
    </row>
    <row r="1640" spans="1:17" x14ac:dyDescent="0.3">
      <c r="A1640" t="s">
        <v>3412</v>
      </c>
      <c r="B1640" t="str">
        <f t="shared" si="25"/>
        <v>Q3</v>
      </c>
      <c r="C1640" t="str">
        <f>TEXT(Table1[[#This Row],[Order_Date]],"mmmm")</f>
        <v>August</v>
      </c>
      <c r="D1640">
        <f>YEAR(Table1[[#This Row],[Order_Date]])</f>
        <v>2024</v>
      </c>
      <c r="E1640" s="7">
        <v>45520</v>
      </c>
      <c r="F1640" s="2" t="str">
        <f>VLOOKUP(Table1[[#This Row],[Customer_ID]],Customer_Dim!$A$2:$H$501,2,FALSE)</f>
        <v>Eric Singh</v>
      </c>
      <c r="G1640" s="2" t="str">
        <f>_xlfn.XLOOKUP(Table1[[#This Row],[Customer_ID]],Customer_Dim!$A$2:$A$501,Customer_Dim!$E$2:$E$501)</f>
        <v>Port Lisa</v>
      </c>
      <c r="H1640" t="s">
        <v>255</v>
      </c>
      <c r="I1640" t="str">
        <f>VLOOKUP(Table1[[#This Row],[Product_ID]],Product_Dim!$A$2:$G$101,2,FALSE)</f>
        <v>Men's Leather Belt-Clothing</v>
      </c>
      <c r="J1640" t="s">
        <v>1533</v>
      </c>
      <c r="K1640" t="str">
        <f>VLOOKUP(Table1[[#This Row],[Store_ID]],Store_Dim!$A$3:$D$22,2,FALSE)</f>
        <v>Black-Horn-South</v>
      </c>
      <c r="L1640" t="s">
        <v>1730</v>
      </c>
      <c r="M1640" t="s">
        <v>3959</v>
      </c>
      <c r="N1640" s="3">
        <v>796.89</v>
      </c>
      <c r="O1640" s="4">
        <v>0.17</v>
      </c>
      <c r="P1640" t="s">
        <v>1772</v>
      </c>
      <c r="Q1640" s="4">
        <v>2645.6747999999998</v>
      </c>
    </row>
    <row r="1641" spans="1:17" x14ac:dyDescent="0.3">
      <c r="A1641" t="s">
        <v>3413</v>
      </c>
      <c r="B1641" t="str">
        <f t="shared" si="25"/>
        <v>Q3</v>
      </c>
      <c r="C1641" t="str">
        <f>TEXT(Table1[[#This Row],[Order_Date]],"mmmm")</f>
        <v>July</v>
      </c>
      <c r="D1641">
        <f>YEAR(Table1[[#This Row],[Order_Date]])</f>
        <v>2024</v>
      </c>
      <c r="E1641" s="7">
        <v>45478</v>
      </c>
      <c r="F1641" s="2" t="str">
        <f>VLOOKUP(Table1[[#This Row],[Customer_ID]],Customer_Dim!$A$2:$H$501,2,FALSE)</f>
        <v>William Hull</v>
      </c>
      <c r="G1641" s="2" t="str">
        <f>_xlfn.XLOOKUP(Table1[[#This Row],[Customer_ID]],Customer_Dim!$A$2:$A$501,Customer_Dim!$E$2:$E$501)</f>
        <v>Heathfort</v>
      </c>
      <c r="H1641" t="s">
        <v>764</v>
      </c>
      <c r="I1641" t="str">
        <f>VLOOKUP(Table1[[#This Row],[Product_ID]],Product_Dim!$A$2:$G$101,2,FALSE)</f>
        <v>Wireless Bluetooth Speaker-Electronics</v>
      </c>
      <c r="J1641" t="s">
        <v>1575</v>
      </c>
      <c r="K1641" t="str">
        <f>VLOOKUP(Table1[[#This Row],[Store_ID]],Store_Dim!$A$3:$D$22,2,FALSE)</f>
        <v>Holloway Ltd-North</v>
      </c>
      <c r="L1641" t="s">
        <v>1759</v>
      </c>
      <c r="M1641" t="s">
        <v>3958</v>
      </c>
      <c r="N1641" s="3">
        <v>543.92999999999995</v>
      </c>
      <c r="O1641" s="4">
        <v>0.3</v>
      </c>
      <c r="P1641" t="s">
        <v>1777</v>
      </c>
      <c r="Q1641" s="4">
        <v>1142.2529999999999</v>
      </c>
    </row>
    <row r="1642" spans="1:17" x14ac:dyDescent="0.3">
      <c r="A1642" t="s">
        <v>3414</v>
      </c>
      <c r="B1642" t="str">
        <f t="shared" si="25"/>
        <v>Q3</v>
      </c>
      <c r="C1642" t="str">
        <f>TEXT(Table1[[#This Row],[Order_Date]],"mmmm")</f>
        <v>July</v>
      </c>
      <c r="D1642">
        <f>YEAR(Table1[[#This Row],[Order_Date]])</f>
        <v>2024</v>
      </c>
      <c r="E1642" s="7">
        <v>45496</v>
      </c>
      <c r="F1642" s="2" t="str">
        <f>VLOOKUP(Table1[[#This Row],[Customer_ID]],Customer_Dim!$A$2:$H$501,2,FALSE)</f>
        <v>Teresa Stokes</v>
      </c>
      <c r="G1642" s="2" t="str">
        <f>_xlfn.XLOOKUP(Table1[[#This Row],[Customer_ID]],Customer_Dim!$A$2:$A$501,Customer_Dim!$E$2:$E$501)</f>
        <v>New William</v>
      </c>
      <c r="H1642" t="s">
        <v>568</v>
      </c>
      <c r="I1642" t="str">
        <f>VLOOKUP(Table1[[#This Row],[Product_ID]],Product_Dim!$A$2:$G$101,2,FALSE)</f>
        <v>Decorative Wall Mirror-Home</v>
      </c>
      <c r="J1642" t="s">
        <v>1551</v>
      </c>
      <c r="K1642" t="str">
        <f>VLOOKUP(Table1[[#This Row],[Store_ID]],Store_Dim!$A$3:$D$22,2,FALSE)</f>
        <v>Martinez-Mullins-South</v>
      </c>
      <c r="L1642" t="s">
        <v>1742</v>
      </c>
      <c r="M1642" t="s">
        <v>3960</v>
      </c>
      <c r="N1642" s="3">
        <v>44.65</v>
      </c>
      <c r="O1642" s="4">
        <v>0.03</v>
      </c>
      <c r="P1642" t="s">
        <v>1774</v>
      </c>
      <c r="Q1642" s="4">
        <v>86.620999999999995</v>
      </c>
    </row>
    <row r="1643" spans="1:17" x14ac:dyDescent="0.3">
      <c r="A1643" t="s">
        <v>3415</v>
      </c>
      <c r="B1643" t="str">
        <f t="shared" si="25"/>
        <v>Q1</v>
      </c>
      <c r="C1643" t="str">
        <f>TEXT(Table1[[#This Row],[Order_Date]],"mmmm")</f>
        <v>March</v>
      </c>
      <c r="D1643">
        <f>YEAR(Table1[[#This Row],[Order_Date]])</f>
        <v>2025</v>
      </c>
      <c r="E1643" s="7">
        <v>45742</v>
      </c>
      <c r="F1643" s="2" t="str">
        <f>VLOOKUP(Table1[[#This Row],[Customer_ID]],Customer_Dim!$A$2:$H$501,2,FALSE)</f>
        <v>Veronica Newman</v>
      </c>
      <c r="G1643" s="2" t="str">
        <f>_xlfn.XLOOKUP(Table1[[#This Row],[Customer_ID]],Customer_Dim!$A$2:$A$501,Customer_Dim!$E$2:$E$501)</f>
        <v>New Daniel</v>
      </c>
      <c r="H1643" t="s">
        <v>794</v>
      </c>
      <c r="I1643" t="str">
        <f>VLOOKUP(Table1[[#This Row],[Product_ID]],Product_Dim!$A$2:$G$101,2,FALSE)</f>
        <v>Premium Blanket Throw-Home</v>
      </c>
      <c r="J1643" t="s">
        <v>1635</v>
      </c>
      <c r="K1643" t="str">
        <f>VLOOKUP(Table1[[#This Row],[Store_ID]],Store_Dim!$A$3:$D$22,2,FALSE)</f>
        <v>Rivera-Warner-East</v>
      </c>
      <c r="L1643" t="s">
        <v>1725</v>
      </c>
      <c r="M1643" t="s">
        <v>3959</v>
      </c>
      <c r="N1643" s="3">
        <v>827.39</v>
      </c>
      <c r="O1643" s="4">
        <v>0.06</v>
      </c>
      <c r="P1643" t="s">
        <v>1777</v>
      </c>
      <c r="Q1643" s="4">
        <v>3110.9863999999998</v>
      </c>
    </row>
    <row r="1644" spans="1:17" x14ac:dyDescent="0.3">
      <c r="A1644" t="s">
        <v>3416</v>
      </c>
      <c r="B1644" t="str">
        <f t="shared" si="25"/>
        <v>Q1</v>
      </c>
      <c r="C1644" t="str">
        <f>TEXT(Table1[[#This Row],[Order_Date]],"mmmm")</f>
        <v>January</v>
      </c>
      <c r="D1644">
        <f>YEAR(Table1[[#This Row],[Order_Date]])</f>
        <v>2024</v>
      </c>
      <c r="E1644" s="7">
        <v>45301</v>
      </c>
      <c r="F1644" s="2" t="str">
        <f>VLOOKUP(Table1[[#This Row],[Customer_ID]],Customer_Dim!$A$2:$H$501,2,FALSE)</f>
        <v>Jennifer Zamora</v>
      </c>
      <c r="G1644" s="2" t="str">
        <f>_xlfn.XLOOKUP(Table1[[#This Row],[Customer_ID]],Customer_Dim!$A$2:$A$501,Customer_Dim!$E$2:$E$501)</f>
        <v>Sarahland</v>
      </c>
      <c r="H1644" t="s">
        <v>962</v>
      </c>
      <c r="I1644" t="str">
        <f>VLOOKUP(Table1[[#This Row],[Product_ID]],Product_Dim!$A$2:$G$101,2,FALSE)</f>
        <v>Decorative Wall Mirror-Home</v>
      </c>
      <c r="J1644" t="s">
        <v>1551</v>
      </c>
      <c r="K1644" t="str">
        <f>VLOOKUP(Table1[[#This Row],[Store_ID]],Store_Dim!$A$3:$D$22,2,FALSE)</f>
        <v>Thomas, Bridges and Harris-North</v>
      </c>
      <c r="L1644" t="s">
        <v>1751</v>
      </c>
      <c r="M1644" t="s">
        <v>3960</v>
      </c>
      <c r="N1644" s="3">
        <v>403.2</v>
      </c>
      <c r="O1644" s="4">
        <v>0.21</v>
      </c>
      <c r="P1644" t="s">
        <v>1774</v>
      </c>
      <c r="Q1644" s="4">
        <v>637.05600000000004</v>
      </c>
    </row>
    <row r="1645" spans="1:17" x14ac:dyDescent="0.3">
      <c r="A1645" t="s">
        <v>3417</v>
      </c>
      <c r="B1645" t="str">
        <f t="shared" si="25"/>
        <v>Q3</v>
      </c>
      <c r="C1645" t="str">
        <f>TEXT(Table1[[#This Row],[Order_Date]],"mmmm")</f>
        <v>September</v>
      </c>
      <c r="D1645">
        <f>YEAR(Table1[[#This Row],[Order_Date]])</f>
        <v>2024</v>
      </c>
      <c r="E1645" s="7">
        <v>45547</v>
      </c>
      <c r="F1645" s="2" t="str">
        <f>VLOOKUP(Table1[[#This Row],[Customer_ID]],Customer_Dim!$A$2:$H$501,2,FALSE)</f>
        <v>Adam Cruz</v>
      </c>
      <c r="G1645" s="2" t="str">
        <f>_xlfn.XLOOKUP(Table1[[#This Row],[Customer_ID]],Customer_Dim!$A$2:$A$501,Customer_Dim!$E$2:$E$501)</f>
        <v>Brandonville</v>
      </c>
      <c r="H1645" t="s">
        <v>78</v>
      </c>
      <c r="I1645" t="str">
        <f>VLOOKUP(Table1[[#This Row],[Product_ID]],Product_Dim!$A$2:$G$101,2,FALSE)</f>
        <v>Kitchen Cutting Board-Home</v>
      </c>
      <c r="J1645" t="s">
        <v>1695</v>
      </c>
      <c r="K1645" t="str">
        <f>VLOOKUP(Table1[[#This Row],[Store_ID]],Store_Dim!$A$3:$D$22,2,FALSE)</f>
        <v>Gardner, Humphrey and Contreras-East</v>
      </c>
      <c r="L1645" t="s">
        <v>1753</v>
      </c>
      <c r="M1645" t="s">
        <v>3959</v>
      </c>
      <c r="N1645" s="3">
        <v>292.31</v>
      </c>
      <c r="O1645" s="4">
        <v>0.27</v>
      </c>
      <c r="P1645" t="s">
        <v>1774</v>
      </c>
      <c r="Q1645" s="4">
        <v>853.54520000000002</v>
      </c>
    </row>
    <row r="1646" spans="1:17" x14ac:dyDescent="0.3">
      <c r="A1646" t="s">
        <v>3418</v>
      </c>
      <c r="B1646" t="str">
        <f t="shared" si="25"/>
        <v>Q2</v>
      </c>
      <c r="C1646" t="str">
        <f>TEXT(Table1[[#This Row],[Order_Date]],"mmmm")</f>
        <v>May</v>
      </c>
      <c r="D1646">
        <f>YEAR(Table1[[#This Row],[Order_Date]])</f>
        <v>2025</v>
      </c>
      <c r="E1646" s="7">
        <v>45806</v>
      </c>
      <c r="F1646" s="2" t="str">
        <f>VLOOKUP(Table1[[#This Row],[Customer_ID]],Customer_Dim!$A$2:$H$501,2,FALSE)</f>
        <v>Darrell Miller</v>
      </c>
      <c r="G1646" s="2" t="str">
        <f>_xlfn.XLOOKUP(Table1[[#This Row],[Customer_ID]],Customer_Dim!$A$2:$A$501,Customer_Dim!$E$2:$E$501)</f>
        <v>Port Carol</v>
      </c>
      <c r="H1646" t="s">
        <v>1496</v>
      </c>
      <c r="I1646" t="str">
        <f>VLOOKUP(Table1[[#This Row],[Product_ID]],Product_Dim!$A$2:$G$101,2,FALSE)</f>
        <v>Women's Casual Hoodie-Clothing</v>
      </c>
      <c r="J1646" t="s">
        <v>1527</v>
      </c>
      <c r="K1646" t="str">
        <f>VLOOKUP(Table1[[#This Row],[Store_ID]],Store_Dim!$A$3:$D$22,2,FALSE)</f>
        <v>Hill, Wagner and Ballard-East</v>
      </c>
      <c r="L1646" t="s">
        <v>1748</v>
      </c>
      <c r="M1646" t="s">
        <v>3957</v>
      </c>
      <c r="N1646" s="3">
        <v>948.33</v>
      </c>
      <c r="O1646" s="4">
        <v>0.11</v>
      </c>
      <c r="P1646" t="s">
        <v>1772</v>
      </c>
      <c r="Q1646" s="4">
        <v>844.01370000000009</v>
      </c>
    </row>
    <row r="1647" spans="1:17" x14ac:dyDescent="0.3">
      <c r="A1647" t="s">
        <v>3419</v>
      </c>
      <c r="B1647" t="str">
        <f t="shared" si="25"/>
        <v>Q1</v>
      </c>
      <c r="C1647" t="str">
        <f>TEXT(Table1[[#This Row],[Order_Date]],"mmmm")</f>
        <v>January</v>
      </c>
      <c r="D1647">
        <f>YEAR(Table1[[#This Row],[Order_Date]])</f>
        <v>2024</v>
      </c>
      <c r="E1647" s="7">
        <v>45294</v>
      </c>
      <c r="F1647" s="2" t="str">
        <f>VLOOKUP(Table1[[#This Row],[Customer_ID]],Customer_Dim!$A$2:$H$501,2,FALSE)</f>
        <v>Ryan Moore</v>
      </c>
      <c r="G1647" s="2" t="str">
        <f>_xlfn.XLOOKUP(Table1[[#This Row],[Customer_ID]],Customer_Dim!$A$2:$A$501,Customer_Dim!$E$2:$E$501)</f>
        <v>Cartershire</v>
      </c>
      <c r="H1647" t="s">
        <v>1066</v>
      </c>
      <c r="I1647" t="str">
        <f>VLOOKUP(Table1[[#This Row],[Product_ID]],Product_Dim!$A$2:$G$101,2,FALSE)</f>
        <v>Portable Power Bank-Electronics</v>
      </c>
      <c r="J1647" t="s">
        <v>1601</v>
      </c>
      <c r="K1647" t="str">
        <f>VLOOKUP(Table1[[#This Row],[Store_ID]],Store_Dim!$A$3:$D$22,2,FALSE)</f>
        <v>Gray Ltd-North</v>
      </c>
      <c r="L1647" t="s">
        <v>1738</v>
      </c>
      <c r="M1647" t="s">
        <v>3957</v>
      </c>
      <c r="N1647" s="3">
        <v>702.27</v>
      </c>
      <c r="O1647" s="4">
        <v>0.17</v>
      </c>
      <c r="P1647" t="s">
        <v>1777</v>
      </c>
      <c r="Q1647" s="4">
        <v>582.88409999999999</v>
      </c>
    </row>
    <row r="1648" spans="1:17" x14ac:dyDescent="0.3">
      <c r="A1648" t="s">
        <v>3420</v>
      </c>
      <c r="B1648" t="str">
        <f t="shared" si="25"/>
        <v>Q3</v>
      </c>
      <c r="C1648" t="str">
        <f>TEXT(Table1[[#This Row],[Order_Date]],"mmmm")</f>
        <v>August</v>
      </c>
      <c r="D1648">
        <f>YEAR(Table1[[#This Row],[Order_Date]])</f>
        <v>2025</v>
      </c>
      <c r="E1648" s="7">
        <v>45875</v>
      </c>
      <c r="F1648" s="2" t="str">
        <f>VLOOKUP(Table1[[#This Row],[Customer_ID]],Customer_Dim!$A$2:$H$501,2,FALSE)</f>
        <v>James Gibbs</v>
      </c>
      <c r="G1648" s="2" t="str">
        <f>_xlfn.XLOOKUP(Table1[[#This Row],[Customer_ID]],Customer_Dim!$A$2:$A$501,Customer_Dim!$E$2:$E$501)</f>
        <v>Mooneyshire</v>
      </c>
      <c r="H1648" t="s">
        <v>159</v>
      </c>
      <c r="I1648" t="str">
        <f>VLOOKUP(Table1[[#This Row],[Product_ID]],Product_Dim!$A$2:$G$101,2,FALSE)</f>
        <v>Stainless Steel Cutlery Set-Home</v>
      </c>
      <c r="J1648" t="s">
        <v>1583</v>
      </c>
      <c r="K1648" t="str">
        <f>VLOOKUP(Table1[[#This Row],[Store_ID]],Store_Dim!$A$3:$D$22,2,FALSE)</f>
        <v>Johnson-Wright-North</v>
      </c>
      <c r="L1648" t="s">
        <v>1733</v>
      </c>
      <c r="M1648" t="s">
        <v>3960</v>
      </c>
      <c r="N1648" s="3">
        <v>379.28</v>
      </c>
      <c r="O1648" s="4">
        <v>0.26</v>
      </c>
      <c r="P1648" t="s">
        <v>1772</v>
      </c>
      <c r="Q1648" s="4">
        <v>561.33439999999996</v>
      </c>
    </row>
    <row r="1649" spans="1:17" x14ac:dyDescent="0.3">
      <c r="A1649" t="s">
        <v>3421</v>
      </c>
      <c r="B1649" t="str">
        <f t="shared" si="25"/>
        <v>Q1</v>
      </c>
      <c r="C1649" t="str">
        <f>TEXT(Table1[[#This Row],[Order_Date]],"mmmm")</f>
        <v>January</v>
      </c>
      <c r="D1649">
        <f>YEAR(Table1[[#This Row],[Order_Date]])</f>
        <v>2025</v>
      </c>
      <c r="E1649" s="7">
        <v>45669</v>
      </c>
      <c r="F1649" s="2" t="str">
        <f>VLOOKUP(Table1[[#This Row],[Customer_ID]],Customer_Dim!$A$2:$H$501,2,FALSE)</f>
        <v>Miguel Reynolds</v>
      </c>
      <c r="G1649" s="2" t="str">
        <f>_xlfn.XLOOKUP(Table1[[#This Row],[Customer_ID]],Customer_Dim!$A$2:$A$501,Customer_Dim!$E$2:$E$501)</f>
        <v>Taylorberg</v>
      </c>
      <c r="H1649" t="s">
        <v>447</v>
      </c>
      <c r="I1649" t="str">
        <f>VLOOKUP(Table1[[#This Row],[Product_ID]],Product_Dim!$A$2:$G$101,2,FALSE)</f>
        <v>Makeup Brush Set-Beauty</v>
      </c>
      <c r="J1649" t="s">
        <v>1617</v>
      </c>
      <c r="K1649" t="str">
        <f>VLOOKUP(Table1[[#This Row],[Store_ID]],Store_Dim!$A$3:$D$22,2,FALSE)</f>
        <v>Rivera-Warner-East</v>
      </c>
      <c r="L1649" t="s">
        <v>1725</v>
      </c>
      <c r="M1649" t="s">
        <v>3959</v>
      </c>
      <c r="N1649" s="3">
        <v>92.35</v>
      </c>
      <c r="O1649" s="4">
        <v>0.15</v>
      </c>
      <c r="P1649" t="s">
        <v>1772</v>
      </c>
      <c r="Q1649" s="4">
        <v>313.99</v>
      </c>
    </row>
    <row r="1650" spans="1:17" x14ac:dyDescent="0.3">
      <c r="A1650" t="s">
        <v>3422</v>
      </c>
      <c r="B1650" t="str">
        <f t="shared" si="25"/>
        <v>Q4</v>
      </c>
      <c r="C1650" t="str">
        <f>TEXT(Table1[[#This Row],[Order_Date]],"mmmm")</f>
        <v>November</v>
      </c>
      <c r="D1650">
        <f>YEAR(Table1[[#This Row],[Order_Date]])</f>
        <v>2024</v>
      </c>
      <c r="E1650" s="7">
        <v>45606</v>
      </c>
      <c r="F1650" s="2" t="str">
        <f>VLOOKUP(Table1[[#This Row],[Customer_ID]],Customer_Dim!$A$2:$H$501,2,FALSE)</f>
        <v>Jordan Wells</v>
      </c>
      <c r="G1650" s="2" t="str">
        <f>_xlfn.XLOOKUP(Table1[[#This Row],[Customer_ID]],Customer_Dim!$A$2:$A$501,Customer_Dim!$E$2:$E$501)</f>
        <v xml:space="preserve">Phillipschester   </v>
      </c>
      <c r="H1650" t="s">
        <v>705</v>
      </c>
      <c r="I1650" t="str">
        <f>VLOOKUP(Table1[[#This Row],[Product_ID]],Product_Dim!$A$2:$G$101,2,FALSE)</f>
        <v>Portable Power Bank-Electronics</v>
      </c>
      <c r="J1650" t="s">
        <v>1601</v>
      </c>
      <c r="K1650" t="str">
        <f>VLOOKUP(Table1[[#This Row],[Store_ID]],Store_Dim!$A$3:$D$22,2,FALSE)</f>
        <v>Thomas, Bridges and Harris-North</v>
      </c>
      <c r="L1650" t="s">
        <v>1751</v>
      </c>
      <c r="M1650" t="s">
        <v>3959</v>
      </c>
      <c r="N1650" s="3">
        <v>721.54</v>
      </c>
      <c r="O1650" s="4">
        <v>0.21</v>
      </c>
      <c r="P1650" t="s">
        <v>1772</v>
      </c>
      <c r="Q1650" s="4">
        <v>2280.0664000000002</v>
      </c>
    </row>
    <row r="1651" spans="1:17" x14ac:dyDescent="0.3">
      <c r="A1651" t="s">
        <v>3423</v>
      </c>
      <c r="B1651" t="str">
        <f t="shared" si="25"/>
        <v>Q2</v>
      </c>
      <c r="C1651" t="str">
        <f>TEXT(Table1[[#This Row],[Order_Date]],"mmmm")</f>
        <v>May</v>
      </c>
      <c r="D1651">
        <f>YEAR(Table1[[#This Row],[Order_Date]])</f>
        <v>2025</v>
      </c>
      <c r="E1651" s="7">
        <v>45787</v>
      </c>
      <c r="F1651" s="2" t="str">
        <f>VLOOKUP(Table1[[#This Row],[Customer_ID]],Customer_Dim!$A$2:$H$501,2,FALSE)</f>
        <v>Sharon Brown</v>
      </c>
      <c r="G1651" s="2" t="str">
        <f>_xlfn.XLOOKUP(Table1[[#This Row],[Customer_ID]],Customer_Dim!$A$2:$A$501,Customer_Dim!$E$2:$E$501)</f>
        <v>East Andrea</v>
      </c>
      <c r="H1651" t="s">
        <v>199</v>
      </c>
      <c r="I1651" t="str">
        <f>VLOOKUP(Table1[[#This Row],[Product_ID]],Product_Dim!$A$2:$G$101,2,FALSE)</f>
        <v>Sports Water Hydration Pack-Sports</v>
      </c>
      <c r="J1651" t="s">
        <v>1599</v>
      </c>
      <c r="K1651" t="str">
        <f>VLOOKUP(Table1[[#This Row],[Store_ID]],Store_Dim!$A$3:$D$22,2,FALSE)</f>
        <v>Moore, Padilla and Butler-South</v>
      </c>
      <c r="L1651" t="s">
        <v>1746</v>
      </c>
      <c r="M1651" t="s">
        <v>3957</v>
      </c>
      <c r="N1651" s="3">
        <v>228.69</v>
      </c>
      <c r="O1651" s="4">
        <v>0.14000000000000001</v>
      </c>
      <c r="P1651" t="s">
        <v>1772</v>
      </c>
      <c r="Q1651" s="4">
        <v>196.67339999999999</v>
      </c>
    </row>
    <row r="1652" spans="1:17" x14ac:dyDescent="0.3">
      <c r="A1652" t="s">
        <v>3424</v>
      </c>
      <c r="B1652" t="str">
        <f t="shared" si="25"/>
        <v>Q3</v>
      </c>
      <c r="C1652" t="str">
        <f>TEXT(Table1[[#This Row],[Order_Date]],"mmmm")</f>
        <v>September</v>
      </c>
      <c r="D1652">
        <f>YEAR(Table1[[#This Row],[Order_Date]])</f>
        <v>2025</v>
      </c>
      <c r="E1652" s="7">
        <v>45929</v>
      </c>
      <c r="F1652" s="2" t="str">
        <f>VLOOKUP(Table1[[#This Row],[Customer_ID]],Customer_Dim!$A$2:$H$501,2,FALSE)</f>
        <v>Carlos Flores</v>
      </c>
      <c r="G1652" s="2" t="str">
        <f>_xlfn.XLOOKUP(Table1[[#This Row],[Customer_ID]],Customer_Dim!$A$2:$A$501,Customer_Dim!$E$2:$E$501)</f>
        <v>North Johnfurt</v>
      </c>
      <c r="H1652" t="s">
        <v>1100</v>
      </c>
      <c r="I1652" t="str">
        <f>VLOOKUP(Table1[[#This Row],[Product_ID]],Product_Dim!$A$2:$G$101,2,FALSE)</f>
        <v>Men's Track Pants-Clothing</v>
      </c>
      <c r="J1652" t="s">
        <v>1629</v>
      </c>
      <c r="K1652" t="str">
        <f>VLOOKUP(Table1[[#This Row],[Store_ID]],Store_Dim!$A$3:$D$22,2,FALSE)</f>
        <v>Hill, Wagner and Ballard-East</v>
      </c>
      <c r="L1652" t="s">
        <v>1748</v>
      </c>
      <c r="M1652" t="s">
        <v>3957</v>
      </c>
      <c r="N1652" s="3">
        <v>899.09</v>
      </c>
      <c r="O1652" s="4">
        <v>0.2</v>
      </c>
      <c r="P1652" t="s">
        <v>1774</v>
      </c>
      <c r="Q1652" s="4">
        <v>719.27200000000005</v>
      </c>
    </row>
    <row r="1653" spans="1:17" x14ac:dyDescent="0.3">
      <c r="A1653" t="s">
        <v>3425</v>
      </c>
      <c r="B1653" t="str">
        <f t="shared" si="25"/>
        <v>Q1</v>
      </c>
      <c r="C1653" t="str">
        <f>TEXT(Table1[[#This Row],[Order_Date]],"mmmm")</f>
        <v>March</v>
      </c>
      <c r="D1653">
        <f>YEAR(Table1[[#This Row],[Order_Date]])</f>
        <v>2024</v>
      </c>
      <c r="E1653" s="7">
        <v>45379</v>
      </c>
      <c r="F1653" s="2" t="str">
        <f>VLOOKUP(Table1[[#This Row],[Customer_ID]],Customer_Dim!$A$2:$H$501,2,FALSE)</f>
        <v>Andrew Mason</v>
      </c>
      <c r="G1653" s="2" t="str">
        <f>_xlfn.XLOOKUP(Table1[[#This Row],[Customer_ID]],Customer_Dim!$A$2:$A$501,Customer_Dim!$E$2:$E$501)</f>
        <v>North Michael</v>
      </c>
      <c r="H1653" t="s">
        <v>1186</v>
      </c>
      <c r="I1653" t="str">
        <f>VLOOKUP(Table1[[#This Row],[Product_ID]],Product_Dim!$A$2:$G$101,2,FALSE)</f>
        <v>Wireless Bluetooth Earbuds-Electronics</v>
      </c>
      <c r="J1653" t="s">
        <v>1539</v>
      </c>
      <c r="K1653" t="str">
        <f>VLOOKUP(Table1[[#This Row],[Store_ID]],Store_Dim!$A$3:$D$22,2,FALSE)</f>
        <v>Bean, Jones and Park-West</v>
      </c>
      <c r="L1653" t="s">
        <v>1744</v>
      </c>
      <c r="M1653" t="s">
        <v>3959</v>
      </c>
      <c r="N1653" s="3">
        <v>195.75</v>
      </c>
      <c r="O1653" s="4">
        <v>0.17</v>
      </c>
      <c r="P1653" t="s">
        <v>1772</v>
      </c>
      <c r="Q1653" s="4">
        <v>649.89</v>
      </c>
    </row>
    <row r="1654" spans="1:17" x14ac:dyDescent="0.3">
      <c r="A1654" t="s">
        <v>3426</v>
      </c>
      <c r="B1654" t="str">
        <f t="shared" si="25"/>
        <v>Q3</v>
      </c>
      <c r="C1654" t="str">
        <f>TEXT(Table1[[#This Row],[Order_Date]],"mmmm")</f>
        <v>August</v>
      </c>
      <c r="D1654">
        <f>YEAR(Table1[[#This Row],[Order_Date]])</f>
        <v>2024</v>
      </c>
      <c r="E1654" s="7">
        <v>45532</v>
      </c>
      <c r="F1654" s="2" t="str">
        <f>VLOOKUP(Table1[[#This Row],[Customer_ID]],Customer_Dim!$A$2:$H$501,2,FALSE)</f>
        <v>Jeanette Nichols</v>
      </c>
      <c r="G1654" s="2" t="str">
        <f>_xlfn.XLOOKUP(Table1[[#This Row],[Customer_ID]],Customer_Dim!$A$2:$A$501,Customer_Dim!$E$2:$E$501)</f>
        <v>Aguilarland</v>
      </c>
      <c r="H1654" t="s">
        <v>1306</v>
      </c>
      <c r="I1654" t="str">
        <f>VLOOKUP(Table1[[#This Row],[Product_ID]],Product_Dim!$A$2:$G$101,2,FALSE)</f>
        <v>USB-C Laptop Charger-Electronics</v>
      </c>
      <c r="J1654" t="s">
        <v>1709</v>
      </c>
      <c r="K1654" t="str">
        <f>VLOOKUP(Table1[[#This Row],[Store_ID]],Store_Dim!$A$3:$D$22,2,FALSE)</f>
        <v>Shelton PLC-North</v>
      </c>
      <c r="L1654" t="s">
        <v>1755</v>
      </c>
      <c r="M1654" t="s">
        <v>3958</v>
      </c>
      <c r="N1654" s="3">
        <v>199.13</v>
      </c>
      <c r="O1654" s="4">
        <v>0.24</v>
      </c>
      <c r="P1654" t="s">
        <v>1772</v>
      </c>
      <c r="Q1654" s="4">
        <v>454.01639999999998</v>
      </c>
    </row>
    <row r="1655" spans="1:17" x14ac:dyDescent="0.3">
      <c r="A1655" t="s">
        <v>3427</v>
      </c>
      <c r="B1655" t="str">
        <f t="shared" si="25"/>
        <v>Q2</v>
      </c>
      <c r="C1655" t="str">
        <f>TEXT(Table1[[#This Row],[Order_Date]],"mmmm")</f>
        <v>June</v>
      </c>
      <c r="D1655">
        <f>YEAR(Table1[[#This Row],[Order_Date]])</f>
        <v>2024</v>
      </c>
      <c r="E1655" s="7">
        <v>45466</v>
      </c>
      <c r="F1655" s="2" t="str">
        <f>VLOOKUP(Table1[[#This Row],[Customer_ID]],Customer_Dim!$A$2:$H$501,2,FALSE)</f>
        <v>John Lawson</v>
      </c>
      <c r="G1655" s="2" t="str">
        <f>_xlfn.XLOOKUP(Table1[[#This Row],[Customer_ID]],Customer_Dim!$A$2:$A$501,Customer_Dim!$E$2:$E$501)</f>
        <v>New Juliemouth</v>
      </c>
      <c r="H1655" t="s">
        <v>530</v>
      </c>
      <c r="I1655" t="str">
        <f>VLOOKUP(Table1[[#This Row],[Product_ID]],Product_Dim!$A$2:$G$101,2,FALSE)</f>
        <v>Carbon Fiber Tennis Racket-Sports</v>
      </c>
      <c r="J1655" t="s">
        <v>1567</v>
      </c>
      <c r="K1655" t="str">
        <f>VLOOKUP(Table1[[#This Row],[Store_ID]],Store_Dim!$A$3:$D$22,2,FALSE)</f>
        <v>Mcdonald Inc-South</v>
      </c>
      <c r="L1655" t="s">
        <v>1754</v>
      </c>
      <c r="M1655" t="s">
        <v>3960</v>
      </c>
      <c r="N1655" s="3">
        <v>833.62</v>
      </c>
      <c r="O1655" s="4">
        <v>0.18</v>
      </c>
      <c r="P1655" t="s">
        <v>1772</v>
      </c>
      <c r="Q1655" s="4">
        <v>1367.1368</v>
      </c>
    </row>
    <row r="1656" spans="1:17" x14ac:dyDescent="0.3">
      <c r="A1656" t="s">
        <v>3428</v>
      </c>
      <c r="B1656" t="str">
        <f t="shared" si="25"/>
        <v>Q2</v>
      </c>
      <c r="C1656" t="str">
        <f>TEXT(Table1[[#This Row],[Order_Date]],"mmmm")</f>
        <v>April</v>
      </c>
      <c r="D1656">
        <f>YEAR(Table1[[#This Row],[Order_Date]])</f>
        <v>2024</v>
      </c>
      <c r="E1656" s="7">
        <v>45395</v>
      </c>
      <c r="F1656" s="2" t="str">
        <f>VLOOKUP(Table1[[#This Row],[Customer_ID]],Customer_Dim!$A$2:$H$501,2,FALSE)</f>
        <v>Jessica Castro</v>
      </c>
      <c r="G1656" s="2" t="str">
        <f>_xlfn.XLOOKUP(Table1[[#This Row],[Customer_ID]],Customer_Dim!$A$2:$A$501,Customer_Dim!$E$2:$E$501)</f>
        <v>West Markton</v>
      </c>
      <c r="H1656" t="s">
        <v>1472</v>
      </c>
      <c r="I1656" t="str">
        <f>VLOOKUP(Table1[[#This Row],[Product_ID]],Product_Dim!$A$2:$G$101,2,FALSE)</f>
        <v>Women's Ankle Boots-Clothing</v>
      </c>
      <c r="J1656" t="s">
        <v>1673</v>
      </c>
      <c r="K1656" t="str">
        <f>VLOOKUP(Table1[[#This Row],[Store_ID]],Store_Dim!$A$3:$D$22,2,FALSE)</f>
        <v>Rivera-Warner-East</v>
      </c>
      <c r="L1656" t="s">
        <v>1725</v>
      </c>
      <c r="M1656" t="s">
        <v>3957</v>
      </c>
      <c r="N1656" s="3">
        <v>676.26</v>
      </c>
      <c r="O1656" s="4">
        <v>0.14000000000000001</v>
      </c>
      <c r="P1656" t="s">
        <v>1772</v>
      </c>
      <c r="Q1656" s="4">
        <v>581.58359999999993</v>
      </c>
    </row>
    <row r="1657" spans="1:17" x14ac:dyDescent="0.3">
      <c r="A1657" t="s">
        <v>3429</v>
      </c>
      <c r="B1657" t="str">
        <f t="shared" si="25"/>
        <v>Q1</v>
      </c>
      <c r="C1657" t="str">
        <f>TEXT(Table1[[#This Row],[Order_Date]],"mmmm")</f>
        <v>February</v>
      </c>
      <c r="D1657">
        <f>YEAR(Table1[[#This Row],[Order_Date]])</f>
        <v>2025</v>
      </c>
      <c r="E1657" s="7">
        <v>45708</v>
      </c>
      <c r="F1657" s="2" t="str">
        <f>VLOOKUP(Table1[[#This Row],[Customer_ID]],Customer_Dim!$A$2:$H$501,2,FALSE)</f>
        <v>Mike Jennings</v>
      </c>
      <c r="G1657" s="2" t="str">
        <f>_xlfn.XLOOKUP(Table1[[#This Row],[Customer_ID]],Customer_Dim!$A$2:$A$501,Customer_Dim!$E$2:$E$501)</f>
        <v>Fostermouth</v>
      </c>
      <c r="H1657" t="s">
        <v>130</v>
      </c>
      <c r="I1657" t="str">
        <f>VLOOKUP(Table1[[#This Row],[Product_ID]],Product_Dim!$A$2:$G$101,2,FALSE)</f>
        <v>Luxury Perfume Spray-Beauty</v>
      </c>
      <c r="J1657" t="s">
        <v>1643</v>
      </c>
      <c r="K1657" t="str">
        <f>VLOOKUP(Table1[[#This Row],[Store_ID]],Store_Dim!$A$3:$D$22,2,FALSE)</f>
        <v>Moore, Padilla and Butler-South</v>
      </c>
      <c r="L1657" t="s">
        <v>1746</v>
      </c>
      <c r="M1657" t="s">
        <v>3960</v>
      </c>
      <c r="N1657" s="3">
        <v>666.49</v>
      </c>
      <c r="O1657" s="4">
        <v>0.06</v>
      </c>
      <c r="P1657" t="s">
        <v>1772</v>
      </c>
      <c r="Q1657" s="4">
        <v>1253.0011999999999</v>
      </c>
    </row>
    <row r="1658" spans="1:17" x14ac:dyDescent="0.3">
      <c r="A1658" t="s">
        <v>3430</v>
      </c>
      <c r="B1658" t="str">
        <f t="shared" si="25"/>
        <v>Q1</v>
      </c>
      <c r="C1658" t="str">
        <f>TEXT(Table1[[#This Row],[Order_Date]],"mmmm")</f>
        <v>March</v>
      </c>
      <c r="D1658">
        <f>YEAR(Table1[[#This Row],[Order_Date]])</f>
        <v>2025</v>
      </c>
      <c r="E1658" s="7">
        <v>45735</v>
      </c>
      <c r="F1658" s="2" t="str">
        <f>VLOOKUP(Table1[[#This Row],[Customer_ID]],Customer_Dim!$A$2:$H$501,2,FALSE)</f>
        <v>Justin Johnson</v>
      </c>
      <c r="G1658" s="2" t="str">
        <f>_xlfn.XLOOKUP(Table1[[#This Row],[Customer_ID]],Customer_Dim!$A$2:$A$501,Customer_Dim!$E$2:$E$501)</f>
        <v>Hughesview</v>
      </c>
      <c r="H1658" t="s">
        <v>1403</v>
      </c>
      <c r="I1658" t="str">
        <f>VLOOKUP(Table1[[#This Row],[Product_ID]],Product_Dim!$A$2:$G$101,2,FALSE)</f>
        <v>4K Home Projector-Electronics</v>
      </c>
      <c r="J1658" t="s">
        <v>1553</v>
      </c>
      <c r="K1658" t="str">
        <f>VLOOKUP(Table1[[#This Row],[Store_ID]],Store_Dim!$A$3:$D$22,2,FALSE)</f>
        <v>Alexander Group-South</v>
      </c>
      <c r="L1658" t="s">
        <v>1735</v>
      </c>
      <c r="M1658" t="s">
        <v>3958</v>
      </c>
      <c r="N1658" s="3">
        <v>471.19</v>
      </c>
      <c r="O1658" s="4">
        <v>0.28000000000000003</v>
      </c>
      <c r="P1658" t="s">
        <v>1777</v>
      </c>
      <c r="Q1658" s="4">
        <v>1017.7704</v>
      </c>
    </row>
    <row r="1659" spans="1:17" x14ac:dyDescent="0.3">
      <c r="A1659" t="s">
        <v>3431</v>
      </c>
      <c r="B1659" t="str">
        <f t="shared" si="25"/>
        <v>Q4</v>
      </c>
      <c r="C1659" t="str">
        <f>TEXT(Table1[[#This Row],[Order_Date]],"mmmm")</f>
        <v>November</v>
      </c>
      <c r="D1659">
        <f>YEAR(Table1[[#This Row],[Order_Date]])</f>
        <v>2023</v>
      </c>
      <c r="E1659" s="7">
        <v>45237</v>
      </c>
      <c r="F1659" s="2" t="str">
        <f>VLOOKUP(Table1[[#This Row],[Customer_ID]],Customer_Dim!$A$2:$H$501,2,FALSE)</f>
        <v>Michael Jones</v>
      </c>
      <c r="G1659" s="2" t="str">
        <f>_xlfn.XLOOKUP(Table1[[#This Row],[Customer_ID]],Customer_Dim!$A$2:$A$501,Customer_Dim!$E$2:$E$501)</f>
        <v>North Edwardton</v>
      </c>
      <c r="H1659" t="s">
        <v>409</v>
      </c>
      <c r="I1659" t="str">
        <f>VLOOKUP(Table1[[#This Row],[Product_ID]],Product_Dim!$A$2:$G$101,2,FALSE)</f>
        <v>Wireless Bluetooth Earbuds-Electronics</v>
      </c>
      <c r="J1659" t="s">
        <v>1539</v>
      </c>
      <c r="K1659" t="str">
        <f>VLOOKUP(Table1[[#This Row],[Store_ID]],Store_Dim!$A$3:$D$22,2,FALSE)</f>
        <v>Johnson-Wright-North</v>
      </c>
      <c r="L1659" t="s">
        <v>1733</v>
      </c>
      <c r="M1659" t="s">
        <v>3959</v>
      </c>
      <c r="N1659" s="3">
        <v>555.65</v>
      </c>
      <c r="O1659" s="4">
        <v>0.25</v>
      </c>
      <c r="P1659" t="s">
        <v>1777</v>
      </c>
      <c r="Q1659" s="4">
        <v>1666.95</v>
      </c>
    </row>
    <row r="1660" spans="1:17" x14ac:dyDescent="0.3">
      <c r="A1660" t="s">
        <v>3432</v>
      </c>
      <c r="B1660" t="str">
        <f t="shared" si="25"/>
        <v>Q4</v>
      </c>
      <c r="C1660" t="str">
        <f>TEXT(Table1[[#This Row],[Order_Date]],"mmmm")</f>
        <v>December</v>
      </c>
      <c r="D1660">
        <f>YEAR(Table1[[#This Row],[Order_Date]])</f>
        <v>2023</v>
      </c>
      <c r="E1660" s="7">
        <v>45282</v>
      </c>
      <c r="F1660" s="2" t="str">
        <f>VLOOKUP(Table1[[#This Row],[Customer_ID]],Customer_Dim!$A$2:$H$501,2,FALSE)</f>
        <v>Rachel Myers</v>
      </c>
      <c r="G1660" s="2" t="str">
        <f>_xlfn.XLOOKUP(Table1[[#This Row],[Customer_ID]],Customer_Dim!$A$2:$A$501,Customer_Dim!$E$2:$E$501)</f>
        <v>Robertberg</v>
      </c>
      <c r="H1660" t="s">
        <v>140</v>
      </c>
      <c r="I1660" t="str">
        <f>VLOOKUP(Table1[[#This Row],[Product_ID]],Product_Dim!$A$2:$G$101,2,FALSE)</f>
        <v>Sports Stopwatch Basic-Sports</v>
      </c>
      <c r="J1660" t="s">
        <v>1713</v>
      </c>
      <c r="K1660" t="str">
        <f>VLOOKUP(Table1[[#This Row],[Store_ID]],Store_Dim!$A$3:$D$22,2,FALSE)</f>
        <v>Mcdonald Inc-South</v>
      </c>
      <c r="L1660" t="s">
        <v>1754</v>
      </c>
      <c r="M1660" t="s">
        <v>3960</v>
      </c>
      <c r="N1660" s="3">
        <v>100.42</v>
      </c>
      <c r="O1660" s="4">
        <v>0.06</v>
      </c>
      <c r="P1660" t="s">
        <v>1772</v>
      </c>
      <c r="Q1660" s="4">
        <v>188.78960000000001</v>
      </c>
    </row>
    <row r="1661" spans="1:17" x14ac:dyDescent="0.3">
      <c r="A1661" t="s">
        <v>3433</v>
      </c>
      <c r="B1661" t="str">
        <f t="shared" si="25"/>
        <v>Q1</v>
      </c>
      <c r="C1661" t="str">
        <f>TEXT(Table1[[#This Row],[Order_Date]],"mmmm")</f>
        <v>February</v>
      </c>
      <c r="D1661">
        <f>YEAR(Table1[[#This Row],[Order_Date]])</f>
        <v>2024</v>
      </c>
      <c r="E1661" s="7">
        <v>45337</v>
      </c>
      <c r="F1661" s="2" t="str">
        <f>VLOOKUP(Table1[[#This Row],[Customer_ID]],Customer_Dim!$A$2:$H$501,2,FALSE)</f>
        <v>Matthew Hunter Jr.</v>
      </c>
      <c r="G1661" s="2" t="str">
        <f>_xlfn.XLOOKUP(Table1[[#This Row],[Customer_ID]],Customer_Dim!$A$2:$A$501,Customer_Dim!$E$2:$E$501)</f>
        <v>Gregoryview</v>
      </c>
      <c r="H1661" t="s">
        <v>188</v>
      </c>
      <c r="I1661" t="str">
        <f>VLOOKUP(Table1[[#This Row],[Product_ID]],Product_Dim!$A$2:$G$101,2,FALSE)</f>
        <v>Portable Bluetooth Speaker-Electronics</v>
      </c>
      <c r="J1661" t="s">
        <v>1719</v>
      </c>
      <c r="K1661" t="str">
        <f>VLOOKUP(Table1[[#This Row],[Store_ID]],Store_Dim!$A$3:$D$22,2,FALSE)</f>
        <v>Guerrero-Schmitt-East</v>
      </c>
      <c r="L1661" t="s">
        <v>1761</v>
      </c>
      <c r="M1661" t="s">
        <v>3958</v>
      </c>
      <c r="N1661" s="3">
        <v>981.69</v>
      </c>
      <c r="O1661" s="4">
        <v>0.05</v>
      </c>
      <c r="P1661" t="s">
        <v>1777</v>
      </c>
      <c r="Q1661" s="4">
        <v>2797.8164999999999</v>
      </c>
    </row>
    <row r="1662" spans="1:17" x14ac:dyDescent="0.3">
      <c r="A1662" t="s">
        <v>3434</v>
      </c>
      <c r="B1662" t="str">
        <f t="shared" si="25"/>
        <v>Q1</v>
      </c>
      <c r="C1662" t="str">
        <f>TEXT(Table1[[#This Row],[Order_Date]],"mmmm")</f>
        <v>January</v>
      </c>
      <c r="D1662">
        <f>YEAR(Table1[[#This Row],[Order_Date]])</f>
        <v>2024</v>
      </c>
      <c r="E1662" s="7">
        <v>45310</v>
      </c>
      <c r="F1662" s="2" t="str">
        <f>VLOOKUP(Table1[[#This Row],[Customer_ID]],Customer_Dim!$A$2:$H$501,2,FALSE)</f>
        <v>Reginald Willis</v>
      </c>
      <c r="G1662" s="2" t="str">
        <f>_xlfn.XLOOKUP(Table1[[#This Row],[Customer_ID]],Customer_Dim!$A$2:$A$501,Customer_Dim!$E$2:$E$501)</f>
        <v>Kellybury</v>
      </c>
      <c r="H1662" t="s">
        <v>1018</v>
      </c>
      <c r="I1662" t="str">
        <f>VLOOKUP(Table1[[#This Row],[Product_ID]],Product_Dim!$A$2:$G$101,2,FALSE)</f>
        <v>Ceramic Kitchen Bowl Set-Home</v>
      </c>
      <c r="J1662" t="s">
        <v>1543</v>
      </c>
      <c r="K1662" t="str">
        <f>VLOOKUP(Table1[[#This Row],[Store_ID]],Store_Dim!$A$3:$D$22,2,FALSE)</f>
        <v>Frederick-Wright-West</v>
      </c>
      <c r="L1662" t="s">
        <v>1757</v>
      </c>
      <c r="M1662" t="s">
        <v>3960</v>
      </c>
      <c r="N1662" s="3">
        <v>848.87</v>
      </c>
      <c r="O1662" s="4">
        <v>0.09</v>
      </c>
      <c r="P1662" t="s">
        <v>1777</v>
      </c>
      <c r="Q1662" s="4">
        <v>1544.9434000000001</v>
      </c>
    </row>
    <row r="1663" spans="1:17" x14ac:dyDescent="0.3">
      <c r="A1663" t="s">
        <v>3435</v>
      </c>
      <c r="B1663" t="str">
        <f t="shared" si="25"/>
        <v>Q4</v>
      </c>
      <c r="C1663" t="str">
        <f>TEXT(Table1[[#This Row],[Order_Date]],"mmmm")</f>
        <v>October</v>
      </c>
      <c r="D1663">
        <f>YEAR(Table1[[#This Row],[Order_Date]])</f>
        <v>2023</v>
      </c>
      <c r="E1663" s="7">
        <v>45230</v>
      </c>
      <c r="F1663" s="2" t="str">
        <f>VLOOKUP(Table1[[#This Row],[Customer_ID]],Customer_Dim!$A$2:$H$501,2,FALSE)</f>
        <v>Joshua Bell</v>
      </c>
      <c r="G1663" s="2" t="str">
        <f>_xlfn.XLOOKUP(Table1[[#This Row],[Customer_ID]],Customer_Dim!$A$2:$A$501,Customer_Dim!$E$2:$E$501)</f>
        <v>Port Richardshire</v>
      </c>
      <c r="H1663" t="s">
        <v>1159</v>
      </c>
      <c r="I1663" t="str">
        <f>VLOOKUP(Table1[[#This Row],[Product_ID]],Product_Dim!$A$2:$G$101,2,FALSE)</f>
        <v>Women's Formal Blazer-Clothing</v>
      </c>
      <c r="J1663" t="s">
        <v>1715</v>
      </c>
      <c r="K1663" t="str">
        <f>VLOOKUP(Table1[[#This Row],[Store_ID]],Store_Dim!$A$3:$D$22,2,FALSE)</f>
        <v>Hill, Wagner and Ballard-East</v>
      </c>
      <c r="L1663" t="s">
        <v>1748</v>
      </c>
      <c r="M1663" t="s">
        <v>3958</v>
      </c>
      <c r="N1663" s="3">
        <v>582.32000000000005</v>
      </c>
      <c r="O1663" s="4">
        <v>0</v>
      </c>
      <c r="P1663" t="s">
        <v>1774</v>
      </c>
      <c r="Q1663" s="4">
        <v>1746.96</v>
      </c>
    </row>
    <row r="1664" spans="1:17" x14ac:dyDescent="0.3">
      <c r="A1664" t="s">
        <v>3436</v>
      </c>
      <c r="B1664" t="str">
        <f t="shared" si="25"/>
        <v>Q1</v>
      </c>
      <c r="C1664" t="str">
        <f>TEXT(Table1[[#This Row],[Order_Date]],"mmmm")</f>
        <v>February</v>
      </c>
      <c r="D1664">
        <f>YEAR(Table1[[#This Row],[Order_Date]])</f>
        <v>2024</v>
      </c>
      <c r="E1664" s="7">
        <v>45341</v>
      </c>
      <c r="F1664" s="2" t="str">
        <f>VLOOKUP(Table1[[#This Row],[Customer_ID]],Customer_Dim!$A$2:$H$501,2,FALSE)</f>
        <v>Amy Wilson</v>
      </c>
      <c r="G1664" s="2" t="str">
        <f>_xlfn.XLOOKUP(Table1[[#This Row],[Customer_ID]],Customer_Dim!$A$2:$A$501,Customer_Dim!$E$2:$E$501)</f>
        <v>Morrisburgh</v>
      </c>
      <c r="H1664" t="s">
        <v>562</v>
      </c>
      <c r="I1664" t="str">
        <f>VLOOKUP(Table1[[#This Row],[Product_ID]],Product_Dim!$A$2:$G$101,2,FALSE)</f>
        <v>Men's Roll-On Perfume-Beauty</v>
      </c>
      <c r="J1664" t="s">
        <v>1621</v>
      </c>
      <c r="K1664" t="str">
        <f>VLOOKUP(Table1[[#This Row],[Store_ID]],Store_Dim!$A$3:$D$22,2,FALSE)</f>
        <v>Holloway Ltd-North</v>
      </c>
      <c r="L1664" t="s">
        <v>1759</v>
      </c>
      <c r="M1664" t="s">
        <v>3960</v>
      </c>
      <c r="N1664" s="3">
        <v>869.43</v>
      </c>
      <c r="O1664" s="4">
        <v>0.24</v>
      </c>
      <c r="P1664" t="s">
        <v>1777</v>
      </c>
      <c r="Q1664" s="4">
        <v>1321.5336</v>
      </c>
    </row>
    <row r="1665" spans="1:17" x14ac:dyDescent="0.3">
      <c r="A1665" t="s">
        <v>3437</v>
      </c>
      <c r="B1665" t="str">
        <f t="shared" si="25"/>
        <v>Q2</v>
      </c>
      <c r="C1665" t="str">
        <f>TEXT(Table1[[#This Row],[Order_Date]],"mmmm")</f>
        <v>May</v>
      </c>
      <c r="D1665">
        <f>YEAR(Table1[[#This Row],[Order_Date]])</f>
        <v>2024</v>
      </c>
      <c r="E1665" s="7">
        <v>45440</v>
      </c>
      <c r="F1665" s="2" t="str">
        <f>VLOOKUP(Table1[[#This Row],[Customer_ID]],Customer_Dim!$A$2:$H$501,2,FALSE)</f>
        <v>Jeff Martinez</v>
      </c>
      <c r="G1665" s="2" t="str">
        <f>_xlfn.XLOOKUP(Table1[[#This Row],[Customer_ID]],Customer_Dim!$A$2:$A$501,Customer_Dim!$E$2:$E$501)</f>
        <v>Smithburgh</v>
      </c>
      <c r="H1665" t="s">
        <v>93</v>
      </c>
      <c r="I1665" t="str">
        <f>VLOOKUP(Table1[[#This Row],[Product_ID]],Product_Dim!$A$2:$G$101,2,FALSE)</f>
        <v>Sports Stopwatch Pro-Sports</v>
      </c>
      <c r="J1665" t="s">
        <v>1631</v>
      </c>
      <c r="K1665" t="str">
        <f>VLOOKUP(Table1[[#This Row],[Store_ID]],Store_Dim!$A$3:$D$22,2,FALSE)</f>
        <v>Alexander Group-South</v>
      </c>
      <c r="L1665" t="s">
        <v>1735</v>
      </c>
      <c r="M1665" t="s">
        <v>3957</v>
      </c>
      <c r="N1665" s="3">
        <v>62.26</v>
      </c>
      <c r="O1665" s="4">
        <v>0.03</v>
      </c>
      <c r="P1665" t="s">
        <v>1777</v>
      </c>
      <c r="Q1665" s="4">
        <v>60.392200000000003</v>
      </c>
    </row>
    <row r="1666" spans="1:17" x14ac:dyDescent="0.3">
      <c r="A1666" t="s">
        <v>3438</v>
      </c>
      <c r="B1666" t="str">
        <f t="shared" ref="B1666:B1729" si="26">"Q" &amp;ROUNDUP(MONTH(E1666)/3,0)</f>
        <v>Q2</v>
      </c>
      <c r="C1666" t="str">
        <f>TEXT(Table1[[#This Row],[Order_Date]],"mmmm")</f>
        <v>May</v>
      </c>
      <c r="D1666">
        <f>YEAR(Table1[[#This Row],[Order_Date]])</f>
        <v>2025</v>
      </c>
      <c r="E1666" s="7">
        <v>45798</v>
      </c>
      <c r="F1666" s="2" t="str">
        <f>VLOOKUP(Table1[[#This Row],[Customer_ID]],Customer_Dim!$A$2:$H$501,2,FALSE)</f>
        <v>Patrick Roberts</v>
      </c>
      <c r="G1666" s="2" t="str">
        <f>_xlfn.XLOOKUP(Table1[[#This Row],[Customer_ID]],Customer_Dim!$A$2:$A$501,Customer_Dim!$E$2:$E$501)</f>
        <v>Jaredville</v>
      </c>
      <c r="H1666" t="s">
        <v>506</v>
      </c>
      <c r="I1666" t="str">
        <f>VLOOKUP(Table1[[#This Row],[Product_ID]],Product_Dim!$A$2:$G$101,2,FALSE)</f>
        <v>Portable Power Bank-Electronics</v>
      </c>
      <c r="J1666" t="s">
        <v>1601</v>
      </c>
      <c r="K1666" t="str">
        <f>VLOOKUP(Table1[[#This Row],[Store_ID]],Store_Dim!$A$3:$D$22,2,FALSE)</f>
        <v>Mcdonald Inc-South</v>
      </c>
      <c r="L1666" t="s">
        <v>1754</v>
      </c>
      <c r="M1666" t="s">
        <v>3958</v>
      </c>
      <c r="N1666" s="3">
        <v>343.97</v>
      </c>
      <c r="O1666" s="4">
        <v>0.04</v>
      </c>
      <c r="P1666" t="s">
        <v>1777</v>
      </c>
      <c r="Q1666" s="4">
        <v>990.6336</v>
      </c>
    </row>
    <row r="1667" spans="1:17" x14ac:dyDescent="0.3">
      <c r="A1667" t="s">
        <v>3439</v>
      </c>
      <c r="B1667" t="str">
        <f t="shared" si="26"/>
        <v>Q1</v>
      </c>
      <c r="C1667" t="str">
        <f>TEXT(Table1[[#This Row],[Order_Date]],"mmmm")</f>
        <v>January</v>
      </c>
      <c r="D1667">
        <f>YEAR(Table1[[#This Row],[Order_Date]])</f>
        <v>2024</v>
      </c>
      <c r="E1667" s="7">
        <v>45293</v>
      </c>
      <c r="F1667" s="2" t="str">
        <f>VLOOKUP(Table1[[#This Row],[Customer_ID]],Customer_Dim!$A$2:$H$501,2,FALSE)</f>
        <v>John Sloan</v>
      </c>
      <c r="G1667" s="2" t="str">
        <f>_xlfn.XLOOKUP(Table1[[#This Row],[Customer_ID]],Customer_Dim!$A$2:$A$501,Customer_Dim!$E$2:$E$501)</f>
        <v>East Johntown</v>
      </c>
      <c r="H1667" t="s">
        <v>948</v>
      </c>
      <c r="I1667" t="str">
        <f>VLOOKUP(Table1[[#This Row],[Product_ID]],Product_Dim!$A$2:$G$101,2,FALSE)</f>
        <v>Foldable Camping Chair-Sports</v>
      </c>
      <c r="J1667" t="s">
        <v>1571</v>
      </c>
      <c r="K1667" t="str">
        <f>VLOOKUP(Table1[[#This Row],[Store_ID]],Store_Dim!$A$3:$D$22,2,FALSE)</f>
        <v>Thomas, Bridges and Harris-North</v>
      </c>
      <c r="L1667" t="s">
        <v>1751</v>
      </c>
      <c r="M1667" t="s">
        <v>3958</v>
      </c>
      <c r="N1667" s="3">
        <v>304.67</v>
      </c>
      <c r="O1667" s="4">
        <v>0.11</v>
      </c>
      <c r="P1667" t="s">
        <v>1772</v>
      </c>
      <c r="Q1667" s="4">
        <v>813.46889999999996</v>
      </c>
    </row>
    <row r="1668" spans="1:17" x14ac:dyDescent="0.3">
      <c r="A1668" t="s">
        <v>3440</v>
      </c>
      <c r="B1668" t="str">
        <f t="shared" si="26"/>
        <v>Q1</v>
      </c>
      <c r="C1668" t="str">
        <f>TEXT(Table1[[#This Row],[Order_Date]],"mmmm")</f>
        <v>January</v>
      </c>
      <c r="D1668">
        <f>YEAR(Table1[[#This Row],[Order_Date]])</f>
        <v>2024</v>
      </c>
      <c r="E1668" s="7">
        <v>45296</v>
      </c>
      <c r="F1668" s="2" t="str">
        <f>VLOOKUP(Table1[[#This Row],[Customer_ID]],Customer_Dim!$A$2:$H$501,2,FALSE)</f>
        <v>Brandon Mcbride</v>
      </c>
      <c r="G1668" s="2" t="str">
        <f>_xlfn.XLOOKUP(Table1[[#This Row],[Customer_ID]],Customer_Dim!$A$2:$A$501,Customer_Dim!$E$2:$E$501)</f>
        <v>Kellyside</v>
      </c>
      <c r="H1668" t="s">
        <v>1129</v>
      </c>
      <c r="I1668" t="str">
        <f>VLOOKUP(Table1[[#This Row],[Product_ID]],Product_Dim!$A$2:$G$101,2,FALSE)</f>
        <v>Decorative Floor Vase-Home</v>
      </c>
      <c r="J1668" t="s">
        <v>1577</v>
      </c>
      <c r="K1668" t="str">
        <f>VLOOKUP(Table1[[#This Row],[Store_ID]],Store_Dim!$A$3:$D$22,2,FALSE)</f>
        <v>Moore, Padilla and Butler-South</v>
      </c>
      <c r="L1668" t="s">
        <v>1746</v>
      </c>
      <c r="M1668" t="s">
        <v>3959</v>
      </c>
      <c r="N1668" s="3">
        <v>208.34</v>
      </c>
      <c r="O1668" s="4">
        <v>0.01</v>
      </c>
      <c r="P1668" t="s">
        <v>1774</v>
      </c>
      <c r="Q1668" s="4">
        <v>825.02639999999997</v>
      </c>
    </row>
    <row r="1669" spans="1:17" x14ac:dyDescent="0.3">
      <c r="A1669" t="s">
        <v>3441</v>
      </c>
      <c r="B1669" t="str">
        <f t="shared" si="26"/>
        <v>Q3</v>
      </c>
      <c r="C1669" t="str">
        <f>TEXT(Table1[[#This Row],[Order_Date]],"mmmm")</f>
        <v>July</v>
      </c>
      <c r="D1669">
        <f>YEAR(Table1[[#This Row],[Order_Date]])</f>
        <v>2025</v>
      </c>
      <c r="E1669" s="7">
        <v>45860</v>
      </c>
      <c r="F1669" s="2" t="str">
        <f>VLOOKUP(Table1[[#This Row],[Customer_ID]],Customer_Dim!$A$2:$H$501,2,FALSE)</f>
        <v>Jason Mullins</v>
      </c>
      <c r="G1669" s="2" t="str">
        <f>_xlfn.XLOOKUP(Table1[[#This Row],[Customer_ID]],Customer_Dim!$A$2:$A$501,Customer_Dim!$E$2:$E$501)</f>
        <v>Brianchester</v>
      </c>
      <c r="H1669" t="s">
        <v>974</v>
      </c>
      <c r="I1669" t="str">
        <f>VLOOKUP(Table1[[#This Row],[Product_ID]],Product_Dim!$A$2:$G$101,2,FALSE)</f>
        <v>Kitchen Cutting Board-Home</v>
      </c>
      <c r="J1669" t="s">
        <v>1695</v>
      </c>
      <c r="K1669" t="str">
        <f>VLOOKUP(Table1[[#This Row],[Store_ID]],Store_Dim!$A$3:$D$22,2,FALSE)</f>
        <v>Martinez, Adkins and Johnson-North</v>
      </c>
      <c r="L1669" t="s">
        <v>1728</v>
      </c>
      <c r="M1669" t="s">
        <v>3957</v>
      </c>
      <c r="N1669" s="3">
        <v>119.04</v>
      </c>
      <c r="O1669" s="4">
        <v>0.13</v>
      </c>
      <c r="P1669" t="s">
        <v>1777</v>
      </c>
      <c r="Q1669" s="4">
        <v>103.56480000000001</v>
      </c>
    </row>
    <row r="1670" spans="1:17" x14ac:dyDescent="0.3">
      <c r="A1670" t="s">
        <v>3442</v>
      </c>
      <c r="B1670" t="str">
        <f t="shared" si="26"/>
        <v>Q3</v>
      </c>
      <c r="C1670" t="str">
        <f>TEXT(Table1[[#This Row],[Order_Date]],"mmmm")</f>
        <v>July</v>
      </c>
      <c r="D1670">
        <f>YEAR(Table1[[#This Row],[Order_Date]])</f>
        <v>2025</v>
      </c>
      <c r="E1670" s="7">
        <v>45843</v>
      </c>
      <c r="F1670" s="2" t="str">
        <f>VLOOKUP(Table1[[#This Row],[Customer_ID]],Customer_Dim!$A$2:$H$501,2,FALSE)</f>
        <v>Darren Burton</v>
      </c>
      <c r="G1670" s="2" t="str">
        <f>_xlfn.XLOOKUP(Table1[[#This Row],[Customer_ID]],Customer_Dim!$A$2:$A$501,Customer_Dim!$E$2:$E$501)</f>
        <v>Lake Alice</v>
      </c>
      <c r="H1670" t="s">
        <v>1001</v>
      </c>
      <c r="I1670" t="str">
        <f>VLOOKUP(Table1[[#This Row],[Product_ID]],Product_Dim!$A$2:$G$101,2,FALSE)</f>
        <v>Adjustable Jump Rope-Sports</v>
      </c>
      <c r="J1670" t="s">
        <v>1611</v>
      </c>
      <c r="K1670" t="str">
        <f>VLOOKUP(Table1[[#This Row],[Store_ID]],Store_Dim!$A$3:$D$22,2,FALSE)</f>
        <v>Moore, Padilla and Butler-South</v>
      </c>
      <c r="L1670" t="s">
        <v>1746</v>
      </c>
      <c r="M1670" t="s">
        <v>3959</v>
      </c>
      <c r="N1670" s="3">
        <v>791.65</v>
      </c>
      <c r="O1670" s="4">
        <v>0.06</v>
      </c>
      <c r="P1670" t="s">
        <v>1777</v>
      </c>
      <c r="Q1670" s="4">
        <v>2976.6039999999998</v>
      </c>
    </row>
    <row r="1671" spans="1:17" x14ac:dyDescent="0.3">
      <c r="A1671" t="s">
        <v>3443</v>
      </c>
      <c r="B1671" t="str">
        <f t="shared" si="26"/>
        <v>Q3</v>
      </c>
      <c r="C1671" t="str">
        <f>TEXT(Table1[[#This Row],[Order_Date]],"mmmm")</f>
        <v>July</v>
      </c>
      <c r="D1671">
        <f>YEAR(Table1[[#This Row],[Order_Date]])</f>
        <v>2025</v>
      </c>
      <c r="E1671" s="7">
        <v>45862</v>
      </c>
      <c r="F1671" s="2" t="str">
        <f>VLOOKUP(Table1[[#This Row],[Customer_ID]],Customer_Dim!$A$2:$H$501,2,FALSE)</f>
        <v>Debra Liu</v>
      </c>
      <c r="G1671" s="2" t="str">
        <f>_xlfn.XLOOKUP(Table1[[#This Row],[Customer_ID]],Customer_Dim!$A$2:$A$501,Customer_Dim!$E$2:$E$501)</f>
        <v>South Timtown</v>
      </c>
      <c r="H1671" t="s">
        <v>195</v>
      </c>
      <c r="I1671" t="str">
        <f>VLOOKUP(Table1[[#This Row],[Product_ID]],Product_Dim!$A$2:$G$101,2,FALSE)</f>
        <v>Decorative Wall Mirror-Home</v>
      </c>
      <c r="J1671" t="s">
        <v>1551</v>
      </c>
      <c r="K1671" t="str">
        <f>VLOOKUP(Table1[[#This Row],[Store_ID]],Store_Dim!$A$3:$D$22,2,FALSE)</f>
        <v>Black-Horn-South</v>
      </c>
      <c r="L1671" t="s">
        <v>1730</v>
      </c>
      <c r="M1671" t="s">
        <v>3960</v>
      </c>
      <c r="N1671" s="3">
        <v>414.86</v>
      </c>
      <c r="O1671" s="4">
        <v>0.23</v>
      </c>
      <c r="P1671" t="s">
        <v>1772</v>
      </c>
      <c r="Q1671" s="4">
        <v>638.88440000000003</v>
      </c>
    </row>
    <row r="1672" spans="1:17" x14ac:dyDescent="0.3">
      <c r="A1672" t="s">
        <v>3444</v>
      </c>
      <c r="B1672" t="str">
        <f t="shared" si="26"/>
        <v>Q2</v>
      </c>
      <c r="C1672" t="str">
        <f>TEXT(Table1[[#This Row],[Order_Date]],"mmmm")</f>
        <v>April</v>
      </c>
      <c r="D1672">
        <f>YEAR(Table1[[#This Row],[Order_Date]])</f>
        <v>2024</v>
      </c>
      <c r="E1672" s="7">
        <v>45385</v>
      </c>
      <c r="F1672" s="2" t="str">
        <f>VLOOKUP(Table1[[#This Row],[Customer_ID]],Customer_Dim!$A$2:$H$501,2,FALSE)</f>
        <v>Earl Smith Dds</v>
      </c>
      <c r="G1672" s="2" t="str">
        <f>_xlfn.XLOOKUP(Table1[[#This Row],[Customer_ID]],Customer_Dim!$A$2:$A$501,Customer_Dim!$E$2:$E$501)</f>
        <v>West Sarah</v>
      </c>
      <c r="H1672" t="s">
        <v>1456</v>
      </c>
      <c r="I1672" t="str">
        <f>VLOOKUP(Table1[[#This Row],[Product_ID]],Product_Dim!$A$2:$G$101,2,FALSE)</f>
        <v>Sports Water Hydration Pack-Sports</v>
      </c>
      <c r="J1672" t="s">
        <v>1599</v>
      </c>
      <c r="K1672" t="str">
        <f>VLOOKUP(Table1[[#This Row],[Store_ID]],Store_Dim!$A$3:$D$22,2,FALSE)</f>
        <v>Thomas, Bridges and Harris-North</v>
      </c>
      <c r="L1672" t="s">
        <v>1751</v>
      </c>
      <c r="M1672" t="s">
        <v>3960</v>
      </c>
      <c r="N1672" s="3">
        <v>960.81</v>
      </c>
      <c r="O1672" s="4">
        <v>0.28000000000000003</v>
      </c>
      <c r="P1672" t="s">
        <v>1774</v>
      </c>
      <c r="Q1672" s="4">
        <v>1383.5663999999999</v>
      </c>
    </row>
    <row r="1673" spans="1:17" x14ac:dyDescent="0.3">
      <c r="A1673" t="s">
        <v>3445</v>
      </c>
      <c r="B1673" t="str">
        <f t="shared" si="26"/>
        <v>Q1</v>
      </c>
      <c r="C1673" t="str">
        <f>TEXT(Table1[[#This Row],[Order_Date]],"mmmm")</f>
        <v>January</v>
      </c>
      <c r="D1673">
        <f>YEAR(Table1[[#This Row],[Order_Date]])</f>
        <v>2025</v>
      </c>
      <c r="E1673" s="7">
        <v>45668</v>
      </c>
      <c r="F1673" s="2" t="str">
        <f>VLOOKUP(Table1[[#This Row],[Customer_ID]],Customer_Dim!$A$2:$H$501,2,FALSE)</f>
        <v>Blake Harrison</v>
      </c>
      <c r="G1673" s="2" t="str">
        <f>_xlfn.XLOOKUP(Table1[[#This Row],[Customer_ID]],Customer_Dim!$A$2:$A$501,Customer_Dim!$E$2:$E$501)</f>
        <v>Lyonsfort</v>
      </c>
      <c r="H1673" t="s">
        <v>684</v>
      </c>
      <c r="I1673" t="str">
        <f>VLOOKUP(Table1[[#This Row],[Product_ID]],Product_Dim!$A$2:$G$101,2,FALSE)</f>
        <v>Boxing Hand Wraps-Sports</v>
      </c>
      <c r="J1673" t="s">
        <v>1623</v>
      </c>
      <c r="K1673" t="str">
        <f>VLOOKUP(Table1[[#This Row],[Store_ID]],Store_Dim!$A$3:$D$22,2,FALSE)</f>
        <v>Alexander Group-South</v>
      </c>
      <c r="L1673" t="s">
        <v>1735</v>
      </c>
      <c r="M1673" t="s">
        <v>3959</v>
      </c>
      <c r="N1673" s="3">
        <v>943.36</v>
      </c>
      <c r="O1673" s="4">
        <v>0.18</v>
      </c>
      <c r="P1673" t="s">
        <v>1774</v>
      </c>
      <c r="Q1673" s="4">
        <v>3094.2208000000001</v>
      </c>
    </row>
    <row r="1674" spans="1:17" x14ac:dyDescent="0.3">
      <c r="A1674" t="s">
        <v>3446</v>
      </c>
      <c r="B1674" t="str">
        <f t="shared" si="26"/>
        <v>Q3</v>
      </c>
      <c r="C1674" t="str">
        <f>TEXT(Table1[[#This Row],[Order_Date]],"mmmm")</f>
        <v>September</v>
      </c>
      <c r="D1674">
        <f>YEAR(Table1[[#This Row],[Order_Date]])</f>
        <v>2024</v>
      </c>
      <c r="E1674" s="7">
        <v>45561</v>
      </c>
      <c r="F1674" s="2" t="str">
        <f>VLOOKUP(Table1[[#This Row],[Customer_ID]],Customer_Dim!$A$2:$H$501,2,FALSE)</f>
        <v>Stuart Johnson</v>
      </c>
      <c r="G1674" s="2" t="str">
        <f>_xlfn.XLOOKUP(Table1[[#This Row],[Customer_ID]],Customer_Dim!$A$2:$A$501,Customer_Dim!$E$2:$E$501)</f>
        <v>West Markport</v>
      </c>
      <c r="H1674" t="s">
        <v>687</v>
      </c>
      <c r="I1674" t="str">
        <f>VLOOKUP(Table1[[#This Row],[Product_ID]],Product_Dim!$A$2:$G$101,2,FALSE)</f>
        <v>Men's Running Jacket-Clothing</v>
      </c>
      <c r="J1674" t="s">
        <v>1529</v>
      </c>
      <c r="K1674" t="str">
        <f>VLOOKUP(Table1[[#This Row],[Store_ID]],Store_Dim!$A$3:$D$22,2,FALSE)</f>
        <v>Gardner, Humphrey and Contreras-East</v>
      </c>
      <c r="L1674" t="s">
        <v>1753</v>
      </c>
      <c r="M1674" t="s">
        <v>3957</v>
      </c>
      <c r="N1674" s="3">
        <v>830.42</v>
      </c>
      <c r="O1674" s="4">
        <v>0.26</v>
      </c>
      <c r="P1674" t="s">
        <v>1777</v>
      </c>
      <c r="Q1674" s="4">
        <v>614.51080000000002</v>
      </c>
    </row>
    <row r="1675" spans="1:17" x14ac:dyDescent="0.3">
      <c r="A1675" t="s">
        <v>3447</v>
      </c>
      <c r="B1675" t="str">
        <f t="shared" si="26"/>
        <v>Q4</v>
      </c>
      <c r="C1675" t="str">
        <f>TEXT(Table1[[#This Row],[Order_Date]],"mmmm")</f>
        <v>December</v>
      </c>
      <c r="D1675">
        <f>YEAR(Table1[[#This Row],[Order_Date]])</f>
        <v>2024</v>
      </c>
      <c r="E1675" s="7">
        <v>45637</v>
      </c>
      <c r="F1675" s="2" t="str">
        <f>VLOOKUP(Table1[[#This Row],[Customer_ID]],Customer_Dim!$A$2:$H$501,2,FALSE)</f>
        <v xml:space="preserve">   Laura Green</v>
      </c>
      <c r="G1675" s="2" t="str">
        <f>_xlfn.XLOOKUP(Table1[[#This Row],[Customer_ID]],Customer_Dim!$A$2:$A$501,Customer_Dim!$E$2:$E$501)</f>
        <v>Westbury</v>
      </c>
      <c r="H1675" t="s">
        <v>1095</v>
      </c>
      <c r="I1675" t="str">
        <f>VLOOKUP(Table1[[#This Row],[Product_ID]],Product_Dim!$A$2:$G$101,2,FALSE)</f>
        <v>Smart LED Light Strip-Electronics</v>
      </c>
      <c r="J1675" t="s">
        <v>1657</v>
      </c>
      <c r="K1675" t="str">
        <f>VLOOKUP(Table1[[#This Row],[Store_ID]],Store_Dim!$A$3:$D$22,2,FALSE)</f>
        <v>Holloway Ltd-North</v>
      </c>
      <c r="L1675" t="s">
        <v>1759</v>
      </c>
      <c r="M1675" t="s">
        <v>3957</v>
      </c>
      <c r="N1675" s="3">
        <v>762.55</v>
      </c>
      <c r="O1675" s="4">
        <v>0.19</v>
      </c>
      <c r="P1675" t="s">
        <v>1772</v>
      </c>
      <c r="Q1675" s="4">
        <v>617.66549999999995</v>
      </c>
    </row>
    <row r="1676" spans="1:17" x14ac:dyDescent="0.3">
      <c r="A1676" t="s">
        <v>3448</v>
      </c>
      <c r="B1676" t="str">
        <f t="shared" si="26"/>
        <v>Q3</v>
      </c>
      <c r="C1676" t="str">
        <f>TEXT(Table1[[#This Row],[Order_Date]],"mmmm")</f>
        <v>July</v>
      </c>
      <c r="D1676">
        <f>YEAR(Table1[[#This Row],[Order_Date]])</f>
        <v>2025</v>
      </c>
      <c r="E1676" s="7">
        <v>45839</v>
      </c>
      <c r="F1676" s="2" t="str">
        <f>VLOOKUP(Table1[[#This Row],[Customer_ID]],Customer_Dim!$A$2:$H$501,2,FALSE)</f>
        <v>Ryan Moore</v>
      </c>
      <c r="G1676" s="2" t="str">
        <f>_xlfn.XLOOKUP(Table1[[#This Row],[Customer_ID]],Customer_Dim!$A$2:$A$501,Customer_Dim!$E$2:$E$501)</f>
        <v>Cartershire</v>
      </c>
      <c r="H1676" t="s">
        <v>1066</v>
      </c>
      <c r="I1676" t="str">
        <f>VLOOKUP(Table1[[#This Row],[Product_ID]],Product_Dim!$A$2:$G$101,2,FALSE)</f>
        <v>Bluetooth Car Audio System-Electronics</v>
      </c>
      <c r="J1676" t="s">
        <v>1671</v>
      </c>
      <c r="K1676" t="str">
        <f>VLOOKUP(Table1[[#This Row],[Store_ID]],Store_Dim!$A$3:$D$22,2,FALSE)</f>
        <v>Guerrero-Schmitt-East</v>
      </c>
      <c r="L1676" t="s">
        <v>1761</v>
      </c>
      <c r="M1676" t="s">
        <v>3960</v>
      </c>
      <c r="N1676" s="3">
        <v>464.43</v>
      </c>
      <c r="O1676" s="4">
        <v>0.24</v>
      </c>
      <c r="P1676" t="s">
        <v>1777</v>
      </c>
      <c r="Q1676" s="4">
        <v>705.93360000000007</v>
      </c>
    </row>
    <row r="1677" spans="1:17" x14ac:dyDescent="0.3">
      <c r="A1677" t="s">
        <v>3449</v>
      </c>
      <c r="B1677" t="str">
        <f t="shared" si="26"/>
        <v>Q3</v>
      </c>
      <c r="C1677" t="str">
        <f>TEXT(Table1[[#This Row],[Order_Date]],"mmmm")</f>
        <v>July</v>
      </c>
      <c r="D1677">
        <f>YEAR(Table1[[#This Row],[Order_Date]])</f>
        <v>2025</v>
      </c>
      <c r="E1677" s="7">
        <v>45851</v>
      </c>
      <c r="F1677" s="2" t="str">
        <f>VLOOKUP(Table1[[#This Row],[Customer_ID]],Customer_Dim!$A$2:$H$501,2,FALSE)</f>
        <v>John Scott</v>
      </c>
      <c r="G1677" s="2" t="str">
        <f>_xlfn.XLOOKUP(Table1[[#This Row],[Customer_ID]],Customer_Dim!$A$2:$A$501,Customer_Dim!$E$2:$E$501)</f>
        <v>South Christopher</v>
      </c>
      <c r="H1677" t="s">
        <v>75</v>
      </c>
      <c r="I1677" t="str">
        <f>VLOOKUP(Table1[[#This Row],[Product_ID]],Product_Dim!$A$2:$G$101,2,FALSE)</f>
        <v>Matte Lipstick Set-Beauty</v>
      </c>
      <c r="J1677" t="s">
        <v>1651</v>
      </c>
      <c r="K1677" t="str">
        <f>VLOOKUP(Table1[[#This Row],[Store_ID]],Store_Dim!$A$3:$D$22,2,FALSE)</f>
        <v>Guerrero-Schmitt-East</v>
      </c>
      <c r="L1677" t="s">
        <v>1761</v>
      </c>
      <c r="M1677" t="s">
        <v>3957</v>
      </c>
      <c r="N1677" s="3">
        <v>711.08</v>
      </c>
      <c r="O1677" s="4">
        <v>0.24</v>
      </c>
      <c r="P1677" t="s">
        <v>1774</v>
      </c>
      <c r="Q1677" s="4">
        <v>540.42079999999999</v>
      </c>
    </row>
    <row r="1678" spans="1:17" x14ac:dyDescent="0.3">
      <c r="A1678" t="s">
        <v>3450</v>
      </c>
      <c r="B1678" t="str">
        <f t="shared" si="26"/>
        <v>Q4</v>
      </c>
      <c r="C1678" t="str">
        <f>TEXT(Table1[[#This Row],[Order_Date]],"mmmm")</f>
        <v>December</v>
      </c>
      <c r="D1678">
        <f>YEAR(Table1[[#This Row],[Order_Date]])</f>
        <v>2024</v>
      </c>
      <c r="E1678" s="7">
        <v>45656</v>
      </c>
      <c r="F1678" s="2" t="str">
        <f>VLOOKUP(Table1[[#This Row],[Customer_ID]],Customer_Dim!$A$2:$H$501,2,FALSE)</f>
        <v>Tyler Garner</v>
      </c>
      <c r="G1678" s="2" t="str">
        <f>_xlfn.XLOOKUP(Table1[[#This Row],[Customer_ID]],Customer_Dim!$A$2:$A$501,Customer_Dim!$E$2:$E$501)</f>
        <v>Port Coreyfort</v>
      </c>
      <c r="H1678" t="s">
        <v>797</v>
      </c>
      <c r="I1678" t="str">
        <f>VLOOKUP(Table1[[#This Row],[Product_ID]],Product_Dim!$A$2:$G$101,2,FALSE)</f>
        <v>High-Grip Football-Sports</v>
      </c>
      <c r="J1678" t="s">
        <v>1613</v>
      </c>
      <c r="K1678" t="str">
        <f>VLOOKUP(Table1[[#This Row],[Store_ID]],Store_Dim!$A$3:$D$22,2,FALSE)</f>
        <v>Mcdonald Inc-South</v>
      </c>
      <c r="L1678" t="s">
        <v>1754</v>
      </c>
      <c r="M1678" t="s">
        <v>3960</v>
      </c>
      <c r="N1678" s="3">
        <v>984.96</v>
      </c>
      <c r="O1678" s="4">
        <v>0.16</v>
      </c>
      <c r="P1678" t="s">
        <v>1774</v>
      </c>
      <c r="Q1678" s="4">
        <v>1654.7328</v>
      </c>
    </row>
    <row r="1679" spans="1:17" x14ac:dyDescent="0.3">
      <c r="A1679" t="s">
        <v>3451</v>
      </c>
      <c r="B1679" t="str">
        <f t="shared" si="26"/>
        <v>Q2</v>
      </c>
      <c r="C1679" t="str">
        <f>TEXT(Table1[[#This Row],[Order_Date]],"mmmm")</f>
        <v>April</v>
      </c>
      <c r="D1679">
        <f>YEAR(Table1[[#This Row],[Order_Date]])</f>
        <v>2025</v>
      </c>
      <c r="E1679" s="7">
        <v>45759</v>
      </c>
      <c r="F1679" s="2" t="str">
        <f>VLOOKUP(Table1[[#This Row],[Customer_ID]],Customer_Dim!$A$2:$H$501,2,FALSE)</f>
        <v>Ryan Moore</v>
      </c>
      <c r="G1679" s="2" t="str">
        <f>_xlfn.XLOOKUP(Table1[[#This Row],[Customer_ID]],Customer_Dim!$A$2:$A$501,Customer_Dim!$E$2:$E$501)</f>
        <v>Cartershire</v>
      </c>
      <c r="H1679" t="s">
        <v>1066</v>
      </c>
      <c r="I1679" t="str">
        <f>VLOOKUP(Table1[[#This Row],[Product_ID]],Product_Dim!$A$2:$G$101,2,FALSE)</f>
        <v>Sports Water Hydration Pack-Sports</v>
      </c>
      <c r="J1679" t="s">
        <v>1599</v>
      </c>
      <c r="K1679" t="str">
        <f>VLOOKUP(Table1[[#This Row],[Store_ID]],Store_Dim!$A$3:$D$22,2,FALSE)</f>
        <v>Thomas, Bridges and Harris-North</v>
      </c>
      <c r="L1679" t="s">
        <v>1751</v>
      </c>
      <c r="M1679" t="s">
        <v>3957</v>
      </c>
      <c r="N1679" s="3">
        <v>21.14</v>
      </c>
      <c r="O1679" s="4">
        <v>0.06</v>
      </c>
      <c r="P1679" t="s">
        <v>1777</v>
      </c>
      <c r="Q1679" s="4">
        <v>19.871600000000001</v>
      </c>
    </row>
    <row r="1680" spans="1:17" x14ac:dyDescent="0.3">
      <c r="A1680" t="s">
        <v>3452</v>
      </c>
      <c r="B1680" t="str">
        <f t="shared" si="26"/>
        <v>Q1</v>
      </c>
      <c r="C1680" t="str">
        <f>TEXT(Table1[[#This Row],[Order_Date]],"mmmm")</f>
        <v>January</v>
      </c>
      <c r="D1680">
        <f>YEAR(Table1[[#This Row],[Order_Date]])</f>
        <v>2025</v>
      </c>
      <c r="E1680" s="7">
        <v>45679</v>
      </c>
      <c r="F1680" s="2" t="str">
        <f>VLOOKUP(Table1[[#This Row],[Customer_ID]],Customer_Dim!$A$2:$H$501,2,FALSE)</f>
        <v>Howard Summers</v>
      </c>
      <c r="G1680" s="2" t="str">
        <f>_xlfn.XLOOKUP(Table1[[#This Row],[Customer_ID]],Customer_Dim!$A$2:$A$501,Customer_Dim!$E$2:$E$501)</f>
        <v>East Linda</v>
      </c>
      <c r="H1680" t="s">
        <v>370</v>
      </c>
      <c r="I1680" t="str">
        <f>VLOOKUP(Table1[[#This Row],[Product_ID]],Product_Dim!$A$2:$G$101,2,FALSE)</f>
        <v>Portable Bluetooth Speaker-Electronics</v>
      </c>
      <c r="J1680" t="s">
        <v>1719</v>
      </c>
      <c r="K1680" t="str">
        <f>VLOOKUP(Table1[[#This Row],[Store_ID]],Store_Dim!$A$3:$D$22,2,FALSE)</f>
        <v>Bean, Jones and Park-West</v>
      </c>
      <c r="L1680" t="s">
        <v>1744</v>
      </c>
      <c r="M1680" t="s">
        <v>3957</v>
      </c>
      <c r="N1680" s="3">
        <v>343.03</v>
      </c>
      <c r="O1680" s="4">
        <v>0.16</v>
      </c>
      <c r="P1680" t="s">
        <v>1772</v>
      </c>
      <c r="Q1680" s="4">
        <v>288.14519999999999</v>
      </c>
    </row>
    <row r="1681" spans="1:17" x14ac:dyDescent="0.3">
      <c r="A1681" t="s">
        <v>3453</v>
      </c>
      <c r="B1681" t="str">
        <f t="shared" si="26"/>
        <v>Q4</v>
      </c>
      <c r="C1681" t="str">
        <f>TEXT(Table1[[#This Row],[Order_Date]],"mmmm")</f>
        <v>November</v>
      </c>
      <c r="D1681">
        <f>YEAR(Table1[[#This Row],[Order_Date]])</f>
        <v>2023</v>
      </c>
      <c r="E1681" s="7">
        <v>45237</v>
      </c>
      <c r="F1681" s="2" t="str">
        <f>VLOOKUP(Table1[[#This Row],[Customer_ID]],Customer_Dim!$A$2:$H$501,2,FALSE)</f>
        <v>Douglas Rhodes</v>
      </c>
      <c r="G1681" s="2" t="str">
        <f>_xlfn.XLOOKUP(Table1[[#This Row],[Customer_ID]],Customer_Dim!$A$2:$A$501,Customer_Dim!$E$2:$E$501)</f>
        <v>Mikehaven</v>
      </c>
      <c r="H1681" t="s">
        <v>785</v>
      </c>
      <c r="I1681" t="str">
        <f>VLOOKUP(Table1[[#This Row],[Product_ID]],Product_Dim!$A$2:$G$101,2,FALSE)</f>
        <v>Outdoor Sports Water Bottle-Sports</v>
      </c>
      <c r="J1681" t="s">
        <v>1563</v>
      </c>
      <c r="K1681" t="str">
        <f>VLOOKUP(Table1[[#This Row],[Store_ID]],Store_Dim!$A$3:$D$22,2,FALSE)</f>
        <v>Guerrero-Schmitt-East</v>
      </c>
      <c r="L1681" t="s">
        <v>1761</v>
      </c>
      <c r="M1681" t="s">
        <v>3958</v>
      </c>
      <c r="N1681" s="3">
        <v>94.83</v>
      </c>
      <c r="O1681" s="4">
        <v>0.16</v>
      </c>
      <c r="P1681" t="s">
        <v>1777</v>
      </c>
      <c r="Q1681" s="4">
        <v>238.9716</v>
      </c>
    </row>
    <row r="1682" spans="1:17" x14ac:dyDescent="0.3">
      <c r="A1682" t="s">
        <v>3454</v>
      </c>
      <c r="B1682" t="str">
        <f t="shared" si="26"/>
        <v>Q2</v>
      </c>
      <c r="C1682" t="str">
        <f>TEXT(Table1[[#This Row],[Order_Date]],"mmmm")</f>
        <v>May</v>
      </c>
      <c r="D1682">
        <f>YEAR(Table1[[#This Row],[Order_Date]])</f>
        <v>2025</v>
      </c>
      <c r="E1682" s="7">
        <v>45790</v>
      </c>
      <c r="F1682" s="2" t="str">
        <f>VLOOKUP(Table1[[#This Row],[Customer_ID]],Customer_Dim!$A$2:$H$501,2,FALSE)</f>
        <v>Rhonda Moss</v>
      </c>
      <c r="G1682" s="2" t="str">
        <f>_xlfn.XLOOKUP(Table1[[#This Row],[Customer_ID]],Customer_Dim!$A$2:$A$501,Customer_Dim!$E$2:$E$501)</f>
        <v>South William</v>
      </c>
      <c r="H1682" t="s">
        <v>82</v>
      </c>
      <c r="I1682" t="str">
        <f>VLOOKUP(Table1[[#This Row],[Product_ID]],Product_Dim!$A$2:$G$101,2,FALSE)</f>
        <v>Men's Sports Shorts-Clothing</v>
      </c>
      <c r="J1682" t="s">
        <v>1661</v>
      </c>
      <c r="K1682" t="str">
        <f>VLOOKUP(Table1[[#This Row],[Store_ID]],Store_Dim!$A$3:$D$22,2,FALSE)</f>
        <v>Mann-Austin-East</v>
      </c>
      <c r="L1682" t="s">
        <v>1763</v>
      </c>
      <c r="M1682" t="s">
        <v>3958</v>
      </c>
      <c r="N1682" s="3">
        <v>74.66</v>
      </c>
      <c r="O1682" s="4">
        <v>0.03</v>
      </c>
      <c r="P1682" t="s">
        <v>1774</v>
      </c>
      <c r="Q1682" s="4">
        <v>217.26060000000001</v>
      </c>
    </row>
    <row r="1683" spans="1:17" x14ac:dyDescent="0.3">
      <c r="A1683" t="s">
        <v>3455</v>
      </c>
      <c r="B1683" t="str">
        <f t="shared" si="26"/>
        <v>Q4</v>
      </c>
      <c r="C1683" t="str">
        <f>TEXT(Table1[[#This Row],[Order_Date]],"mmmm")</f>
        <v>December</v>
      </c>
      <c r="D1683">
        <f>YEAR(Table1[[#This Row],[Order_Date]])</f>
        <v>2023</v>
      </c>
      <c r="E1683" s="7">
        <v>45268</v>
      </c>
      <c r="F1683" s="2" t="str">
        <f>VLOOKUP(Table1[[#This Row],[Customer_ID]],Customer_Dim!$A$2:$H$501,2,FALSE)</f>
        <v>Patrick Coleman</v>
      </c>
      <c r="G1683" s="2" t="str">
        <f>_xlfn.XLOOKUP(Table1[[#This Row],[Customer_ID]],Customer_Dim!$A$2:$A$501,Customer_Dim!$E$2:$E$501)</f>
        <v>New Jeffrey</v>
      </c>
      <c r="H1683" t="s">
        <v>459</v>
      </c>
      <c r="I1683" t="str">
        <f>VLOOKUP(Table1[[#This Row],[Product_ID]],Product_Dim!$A$2:$G$101,2,FALSE)</f>
        <v>Men's Casual Sneakers-Clothing</v>
      </c>
      <c r="J1683" t="s">
        <v>1597</v>
      </c>
      <c r="K1683" t="str">
        <f>VLOOKUP(Table1[[#This Row],[Store_ID]],Store_Dim!$A$3:$D$22,2,FALSE)</f>
        <v>Shelton PLC-North</v>
      </c>
      <c r="L1683" t="s">
        <v>1755</v>
      </c>
      <c r="M1683" t="s">
        <v>3958</v>
      </c>
      <c r="N1683" s="3">
        <v>281.95999999999998</v>
      </c>
      <c r="O1683" s="4">
        <v>0.01</v>
      </c>
      <c r="P1683" t="s">
        <v>1777</v>
      </c>
      <c r="Q1683" s="4">
        <v>837.42119999999989</v>
      </c>
    </row>
    <row r="1684" spans="1:17" x14ac:dyDescent="0.3">
      <c r="A1684" t="s">
        <v>3456</v>
      </c>
      <c r="B1684" t="str">
        <f t="shared" si="26"/>
        <v>Q1</v>
      </c>
      <c r="C1684" t="str">
        <f>TEXT(Table1[[#This Row],[Order_Date]],"mmmm")</f>
        <v>January</v>
      </c>
      <c r="D1684">
        <f>YEAR(Table1[[#This Row],[Order_Date]])</f>
        <v>2025</v>
      </c>
      <c r="E1684" s="7">
        <v>45664</v>
      </c>
      <c r="F1684" s="2" t="str">
        <f>VLOOKUP(Table1[[#This Row],[Customer_ID]],Customer_Dim!$A$2:$H$501,2,FALSE)</f>
        <v>Joshua Wilson</v>
      </c>
      <c r="G1684" s="2" t="str">
        <f>_xlfn.XLOOKUP(Table1[[#This Row],[Customer_ID]],Customer_Dim!$A$2:$A$501,Customer_Dim!$E$2:$E$501)</f>
        <v>North Larryport</v>
      </c>
      <c r="H1684" t="s">
        <v>752</v>
      </c>
      <c r="I1684" t="str">
        <f>VLOOKUP(Table1[[#This Row],[Product_ID]],Product_Dim!$A$2:$G$101,2,FALSE)</f>
        <v>Hair Repair Oil Treatment-Beauty</v>
      </c>
      <c r="J1684" t="s">
        <v>1665</v>
      </c>
      <c r="K1684" t="str">
        <f>VLOOKUP(Table1[[#This Row],[Store_ID]],Store_Dim!$A$3:$D$22,2,FALSE)</f>
        <v>Guerrero-Schmitt-East</v>
      </c>
      <c r="L1684" t="s">
        <v>1761</v>
      </c>
      <c r="M1684" t="s">
        <v>3959</v>
      </c>
      <c r="N1684" s="3">
        <v>622.27</v>
      </c>
      <c r="O1684" s="4">
        <v>0.02</v>
      </c>
      <c r="P1684" t="s">
        <v>1774</v>
      </c>
      <c r="Q1684" s="4">
        <v>2439.2984000000001</v>
      </c>
    </row>
    <row r="1685" spans="1:17" x14ac:dyDescent="0.3">
      <c r="A1685" t="s">
        <v>3457</v>
      </c>
      <c r="B1685" t="str">
        <f t="shared" si="26"/>
        <v>Q3</v>
      </c>
      <c r="C1685" t="str">
        <f>TEXT(Table1[[#This Row],[Order_Date]],"mmmm")</f>
        <v>July</v>
      </c>
      <c r="D1685">
        <f>YEAR(Table1[[#This Row],[Order_Date]])</f>
        <v>2024</v>
      </c>
      <c r="E1685" s="7">
        <v>45475</v>
      </c>
      <c r="F1685" s="2" t="str">
        <f>VLOOKUP(Table1[[#This Row],[Customer_ID]],Customer_Dim!$A$2:$H$501,2,FALSE)</f>
        <v>Sarah Schneider</v>
      </c>
      <c r="G1685" s="2" t="str">
        <f>_xlfn.XLOOKUP(Table1[[#This Row],[Customer_ID]],Customer_Dim!$A$2:$A$501,Customer_Dim!$E$2:$E$501)</f>
        <v>Port Joshuachester</v>
      </c>
      <c r="H1685" t="s">
        <v>358</v>
      </c>
      <c r="I1685" t="str">
        <f>VLOOKUP(Table1[[#This Row],[Product_ID]],Product_Dim!$A$2:$G$101,2,FALSE)</f>
        <v>Men's Casual Sneakers-Clothing</v>
      </c>
      <c r="J1685" t="s">
        <v>1597</v>
      </c>
      <c r="K1685" t="str">
        <f>VLOOKUP(Table1[[#This Row],[Store_ID]],Store_Dim!$A$3:$D$22,2,FALSE)</f>
        <v>Martinez-Mullins-South</v>
      </c>
      <c r="L1685" t="s">
        <v>1742</v>
      </c>
      <c r="M1685" t="s">
        <v>3960</v>
      </c>
      <c r="N1685" s="3">
        <v>78.27</v>
      </c>
      <c r="O1685" s="4">
        <v>0.28999999999999998</v>
      </c>
      <c r="P1685" t="s">
        <v>1777</v>
      </c>
      <c r="Q1685" s="4">
        <v>111.1434</v>
      </c>
    </row>
    <row r="1686" spans="1:17" x14ac:dyDescent="0.3">
      <c r="A1686" t="s">
        <v>3458</v>
      </c>
      <c r="B1686" t="str">
        <f t="shared" si="26"/>
        <v>Q3</v>
      </c>
      <c r="C1686" t="str">
        <f>TEXT(Table1[[#This Row],[Order_Date]],"mmmm")</f>
        <v>July</v>
      </c>
      <c r="D1686">
        <f>YEAR(Table1[[#This Row],[Order_Date]])</f>
        <v>2025</v>
      </c>
      <c r="E1686" s="7">
        <v>45845</v>
      </c>
      <c r="F1686" s="2" t="str">
        <f>VLOOKUP(Table1[[#This Row],[Customer_ID]],Customer_Dim!$A$2:$H$501,2,FALSE)</f>
        <v>Kenneth Lambert</v>
      </c>
      <c r="G1686" s="2" t="str">
        <f>_xlfn.XLOOKUP(Table1[[#This Row],[Customer_ID]],Customer_Dim!$A$2:$A$501,Customer_Dim!$E$2:$E$501)</f>
        <v>North Kathryn</v>
      </c>
      <c r="H1686" t="s">
        <v>59</v>
      </c>
      <c r="I1686" t="str">
        <f>VLOOKUP(Table1[[#This Row],[Product_ID]],Product_Dim!$A$2:$G$101,2,FALSE)</f>
        <v>Laptop Cooling Pad-Electronics</v>
      </c>
      <c r="J1686" t="s">
        <v>1647</v>
      </c>
      <c r="K1686" t="str">
        <f>VLOOKUP(Table1[[#This Row],[Store_ID]],Store_Dim!$A$3:$D$22,2,FALSE)</f>
        <v>Gardner, Humphrey and Contreras-East</v>
      </c>
      <c r="L1686" t="s">
        <v>1753</v>
      </c>
      <c r="M1686" t="s">
        <v>3959</v>
      </c>
      <c r="N1686" s="3">
        <v>676.58</v>
      </c>
      <c r="O1686" s="4">
        <v>0.23</v>
      </c>
      <c r="P1686" t="s">
        <v>1777</v>
      </c>
      <c r="Q1686" s="4">
        <v>2083.8663999999999</v>
      </c>
    </row>
    <row r="1687" spans="1:17" x14ac:dyDescent="0.3">
      <c r="A1687" t="s">
        <v>3459</v>
      </c>
      <c r="B1687" t="str">
        <f t="shared" si="26"/>
        <v>Q2</v>
      </c>
      <c r="C1687" t="str">
        <f>TEXT(Table1[[#This Row],[Order_Date]],"mmmm")</f>
        <v>June</v>
      </c>
      <c r="D1687">
        <f>YEAR(Table1[[#This Row],[Order_Date]])</f>
        <v>2024</v>
      </c>
      <c r="E1687" s="7">
        <v>45446</v>
      </c>
      <c r="F1687" s="2" t="str">
        <f>VLOOKUP(Table1[[#This Row],[Customer_ID]],Customer_Dim!$A$2:$H$501,2,FALSE)</f>
        <v>Eric Lee</v>
      </c>
      <c r="G1687" s="2" t="str">
        <f>_xlfn.XLOOKUP(Table1[[#This Row],[Customer_ID]],Customer_Dim!$A$2:$A$501,Customer_Dim!$E$2:$E$501)</f>
        <v>Lake April</v>
      </c>
      <c r="H1687" t="s">
        <v>1478</v>
      </c>
      <c r="I1687" t="str">
        <f>VLOOKUP(Table1[[#This Row],[Product_ID]],Product_Dim!$A$2:$G$101,2,FALSE)</f>
        <v>Basketball-Sports</v>
      </c>
      <c r="J1687" t="s">
        <v>1585</v>
      </c>
      <c r="K1687" t="str">
        <f>VLOOKUP(Table1[[#This Row],[Store_ID]],Store_Dim!$A$3:$D$22,2,FALSE)</f>
        <v>Martinez, Adkins and Johnson-North</v>
      </c>
      <c r="L1687" t="s">
        <v>1728</v>
      </c>
      <c r="M1687" t="s">
        <v>3960</v>
      </c>
      <c r="N1687" s="3">
        <v>938.6</v>
      </c>
      <c r="O1687" s="4">
        <v>0.04</v>
      </c>
      <c r="P1687" t="s">
        <v>1774</v>
      </c>
      <c r="Q1687" s="4">
        <v>1802.1120000000001</v>
      </c>
    </row>
    <row r="1688" spans="1:17" x14ac:dyDescent="0.3">
      <c r="A1688" t="s">
        <v>3460</v>
      </c>
      <c r="B1688" t="str">
        <f t="shared" si="26"/>
        <v>Q2</v>
      </c>
      <c r="C1688" t="str">
        <f>TEXT(Table1[[#This Row],[Order_Date]],"mmmm")</f>
        <v>April</v>
      </c>
      <c r="D1688">
        <f>YEAR(Table1[[#This Row],[Order_Date]])</f>
        <v>2025</v>
      </c>
      <c r="E1688" s="7">
        <v>45761</v>
      </c>
      <c r="F1688" s="2" t="str">
        <f>VLOOKUP(Table1[[#This Row],[Customer_ID]],Customer_Dim!$A$2:$H$501,2,FALSE)</f>
        <v>Carlos Flores</v>
      </c>
      <c r="G1688" s="2" t="str">
        <f>_xlfn.XLOOKUP(Table1[[#This Row],[Customer_ID]],Customer_Dim!$A$2:$A$501,Customer_Dim!$E$2:$E$501)</f>
        <v>North Johnfurt</v>
      </c>
      <c r="H1688" t="s">
        <v>1100</v>
      </c>
      <c r="I1688" t="str">
        <f>VLOOKUP(Table1[[#This Row],[Product_ID]],Product_Dim!$A$2:$G$101,2,FALSE)</f>
        <v>USB-C Fast Charger-Electronics</v>
      </c>
      <c r="J1688" t="s">
        <v>1549</v>
      </c>
      <c r="K1688" t="str">
        <f>VLOOKUP(Table1[[#This Row],[Store_ID]],Store_Dim!$A$3:$D$22,2,FALSE)</f>
        <v>Mcdonald Inc-South</v>
      </c>
      <c r="L1688" t="s">
        <v>1754</v>
      </c>
      <c r="M1688" t="s">
        <v>3960</v>
      </c>
      <c r="N1688" s="3">
        <v>859.47</v>
      </c>
      <c r="O1688" s="4">
        <v>0.01</v>
      </c>
      <c r="P1688" t="s">
        <v>1772</v>
      </c>
      <c r="Q1688" s="4">
        <v>1701.7506000000001</v>
      </c>
    </row>
    <row r="1689" spans="1:17" x14ac:dyDescent="0.3">
      <c r="A1689" t="s">
        <v>3461</v>
      </c>
      <c r="B1689" t="str">
        <f t="shared" si="26"/>
        <v>Q1</v>
      </c>
      <c r="C1689" t="str">
        <f>TEXT(Table1[[#This Row],[Order_Date]],"mmmm")</f>
        <v>March</v>
      </c>
      <c r="D1689">
        <f>YEAR(Table1[[#This Row],[Order_Date]])</f>
        <v>2024</v>
      </c>
      <c r="E1689" s="7">
        <v>45363</v>
      </c>
      <c r="F1689" s="2" t="str">
        <f>VLOOKUP(Table1[[#This Row],[Customer_ID]],Customer_Dim!$A$2:$H$501,2,FALSE)</f>
        <v>Jay Patel</v>
      </c>
      <c r="G1689" s="2" t="str">
        <f>_xlfn.XLOOKUP(Table1[[#This Row],[Customer_ID]],Customer_Dim!$A$2:$A$501,Customer_Dim!$E$2:$E$501)</f>
        <v>Morrisbury</v>
      </c>
      <c r="H1689" t="s">
        <v>211</v>
      </c>
      <c r="I1689" t="str">
        <f>VLOOKUP(Table1[[#This Row],[Product_ID]],Product_Dim!$A$2:$G$101,2,FALSE)</f>
        <v>Decorative Floor Vase-Home</v>
      </c>
      <c r="J1689" t="s">
        <v>1577</v>
      </c>
      <c r="K1689" t="str">
        <f>VLOOKUP(Table1[[#This Row],[Store_ID]],Store_Dim!$A$3:$D$22,2,FALSE)</f>
        <v>Mcdonald Inc-South</v>
      </c>
      <c r="L1689" t="s">
        <v>1754</v>
      </c>
      <c r="M1689" t="s">
        <v>3958</v>
      </c>
      <c r="N1689" s="3">
        <v>672.98</v>
      </c>
      <c r="O1689" s="4">
        <v>0.23</v>
      </c>
      <c r="P1689" t="s">
        <v>1774</v>
      </c>
      <c r="Q1689" s="4">
        <v>1554.5838000000001</v>
      </c>
    </row>
    <row r="1690" spans="1:17" x14ac:dyDescent="0.3">
      <c r="A1690" t="s">
        <v>3462</v>
      </c>
      <c r="B1690" t="str">
        <f t="shared" si="26"/>
        <v>Q2</v>
      </c>
      <c r="C1690" t="str">
        <f>TEXT(Table1[[#This Row],[Order_Date]],"mmmm")</f>
        <v>May</v>
      </c>
      <c r="D1690">
        <f>YEAR(Table1[[#This Row],[Order_Date]])</f>
        <v>2024</v>
      </c>
      <c r="E1690" s="7">
        <v>45420</v>
      </c>
      <c r="F1690" s="2" t="str">
        <f>VLOOKUP(Table1[[#This Row],[Customer_ID]],Customer_Dim!$A$2:$H$501,2,FALSE)</f>
        <v>Ronald Jones</v>
      </c>
      <c r="G1690" s="2" t="str">
        <f>_xlfn.XLOOKUP(Table1[[#This Row],[Customer_ID]],Customer_Dim!$A$2:$A$501,Customer_Dim!$E$2:$E$501)</f>
        <v>Brownshire</v>
      </c>
      <c r="H1690" t="s">
        <v>666</v>
      </c>
      <c r="I1690" t="str">
        <f>VLOOKUP(Table1[[#This Row],[Product_ID]],Product_Dim!$A$2:$G$101,2,FALSE)</f>
        <v>Premium Blanket Throw-Home</v>
      </c>
      <c r="J1690" t="s">
        <v>1635</v>
      </c>
      <c r="K1690" t="str">
        <f>VLOOKUP(Table1[[#This Row],[Store_ID]],Store_Dim!$A$3:$D$22,2,FALSE)</f>
        <v>Guerrero-Schmitt-East</v>
      </c>
      <c r="L1690" t="s">
        <v>1761</v>
      </c>
      <c r="M1690" t="s">
        <v>3957</v>
      </c>
      <c r="N1690" s="3">
        <v>75.8</v>
      </c>
      <c r="O1690" s="4">
        <v>0.28999999999999998</v>
      </c>
      <c r="P1690" t="s">
        <v>1774</v>
      </c>
      <c r="Q1690" s="4">
        <v>53.817999999999998</v>
      </c>
    </row>
    <row r="1691" spans="1:17" x14ac:dyDescent="0.3">
      <c r="A1691" t="s">
        <v>3463</v>
      </c>
      <c r="B1691" t="str">
        <f t="shared" si="26"/>
        <v>Q3</v>
      </c>
      <c r="C1691" t="str">
        <f>TEXT(Table1[[#This Row],[Order_Date]],"mmmm")</f>
        <v>September</v>
      </c>
      <c r="D1691">
        <f>YEAR(Table1[[#This Row],[Order_Date]])</f>
        <v>2024</v>
      </c>
      <c r="E1691" s="7">
        <v>45536</v>
      </c>
      <c r="F1691" s="2" t="str">
        <f>VLOOKUP(Table1[[#This Row],[Customer_ID]],Customer_Dim!$A$2:$H$501,2,FALSE)</f>
        <v>Christopher Olson</v>
      </c>
      <c r="G1691" s="2" t="str">
        <f>_xlfn.XLOOKUP(Table1[[#This Row],[Customer_ID]],Customer_Dim!$A$2:$A$501,Customer_Dim!$E$2:$E$501)</f>
        <v>West Richard</v>
      </c>
      <c r="H1691" t="s">
        <v>136</v>
      </c>
      <c r="I1691" t="str">
        <f>VLOOKUP(Table1[[#This Row],[Product_ID]],Product_Dim!$A$2:$G$101,2,FALSE)</f>
        <v>Soccer Training Cone Set-Sports</v>
      </c>
      <c r="J1691" t="s">
        <v>1557</v>
      </c>
      <c r="K1691" t="str">
        <f>VLOOKUP(Table1[[#This Row],[Store_ID]],Store_Dim!$A$3:$D$22,2,FALSE)</f>
        <v>Shelton PLC-North</v>
      </c>
      <c r="L1691" t="s">
        <v>1755</v>
      </c>
      <c r="M1691" t="s">
        <v>3959</v>
      </c>
      <c r="N1691" s="3">
        <v>742.15</v>
      </c>
      <c r="O1691" s="4">
        <v>0.1</v>
      </c>
      <c r="P1691" t="s">
        <v>1777</v>
      </c>
      <c r="Q1691" s="4">
        <v>2671.74</v>
      </c>
    </row>
    <row r="1692" spans="1:17" x14ac:dyDescent="0.3">
      <c r="A1692" t="s">
        <v>3464</v>
      </c>
      <c r="B1692" t="str">
        <f t="shared" si="26"/>
        <v>Q2</v>
      </c>
      <c r="C1692" t="str">
        <f>TEXT(Table1[[#This Row],[Order_Date]],"mmmm")</f>
        <v>June</v>
      </c>
      <c r="D1692">
        <f>YEAR(Table1[[#This Row],[Order_Date]])</f>
        <v>2024</v>
      </c>
      <c r="E1692" s="7">
        <v>45445</v>
      </c>
      <c r="F1692" s="2" t="str">
        <f>VLOOKUP(Table1[[#This Row],[Customer_ID]],Customer_Dim!$A$2:$H$501,2,FALSE)</f>
        <v>Tonya Burch</v>
      </c>
      <c r="G1692" s="2" t="str">
        <f>_xlfn.XLOOKUP(Table1[[#This Row],[Customer_ID]],Customer_Dim!$A$2:$A$501,Customer_Dim!$E$2:$E$501)</f>
        <v>Olsonhaven</v>
      </c>
      <c r="H1692" t="s">
        <v>261</v>
      </c>
      <c r="I1692" t="str">
        <f>VLOOKUP(Table1[[#This Row],[Product_ID]],Product_Dim!$A$2:$G$101,2,FALSE)</f>
        <v>Stainless Steel Cutlery Set-Home</v>
      </c>
      <c r="J1692" t="s">
        <v>1583</v>
      </c>
      <c r="K1692" t="str">
        <f>VLOOKUP(Table1[[#This Row],[Store_ID]],Store_Dim!$A$3:$D$22,2,FALSE)</f>
        <v>Martinez-Mullins-South</v>
      </c>
      <c r="L1692" t="s">
        <v>1742</v>
      </c>
      <c r="M1692" t="s">
        <v>3957</v>
      </c>
      <c r="N1692" s="3">
        <v>637.39</v>
      </c>
      <c r="O1692" s="4">
        <v>0.22</v>
      </c>
      <c r="P1692" t="s">
        <v>1774</v>
      </c>
      <c r="Q1692" s="4">
        <v>497.16419999999999</v>
      </c>
    </row>
    <row r="1693" spans="1:17" x14ac:dyDescent="0.3">
      <c r="A1693" t="s">
        <v>3465</v>
      </c>
      <c r="B1693" t="str">
        <f t="shared" si="26"/>
        <v>Q4</v>
      </c>
      <c r="C1693" t="str">
        <f>TEXT(Table1[[#This Row],[Order_Date]],"mmmm")</f>
        <v>October</v>
      </c>
      <c r="D1693">
        <f>YEAR(Table1[[#This Row],[Order_Date]])</f>
        <v>2023</v>
      </c>
      <c r="E1693" s="7">
        <v>45230</v>
      </c>
      <c r="F1693" s="2" t="str">
        <f>VLOOKUP(Table1[[#This Row],[Customer_ID]],Customer_Dim!$A$2:$H$501,2,FALSE)</f>
        <v>Heidi Tyler</v>
      </c>
      <c r="G1693" s="2" t="str">
        <f>_xlfn.XLOOKUP(Table1[[#This Row],[Customer_ID]],Customer_Dim!$A$2:$A$501,Customer_Dim!$E$2:$E$501)</f>
        <v>Dawnstad</v>
      </c>
      <c r="H1693" t="s">
        <v>1207</v>
      </c>
      <c r="I1693" t="str">
        <f>VLOOKUP(Table1[[#This Row],[Product_ID]],Product_Dim!$A$2:$G$101,2,FALSE)</f>
        <v>Herbal Face Moisturizer-Beauty</v>
      </c>
      <c r="J1693" t="s">
        <v>1535</v>
      </c>
      <c r="K1693" t="str">
        <f>VLOOKUP(Table1[[#This Row],[Store_ID]],Store_Dim!$A$3:$D$22,2,FALSE)</f>
        <v>Holloway Ltd-North</v>
      </c>
      <c r="L1693" t="s">
        <v>1759</v>
      </c>
      <c r="M1693" t="s">
        <v>3957</v>
      </c>
      <c r="N1693" s="3">
        <v>631</v>
      </c>
      <c r="O1693" s="4">
        <v>0.04</v>
      </c>
      <c r="P1693" t="s">
        <v>1772</v>
      </c>
      <c r="Q1693" s="4">
        <v>605.76</v>
      </c>
    </row>
    <row r="1694" spans="1:17" x14ac:dyDescent="0.3">
      <c r="A1694" t="s">
        <v>3466</v>
      </c>
      <c r="B1694" t="str">
        <f t="shared" si="26"/>
        <v>Q3</v>
      </c>
      <c r="C1694" t="str">
        <f>TEXT(Table1[[#This Row],[Order_Date]],"mmmm")</f>
        <v>September</v>
      </c>
      <c r="D1694">
        <f>YEAR(Table1[[#This Row],[Order_Date]])</f>
        <v>2025</v>
      </c>
      <c r="E1694" s="7">
        <v>45916</v>
      </c>
      <c r="F1694" s="2" t="str">
        <f>VLOOKUP(Table1[[#This Row],[Customer_ID]],Customer_Dim!$A$2:$H$501,2,FALSE)</f>
        <v>Michael Mcneil</v>
      </c>
      <c r="G1694" s="2" t="str">
        <f>_xlfn.XLOOKUP(Table1[[#This Row],[Customer_ID]],Customer_Dim!$A$2:$A$501,Customer_Dim!$E$2:$E$501)</f>
        <v>Stewartchester</v>
      </c>
      <c r="H1694" t="s">
        <v>1213</v>
      </c>
      <c r="I1694" t="str">
        <f>VLOOKUP(Table1[[#This Row],[Product_ID]],Product_Dim!$A$2:$G$101,2,FALSE)</f>
        <v>Wall-Mounted Spice Rack-Home</v>
      </c>
      <c r="J1694" t="s">
        <v>1683</v>
      </c>
      <c r="K1694" t="str">
        <f>VLOOKUP(Table1[[#This Row],[Store_ID]],Store_Dim!$A$3:$D$22,2,FALSE)</f>
        <v>Johnson-Wright-North</v>
      </c>
      <c r="L1694" t="s">
        <v>1733</v>
      </c>
      <c r="M1694" t="s">
        <v>3959</v>
      </c>
      <c r="N1694" s="3">
        <v>983.98</v>
      </c>
      <c r="O1694" s="4">
        <v>0.11</v>
      </c>
      <c r="P1694" t="s">
        <v>1777</v>
      </c>
      <c r="Q1694" s="4">
        <v>3502.9688000000001</v>
      </c>
    </row>
    <row r="1695" spans="1:17" x14ac:dyDescent="0.3">
      <c r="A1695" t="s">
        <v>3467</v>
      </c>
      <c r="B1695" t="str">
        <f t="shared" si="26"/>
        <v>Q1</v>
      </c>
      <c r="C1695" t="str">
        <f>TEXT(Table1[[#This Row],[Order_Date]],"mmmm")</f>
        <v>March</v>
      </c>
      <c r="D1695">
        <f>YEAR(Table1[[#This Row],[Order_Date]])</f>
        <v>2024</v>
      </c>
      <c r="E1695" s="7">
        <v>45353</v>
      </c>
      <c r="F1695" s="2" t="str">
        <f>VLOOKUP(Table1[[#This Row],[Customer_ID]],Customer_Dim!$A$2:$H$501,2,FALSE)</f>
        <v>Katherine Dorsey</v>
      </c>
      <c r="G1695" s="2" t="str">
        <f>_xlfn.XLOOKUP(Table1[[#This Row],[Customer_ID]],Customer_Dim!$A$2:$A$501,Customer_Dim!$E$2:$E$501)</f>
        <v>Christopherland</v>
      </c>
      <c r="H1695" t="s">
        <v>202</v>
      </c>
      <c r="I1695" t="str">
        <f>VLOOKUP(Table1[[#This Row],[Product_ID]],Product_Dim!$A$2:$G$101,2,FALSE)</f>
        <v>Ceramic Plant Pot-Home</v>
      </c>
      <c r="J1695" t="s">
        <v>1633</v>
      </c>
      <c r="K1695" t="str">
        <f>VLOOKUP(Table1[[#This Row],[Store_ID]],Store_Dim!$A$3:$D$22,2,FALSE)</f>
        <v>Aguirre-Keller-South</v>
      </c>
      <c r="L1695" t="s">
        <v>1750</v>
      </c>
      <c r="M1695" t="s">
        <v>3959</v>
      </c>
      <c r="N1695" s="3">
        <v>73.69</v>
      </c>
      <c r="O1695" s="4">
        <v>0.08</v>
      </c>
      <c r="P1695" t="s">
        <v>1772</v>
      </c>
      <c r="Q1695" s="4">
        <v>271.17919999999998</v>
      </c>
    </row>
    <row r="1696" spans="1:17" x14ac:dyDescent="0.3">
      <c r="A1696" t="s">
        <v>3468</v>
      </c>
      <c r="B1696" t="str">
        <f t="shared" si="26"/>
        <v>Q3</v>
      </c>
      <c r="C1696" t="str">
        <f>TEXT(Table1[[#This Row],[Order_Date]],"mmmm")</f>
        <v>July</v>
      </c>
      <c r="D1696">
        <f>YEAR(Table1[[#This Row],[Order_Date]])</f>
        <v>2024</v>
      </c>
      <c r="E1696" s="7">
        <v>45490</v>
      </c>
      <c r="F1696" s="2" t="str">
        <f>VLOOKUP(Table1[[#This Row],[Customer_ID]],Customer_Dim!$A$2:$H$501,2,FALSE)</f>
        <v>Thomas Moore</v>
      </c>
      <c r="G1696" s="2" t="str">
        <f>_xlfn.XLOOKUP(Table1[[#This Row],[Customer_ID]],Customer_Dim!$A$2:$A$501,Customer_Dim!$E$2:$E$501)</f>
        <v>Williamsberg</v>
      </c>
      <c r="H1696" t="s">
        <v>1327</v>
      </c>
      <c r="I1696" t="str">
        <f>VLOOKUP(Table1[[#This Row],[Product_ID]],Product_Dim!$A$2:$G$101,2,FALSE)</f>
        <v>HD Smart TV Stick-Electronics</v>
      </c>
      <c r="J1696" t="s">
        <v>1545</v>
      </c>
      <c r="K1696" t="str">
        <f>VLOOKUP(Table1[[#This Row],[Store_ID]],Store_Dim!$A$3:$D$22,2,FALSE)</f>
        <v>Martinez-Mullins-South</v>
      </c>
      <c r="L1696" t="s">
        <v>1742</v>
      </c>
      <c r="M1696" t="s">
        <v>3958</v>
      </c>
      <c r="N1696" s="3">
        <v>110.99</v>
      </c>
      <c r="O1696" s="4">
        <v>0.21</v>
      </c>
      <c r="P1696" t="s">
        <v>1772</v>
      </c>
      <c r="Q1696" s="4">
        <v>263.04629999999997</v>
      </c>
    </row>
    <row r="1697" spans="1:17" x14ac:dyDescent="0.3">
      <c r="A1697" t="s">
        <v>3469</v>
      </c>
      <c r="B1697" t="str">
        <f t="shared" si="26"/>
        <v>Q3</v>
      </c>
      <c r="C1697" t="str">
        <f>TEXT(Table1[[#This Row],[Order_Date]],"mmmm")</f>
        <v>July</v>
      </c>
      <c r="D1697">
        <f>YEAR(Table1[[#This Row],[Order_Date]])</f>
        <v>2025</v>
      </c>
      <c r="E1697" s="7">
        <v>45850</v>
      </c>
      <c r="F1697" s="2" t="str">
        <f>VLOOKUP(Table1[[#This Row],[Customer_ID]],Customer_Dim!$A$2:$H$501,2,FALSE)</f>
        <v>Thomas Robinson</v>
      </c>
      <c r="G1697" s="2" t="str">
        <f>_xlfn.XLOOKUP(Table1[[#This Row],[Customer_ID]],Customer_Dim!$A$2:$A$501,Customer_Dim!$E$2:$E$501)</f>
        <v>Nicholastown</v>
      </c>
      <c r="H1697" t="s">
        <v>298</v>
      </c>
      <c r="I1697" t="str">
        <f>VLOOKUP(Table1[[#This Row],[Product_ID]],Product_Dim!$A$2:$G$101,2,FALSE)</f>
        <v>Ceramic Kitchen Bowl Set-Home</v>
      </c>
      <c r="J1697" t="s">
        <v>1543</v>
      </c>
      <c r="K1697" t="str">
        <f>VLOOKUP(Table1[[#This Row],[Store_ID]],Store_Dim!$A$3:$D$22,2,FALSE)</f>
        <v>Martinez-Mullins-South</v>
      </c>
      <c r="L1697" t="s">
        <v>1742</v>
      </c>
      <c r="M1697" t="s">
        <v>3957</v>
      </c>
      <c r="N1697" s="3">
        <v>66.86</v>
      </c>
      <c r="O1697" s="4">
        <v>0.22</v>
      </c>
      <c r="P1697" t="s">
        <v>1777</v>
      </c>
      <c r="Q1697" s="4">
        <v>52.150799999999997</v>
      </c>
    </row>
    <row r="1698" spans="1:17" x14ac:dyDescent="0.3">
      <c r="A1698" t="s">
        <v>3470</v>
      </c>
      <c r="B1698" t="str">
        <f t="shared" si="26"/>
        <v>Q3</v>
      </c>
      <c r="C1698" t="str">
        <f>TEXT(Table1[[#This Row],[Order_Date]],"mmmm")</f>
        <v>August</v>
      </c>
      <c r="D1698">
        <f>YEAR(Table1[[#This Row],[Order_Date]])</f>
        <v>2024</v>
      </c>
      <c r="E1698" s="7">
        <v>45515</v>
      </c>
      <c r="F1698" s="2" t="str">
        <f>VLOOKUP(Table1[[#This Row],[Customer_ID]],Customer_Dim!$A$2:$H$501,2,FALSE)</f>
        <v>Karen King</v>
      </c>
      <c r="G1698" s="2" t="str">
        <f>_xlfn.XLOOKUP(Table1[[#This Row],[Customer_ID]],Customer_Dim!$A$2:$A$501,Customer_Dim!$E$2:$E$501)</f>
        <v>Kimburgh</v>
      </c>
      <c r="H1698" t="s">
        <v>1281</v>
      </c>
      <c r="I1698" t="str">
        <f>VLOOKUP(Table1[[#This Row],[Product_ID]],Product_Dim!$A$2:$G$101,2,FALSE)</f>
        <v>Smart LED Light Strip-Electronics</v>
      </c>
      <c r="J1698" t="s">
        <v>1657</v>
      </c>
      <c r="K1698" t="str">
        <f>VLOOKUP(Table1[[#This Row],[Store_ID]],Store_Dim!$A$3:$D$22,2,FALSE)</f>
        <v>Guerrero-Schmitt-East</v>
      </c>
      <c r="L1698" t="s">
        <v>1761</v>
      </c>
      <c r="M1698" t="s">
        <v>3957</v>
      </c>
      <c r="N1698" s="3">
        <v>980.26</v>
      </c>
      <c r="O1698" s="4">
        <v>0.14000000000000001</v>
      </c>
      <c r="P1698" t="s">
        <v>1774</v>
      </c>
      <c r="Q1698" s="4">
        <v>843.02359999999999</v>
      </c>
    </row>
    <row r="1699" spans="1:17" x14ac:dyDescent="0.3">
      <c r="A1699" t="s">
        <v>3471</v>
      </c>
      <c r="B1699" t="str">
        <f t="shared" si="26"/>
        <v>Q1</v>
      </c>
      <c r="C1699" t="str">
        <f>TEXT(Table1[[#This Row],[Order_Date]],"mmmm")</f>
        <v>January</v>
      </c>
      <c r="D1699">
        <f>YEAR(Table1[[#This Row],[Order_Date]])</f>
        <v>2024</v>
      </c>
      <c r="E1699" s="7">
        <v>45322</v>
      </c>
      <c r="F1699" s="2" t="str">
        <f>VLOOKUP(Table1[[#This Row],[Customer_ID]],Customer_Dim!$A$2:$H$501,2,FALSE)</f>
        <v>Christopher Carter</v>
      </c>
      <c r="G1699" s="2" t="str">
        <f>_xlfn.XLOOKUP(Table1[[#This Row],[Customer_ID]],Customer_Dim!$A$2:$A$501,Customer_Dim!$E$2:$E$501)</f>
        <v>Brendastad</v>
      </c>
      <c r="H1699" t="s">
        <v>146</v>
      </c>
      <c r="I1699" t="str">
        <f>VLOOKUP(Table1[[#This Row],[Product_ID]],Product_Dim!$A$2:$G$101,2,FALSE)</f>
        <v>Women's Denim Jeans-Clothing</v>
      </c>
      <c r="J1699" t="s">
        <v>1559</v>
      </c>
      <c r="K1699" t="str">
        <f>VLOOKUP(Table1[[#This Row],[Store_ID]],Store_Dim!$A$3:$D$22,2,FALSE)</f>
        <v>Guerrero-Schmitt-East</v>
      </c>
      <c r="L1699" t="s">
        <v>1761</v>
      </c>
      <c r="M1699" t="s">
        <v>3957</v>
      </c>
      <c r="N1699" s="3">
        <v>235.28</v>
      </c>
      <c r="O1699" s="4">
        <v>0.05</v>
      </c>
      <c r="P1699" t="s">
        <v>1774</v>
      </c>
      <c r="Q1699" s="4">
        <v>223.51599999999999</v>
      </c>
    </row>
    <row r="1700" spans="1:17" x14ac:dyDescent="0.3">
      <c r="A1700" t="s">
        <v>3472</v>
      </c>
      <c r="B1700" t="str">
        <f t="shared" si="26"/>
        <v>Q3</v>
      </c>
      <c r="C1700" t="str">
        <f>TEXT(Table1[[#This Row],[Order_Date]],"mmmm")</f>
        <v>September</v>
      </c>
      <c r="D1700">
        <f>YEAR(Table1[[#This Row],[Order_Date]])</f>
        <v>2024</v>
      </c>
      <c r="E1700" s="7">
        <v>45542</v>
      </c>
      <c r="F1700" s="2" t="str">
        <f>VLOOKUP(Table1[[#This Row],[Customer_ID]],Customer_Dim!$A$2:$H$501,2,FALSE)</f>
        <v>Jennifer Myers</v>
      </c>
      <c r="G1700" s="2" t="str">
        <f>_xlfn.XLOOKUP(Table1[[#This Row],[Customer_ID]],Customer_Dim!$A$2:$A$501,Customer_Dim!$E$2:$E$501)</f>
        <v>Marthaborough</v>
      </c>
      <c r="H1700" t="s">
        <v>1278</v>
      </c>
      <c r="I1700" t="str">
        <f>VLOOKUP(Table1[[#This Row],[Product_ID]],Product_Dim!$A$2:$G$101,2,FALSE)</f>
        <v>Brother Laser Printer-Electronics</v>
      </c>
      <c r="J1700" t="s">
        <v>1523</v>
      </c>
      <c r="K1700" t="str">
        <f>VLOOKUP(Table1[[#This Row],[Store_ID]],Store_Dim!$A$3:$D$22,2,FALSE)</f>
        <v>Shelton PLC-North</v>
      </c>
      <c r="L1700" t="s">
        <v>1755</v>
      </c>
      <c r="M1700" t="s">
        <v>3958</v>
      </c>
      <c r="N1700" s="3">
        <v>407.39</v>
      </c>
      <c r="O1700" s="4">
        <v>0.08</v>
      </c>
      <c r="P1700" t="s">
        <v>1774</v>
      </c>
      <c r="Q1700" s="4">
        <v>1124.3964000000001</v>
      </c>
    </row>
    <row r="1701" spans="1:17" x14ac:dyDescent="0.3">
      <c r="A1701" t="s">
        <v>3473</v>
      </c>
      <c r="B1701" t="str">
        <f t="shared" si="26"/>
        <v>Q1</v>
      </c>
      <c r="C1701" t="str">
        <f>TEXT(Table1[[#This Row],[Order_Date]],"mmmm")</f>
        <v>January</v>
      </c>
      <c r="D1701">
        <f>YEAR(Table1[[#This Row],[Order_Date]])</f>
        <v>2025</v>
      </c>
      <c r="E1701" s="7">
        <v>45675</v>
      </c>
      <c r="F1701" s="2" t="str">
        <f>VLOOKUP(Table1[[#This Row],[Customer_ID]],Customer_Dim!$A$2:$H$501,2,FALSE)</f>
        <v>Mr. Mark Beasley</v>
      </c>
      <c r="G1701" s="2" t="str">
        <f>_xlfn.XLOOKUP(Table1[[#This Row],[Customer_ID]],Customer_Dim!$A$2:$A$501,Customer_Dim!$E$2:$E$501)</f>
        <v>West Johnchester</v>
      </c>
      <c r="H1701" t="s">
        <v>248</v>
      </c>
      <c r="I1701" t="str">
        <f>VLOOKUP(Table1[[#This Row],[Product_ID]],Product_Dim!$A$2:$G$101,2,FALSE)</f>
        <v>Decorative Floor Vase-Home</v>
      </c>
      <c r="J1701" t="s">
        <v>1577</v>
      </c>
      <c r="K1701" t="str">
        <f>VLOOKUP(Table1[[#This Row],[Store_ID]],Store_Dim!$A$3:$D$22,2,FALSE)</f>
        <v>Mcdonald Inc-South</v>
      </c>
      <c r="L1701" t="s">
        <v>1754</v>
      </c>
      <c r="M1701" t="s">
        <v>3959</v>
      </c>
      <c r="N1701" s="3">
        <v>459.83</v>
      </c>
      <c r="O1701" s="4">
        <v>0.12</v>
      </c>
      <c r="P1701" t="s">
        <v>1777</v>
      </c>
      <c r="Q1701" s="4">
        <v>1618.6016</v>
      </c>
    </row>
    <row r="1702" spans="1:17" x14ac:dyDescent="0.3">
      <c r="A1702" t="s">
        <v>3474</v>
      </c>
      <c r="B1702" t="str">
        <f t="shared" si="26"/>
        <v>Q1</v>
      </c>
      <c r="C1702" t="str">
        <f>TEXT(Table1[[#This Row],[Order_Date]],"mmmm")</f>
        <v>February</v>
      </c>
      <c r="D1702">
        <f>YEAR(Table1[[#This Row],[Order_Date]])</f>
        <v>2024</v>
      </c>
      <c r="E1702" s="7">
        <v>45333</v>
      </c>
      <c r="F1702" s="2" t="str">
        <f>VLOOKUP(Table1[[#This Row],[Customer_ID]],Customer_Dim!$A$2:$H$501,2,FALSE)</f>
        <v>Rhonda Young</v>
      </c>
      <c r="G1702" s="2" t="str">
        <f>_xlfn.XLOOKUP(Table1[[#This Row],[Customer_ID]],Customer_Dim!$A$2:$A$501,Customer_Dim!$E$2:$E$501)</f>
        <v>Lake Nathanfort</v>
      </c>
      <c r="H1702" t="s">
        <v>491</v>
      </c>
      <c r="I1702" t="str">
        <f>VLOOKUP(Table1[[#This Row],[Product_ID]],Product_Dim!$A$2:$G$101,2,FALSE)</f>
        <v>USB-C Laptop Charger-Electronics</v>
      </c>
      <c r="J1702" t="s">
        <v>1709</v>
      </c>
      <c r="K1702" t="str">
        <f>VLOOKUP(Table1[[#This Row],[Store_ID]],Store_Dim!$A$3:$D$22,2,FALSE)</f>
        <v>Alexander Group-South</v>
      </c>
      <c r="L1702" t="s">
        <v>1735</v>
      </c>
      <c r="M1702" t="s">
        <v>3958</v>
      </c>
      <c r="N1702" s="3">
        <v>706.6</v>
      </c>
      <c r="O1702" s="4">
        <v>0.17</v>
      </c>
      <c r="P1702" t="s">
        <v>1774</v>
      </c>
      <c r="Q1702" s="4">
        <v>1759.434</v>
      </c>
    </row>
    <row r="1703" spans="1:17" x14ac:dyDescent="0.3">
      <c r="A1703" t="s">
        <v>3475</v>
      </c>
      <c r="B1703" t="str">
        <f t="shared" si="26"/>
        <v>Q2</v>
      </c>
      <c r="C1703" t="str">
        <f>TEXT(Table1[[#This Row],[Order_Date]],"mmmm")</f>
        <v>June</v>
      </c>
      <c r="D1703">
        <f>YEAR(Table1[[#This Row],[Order_Date]])</f>
        <v>2025</v>
      </c>
      <c r="E1703" s="7">
        <v>45819</v>
      </c>
      <c r="F1703" s="2" t="str">
        <f>VLOOKUP(Table1[[#This Row],[Customer_ID]],Customer_Dim!$A$2:$H$501,2,FALSE)</f>
        <v>Beth Martin</v>
      </c>
      <c r="G1703" s="2" t="str">
        <f>_xlfn.XLOOKUP(Table1[[#This Row],[Customer_ID]],Customer_Dim!$A$2:$A$501,Customer_Dim!$E$2:$E$501)</f>
        <v>Burkefurt</v>
      </c>
      <c r="H1703" t="s">
        <v>1409</v>
      </c>
      <c r="I1703" t="str">
        <f>VLOOKUP(Table1[[#This Row],[Product_ID]],Product_Dim!$A$2:$G$101,2,FALSE)</f>
        <v>Women's High Heels-Clothing</v>
      </c>
      <c r="J1703" t="s">
        <v>1705</v>
      </c>
      <c r="K1703" t="str">
        <f>VLOOKUP(Table1[[#This Row],[Store_ID]],Store_Dim!$A$3:$D$22,2,FALSE)</f>
        <v>Mann-Austin-East</v>
      </c>
      <c r="L1703" t="s">
        <v>1763</v>
      </c>
      <c r="M1703" t="s">
        <v>3958</v>
      </c>
      <c r="N1703" s="3">
        <v>811.16</v>
      </c>
      <c r="O1703" s="4">
        <v>0.1</v>
      </c>
      <c r="P1703" t="s">
        <v>1777</v>
      </c>
      <c r="Q1703" s="4">
        <v>2190.1320000000001</v>
      </c>
    </row>
    <row r="1704" spans="1:17" x14ac:dyDescent="0.3">
      <c r="A1704" t="s">
        <v>3476</v>
      </c>
      <c r="B1704" t="str">
        <f t="shared" si="26"/>
        <v>Q4</v>
      </c>
      <c r="C1704" t="str">
        <f>TEXT(Table1[[#This Row],[Order_Date]],"mmmm")</f>
        <v>December</v>
      </c>
      <c r="D1704">
        <f>YEAR(Table1[[#This Row],[Order_Date]])</f>
        <v>2023</v>
      </c>
      <c r="E1704" s="7">
        <v>45268</v>
      </c>
      <c r="F1704" s="2" t="str">
        <f>VLOOKUP(Table1[[#This Row],[Customer_ID]],Customer_Dim!$A$2:$H$501,2,FALSE)</f>
        <v>Kathy Copeland</v>
      </c>
      <c r="G1704" s="2" t="str">
        <f>_xlfn.XLOOKUP(Table1[[#This Row],[Customer_ID]],Customer_Dim!$A$2:$A$501,Customer_Dim!$E$2:$E$501)</f>
        <v>North Christinemouth</v>
      </c>
      <c r="H1704" t="s">
        <v>699</v>
      </c>
      <c r="I1704" t="str">
        <f>VLOOKUP(Table1[[#This Row],[Product_ID]],Product_Dim!$A$2:$G$101,2,FALSE)</f>
        <v>Men's Casual Sneakers-Clothing</v>
      </c>
      <c r="J1704" t="s">
        <v>1597</v>
      </c>
      <c r="K1704" t="str">
        <f>VLOOKUP(Table1[[#This Row],[Store_ID]],Store_Dim!$A$3:$D$22,2,FALSE)</f>
        <v>Martinez-Mullins-South</v>
      </c>
      <c r="L1704" t="s">
        <v>1742</v>
      </c>
      <c r="M1704" t="s">
        <v>3960</v>
      </c>
      <c r="N1704" s="3">
        <v>985.79</v>
      </c>
      <c r="O1704" s="4">
        <v>0.04</v>
      </c>
      <c r="P1704" t="s">
        <v>1774</v>
      </c>
      <c r="Q1704" s="4">
        <v>1892.7167999999999</v>
      </c>
    </row>
    <row r="1705" spans="1:17" x14ac:dyDescent="0.3">
      <c r="A1705" t="s">
        <v>3477</v>
      </c>
      <c r="B1705" t="str">
        <f t="shared" si="26"/>
        <v>Q3</v>
      </c>
      <c r="C1705" t="str">
        <f>TEXT(Table1[[#This Row],[Order_Date]],"mmmm")</f>
        <v>August</v>
      </c>
      <c r="D1705">
        <f>YEAR(Table1[[#This Row],[Order_Date]])</f>
        <v>2024</v>
      </c>
      <c r="E1705" s="7">
        <v>45521</v>
      </c>
      <c r="F1705" s="2" t="str">
        <f>VLOOKUP(Table1[[#This Row],[Customer_ID]],Customer_Dim!$A$2:$H$501,2,FALSE)</f>
        <v>Dr. Suzanne Bullock</v>
      </c>
      <c r="G1705" s="2" t="str">
        <f>_xlfn.XLOOKUP(Table1[[#This Row],[Customer_ID]],Customer_Dim!$A$2:$A$501,Customer_Dim!$E$2:$E$501)</f>
        <v>Lake Blaketon</v>
      </c>
      <c r="H1705" t="s">
        <v>610</v>
      </c>
      <c r="I1705" t="str">
        <f>VLOOKUP(Table1[[#This Row],[Product_ID]],Product_Dim!$A$2:$G$101,2,FALSE)</f>
        <v>Modern Wall Clock-Home</v>
      </c>
      <c r="J1705" t="s">
        <v>1589</v>
      </c>
      <c r="K1705" t="str">
        <f>VLOOKUP(Table1[[#This Row],[Store_ID]],Store_Dim!$A$3:$D$22,2,FALSE)</f>
        <v>Mcdonald Inc-South</v>
      </c>
      <c r="L1705" t="s">
        <v>1754</v>
      </c>
      <c r="M1705" t="s">
        <v>3957</v>
      </c>
      <c r="N1705" s="3">
        <v>255.02</v>
      </c>
      <c r="O1705" s="4">
        <v>0.3</v>
      </c>
      <c r="P1705" t="s">
        <v>1772</v>
      </c>
      <c r="Q1705" s="4">
        <v>178.51400000000001</v>
      </c>
    </row>
    <row r="1706" spans="1:17" x14ac:dyDescent="0.3">
      <c r="A1706" t="s">
        <v>3478</v>
      </c>
      <c r="B1706" t="str">
        <f t="shared" si="26"/>
        <v>Q1</v>
      </c>
      <c r="C1706" t="str">
        <f>TEXT(Table1[[#This Row],[Order_Date]],"mmmm")</f>
        <v>February</v>
      </c>
      <c r="D1706">
        <f>YEAR(Table1[[#This Row],[Order_Date]])</f>
        <v>2025</v>
      </c>
      <c r="E1706" s="7">
        <v>45693</v>
      </c>
      <c r="F1706" s="2" t="str">
        <f>VLOOKUP(Table1[[#This Row],[Customer_ID]],Customer_Dim!$A$2:$H$501,2,FALSE)</f>
        <v>Amy Fowler</v>
      </c>
      <c r="G1706" s="2" t="str">
        <f>_xlfn.XLOOKUP(Table1[[#This Row],[Customer_ID]],Customer_Dim!$A$2:$A$501,Customer_Dim!$E$2:$E$501)</f>
        <v>West Bobbyshire</v>
      </c>
      <c r="H1706" t="s">
        <v>336</v>
      </c>
      <c r="I1706" t="str">
        <f>VLOOKUP(Table1[[#This Row],[Product_ID]],Product_Dim!$A$2:$G$101,2,FALSE)</f>
        <v>Knee Support Brace-Sports</v>
      </c>
      <c r="J1706" t="s">
        <v>1561</v>
      </c>
      <c r="K1706" t="str">
        <f>VLOOKUP(Table1[[#This Row],[Store_ID]],Store_Dim!$A$3:$D$22,2,FALSE)</f>
        <v>Bean, Jones and Park-West</v>
      </c>
      <c r="L1706" t="s">
        <v>1744</v>
      </c>
      <c r="M1706" t="s">
        <v>3957</v>
      </c>
      <c r="N1706" s="3">
        <v>153.57</v>
      </c>
      <c r="O1706" s="4">
        <v>0.01</v>
      </c>
      <c r="P1706" t="s">
        <v>1774</v>
      </c>
      <c r="Q1706" s="4">
        <v>152.0343</v>
      </c>
    </row>
    <row r="1707" spans="1:17" x14ac:dyDescent="0.3">
      <c r="A1707" t="s">
        <v>3479</v>
      </c>
      <c r="B1707" t="str">
        <f t="shared" si="26"/>
        <v>Q1</v>
      </c>
      <c r="C1707" t="str">
        <f>TEXT(Table1[[#This Row],[Order_Date]],"mmmm")</f>
        <v>March</v>
      </c>
      <c r="D1707">
        <f>YEAR(Table1[[#This Row],[Order_Date]])</f>
        <v>2025</v>
      </c>
      <c r="E1707" s="7">
        <v>45734</v>
      </c>
      <c r="F1707" s="2" t="str">
        <f>VLOOKUP(Table1[[#This Row],[Customer_ID]],Customer_Dim!$A$2:$H$501,2,FALSE)</f>
        <v>Dr. Ashley Yates Md</v>
      </c>
      <c r="G1707" s="2" t="str">
        <f>_xlfn.XLOOKUP(Table1[[#This Row],[Customer_ID]],Customer_Dim!$A$2:$A$501,Customer_Dim!$E$2:$E$501)</f>
        <v>New Maria</v>
      </c>
      <c r="H1707" t="s">
        <v>803</v>
      </c>
      <c r="I1707" t="str">
        <f>VLOOKUP(Table1[[#This Row],[Product_ID]],Product_Dim!$A$2:$G$101,2,FALSE)</f>
        <v>USB External Hard Drive-Electronics</v>
      </c>
      <c r="J1707" t="s">
        <v>1609</v>
      </c>
      <c r="K1707" t="str">
        <f>VLOOKUP(Table1[[#This Row],[Store_ID]],Store_Dim!$A$3:$D$22,2,FALSE)</f>
        <v>Guerrero-Schmitt-East</v>
      </c>
      <c r="L1707" t="s">
        <v>1761</v>
      </c>
      <c r="M1707" t="s">
        <v>3958</v>
      </c>
      <c r="N1707" s="3">
        <v>962.98</v>
      </c>
      <c r="O1707" s="4">
        <v>0.21</v>
      </c>
      <c r="P1707" t="s">
        <v>1772</v>
      </c>
      <c r="Q1707" s="4">
        <v>2282.2626</v>
      </c>
    </row>
    <row r="1708" spans="1:17" x14ac:dyDescent="0.3">
      <c r="A1708" t="s">
        <v>3480</v>
      </c>
      <c r="B1708" t="str">
        <f t="shared" si="26"/>
        <v>Q1</v>
      </c>
      <c r="C1708" t="str">
        <f>TEXT(Table1[[#This Row],[Order_Date]],"mmmm")</f>
        <v>March</v>
      </c>
      <c r="D1708">
        <f>YEAR(Table1[[#This Row],[Order_Date]])</f>
        <v>2024</v>
      </c>
      <c r="E1708" s="7">
        <v>45377</v>
      </c>
      <c r="F1708" s="2" t="str">
        <f>VLOOKUP(Table1[[#This Row],[Customer_ID]],Customer_Dim!$A$2:$H$501,2,FALSE)</f>
        <v>Jay Patel</v>
      </c>
      <c r="G1708" s="2" t="str">
        <f>_xlfn.XLOOKUP(Table1[[#This Row],[Customer_ID]],Customer_Dim!$A$2:$A$501,Customer_Dim!$E$2:$E$501)</f>
        <v>Morrisbury</v>
      </c>
      <c r="H1708" t="s">
        <v>211</v>
      </c>
      <c r="I1708" t="str">
        <f>VLOOKUP(Table1[[#This Row],[Product_ID]],Product_Dim!$A$2:$G$101,2,FALSE)</f>
        <v>Adjustable Jump Rope-Sports</v>
      </c>
      <c r="J1708" t="s">
        <v>1611</v>
      </c>
      <c r="K1708" t="str">
        <f>VLOOKUP(Table1[[#This Row],[Store_ID]],Store_Dim!$A$3:$D$22,2,FALSE)</f>
        <v>Bean, Jones and Park-West</v>
      </c>
      <c r="L1708" t="s">
        <v>1744</v>
      </c>
      <c r="M1708" t="s">
        <v>3958</v>
      </c>
      <c r="N1708" s="3">
        <v>884.46</v>
      </c>
      <c r="O1708" s="4">
        <v>0.25</v>
      </c>
      <c r="P1708" t="s">
        <v>1772</v>
      </c>
      <c r="Q1708" s="4">
        <v>1990.0350000000001</v>
      </c>
    </row>
    <row r="1709" spans="1:17" x14ac:dyDescent="0.3">
      <c r="A1709" t="s">
        <v>3481</v>
      </c>
      <c r="B1709" t="str">
        <f t="shared" si="26"/>
        <v>Q2</v>
      </c>
      <c r="C1709" t="str">
        <f>TEXT(Table1[[#This Row],[Order_Date]],"mmmm")</f>
        <v>May</v>
      </c>
      <c r="D1709">
        <f>YEAR(Table1[[#This Row],[Order_Date]])</f>
        <v>2025</v>
      </c>
      <c r="E1709" s="7">
        <v>45778</v>
      </c>
      <c r="F1709" s="2" t="str">
        <f>VLOOKUP(Table1[[#This Row],[Customer_ID]],Customer_Dim!$A$2:$H$501,2,FALSE)</f>
        <v>Melinda Rivera</v>
      </c>
      <c r="G1709" s="2" t="str">
        <f>_xlfn.XLOOKUP(Table1[[#This Row],[Customer_ID]],Customer_Dim!$A$2:$A$501,Customer_Dim!$E$2:$E$501)</f>
        <v>East Davidmouth</v>
      </c>
      <c r="H1709" t="s">
        <v>1339</v>
      </c>
      <c r="I1709" t="str">
        <f>VLOOKUP(Table1[[#This Row],[Product_ID]],Product_Dim!$A$2:$G$101,2,FALSE)</f>
        <v>Smart LED Light Strip-Electronics</v>
      </c>
      <c r="J1709" t="s">
        <v>1657</v>
      </c>
      <c r="K1709" t="str">
        <f>VLOOKUP(Table1[[#This Row],[Store_ID]],Store_Dim!$A$3:$D$22,2,FALSE)</f>
        <v>Hill, Wagner and Ballard-East</v>
      </c>
      <c r="L1709" t="s">
        <v>1748</v>
      </c>
      <c r="M1709" t="s">
        <v>3959</v>
      </c>
      <c r="N1709" s="3">
        <v>359.71</v>
      </c>
      <c r="O1709" s="4">
        <v>0.05</v>
      </c>
      <c r="P1709" t="s">
        <v>1774</v>
      </c>
      <c r="Q1709" s="4">
        <v>1366.8979999999999</v>
      </c>
    </row>
    <row r="1710" spans="1:17" x14ac:dyDescent="0.3">
      <c r="A1710" t="s">
        <v>3482</v>
      </c>
      <c r="B1710" t="str">
        <f t="shared" si="26"/>
        <v>Q1</v>
      </c>
      <c r="C1710" t="str">
        <f>TEXT(Table1[[#This Row],[Order_Date]],"mmmm")</f>
        <v>February</v>
      </c>
      <c r="D1710">
        <f>YEAR(Table1[[#This Row],[Order_Date]])</f>
        <v>2025</v>
      </c>
      <c r="E1710" s="7">
        <v>45715</v>
      </c>
      <c r="F1710" s="2" t="str">
        <f>VLOOKUP(Table1[[#This Row],[Customer_ID]],Customer_Dim!$A$2:$H$501,2,FALSE)</f>
        <v>Sarah Rodgers</v>
      </c>
      <c r="G1710" s="2" t="str">
        <f>_xlfn.XLOOKUP(Table1[[#This Row],[Customer_ID]],Customer_Dim!$A$2:$A$501,Customer_Dim!$E$2:$E$501)</f>
        <v>New Julia</v>
      </c>
      <c r="H1710" t="s">
        <v>192</v>
      </c>
      <c r="I1710" t="str">
        <f>VLOOKUP(Table1[[#This Row],[Product_ID]],Product_Dim!$A$2:$G$101,2,FALSE)</f>
        <v>Boxing Hand Wraps-Sports</v>
      </c>
      <c r="J1710" t="s">
        <v>1623</v>
      </c>
      <c r="K1710" t="str">
        <f>VLOOKUP(Table1[[#This Row],[Store_ID]],Store_Dim!$A$3:$D$22,2,FALSE)</f>
        <v>Alexander Group-South</v>
      </c>
      <c r="L1710" t="s">
        <v>1735</v>
      </c>
      <c r="M1710" t="s">
        <v>3958</v>
      </c>
      <c r="N1710" s="3">
        <v>766.47</v>
      </c>
      <c r="O1710" s="4">
        <v>0.18</v>
      </c>
      <c r="P1710" t="s">
        <v>1772</v>
      </c>
      <c r="Q1710" s="4">
        <v>1885.5162</v>
      </c>
    </row>
    <row r="1711" spans="1:17" x14ac:dyDescent="0.3">
      <c r="A1711" t="s">
        <v>3483</v>
      </c>
      <c r="B1711" t="str">
        <f t="shared" si="26"/>
        <v>Q3</v>
      </c>
      <c r="C1711" t="str">
        <f>TEXT(Table1[[#This Row],[Order_Date]],"mmmm")</f>
        <v>July</v>
      </c>
      <c r="D1711">
        <f>YEAR(Table1[[#This Row],[Order_Date]])</f>
        <v>2024</v>
      </c>
      <c r="E1711" s="7">
        <v>45492</v>
      </c>
      <c r="F1711" s="2" t="str">
        <f>VLOOKUP(Table1[[#This Row],[Customer_ID]],Customer_Dim!$A$2:$H$501,2,FALSE)</f>
        <v>Robert Harris</v>
      </c>
      <c r="G1711" s="2" t="str">
        <f>_xlfn.XLOOKUP(Table1[[#This Row],[Customer_ID]],Customer_Dim!$A$2:$A$501,Customer_Dim!$E$2:$E$501)</f>
        <v>East jeremy</v>
      </c>
      <c r="H1711" t="s">
        <v>716</v>
      </c>
      <c r="I1711" t="str">
        <f>VLOOKUP(Table1[[#This Row],[Product_ID]],Product_Dim!$A$2:$G$101,2,FALSE)</f>
        <v>Premium Blanket Throw-Home</v>
      </c>
      <c r="J1711" t="s">
        <v>1635</v>
      </c>
      <c r="K1711" t="str">
        <f>VLOOKUP(Table1[[#This Row],[Store_ID]],Store_Dim!$A$3:$D$22,2,FALSE)</f>
        <v>Guerrero-Schmitt-East</v>
      </c>
      <c r="L1711" t="s">
        <v>1761</v>
      </c>
      <c r="M1711" t="s">
        <v>3957</v>
      </c>
      <c r="N1711" s="3">
        <v>772.07</v>
      </c>
      <c r="O1711" s="4">
        <v>0.26</v>
      </c>
      <c r="P1711" t="s">
        <v>1774</v>
      </c>
      <c r="Q1711" s="4">
        <v>571.33180000000004</v>
      </c>
    </row>
    <row r="1712" spans="1:17" x14ac:dyDescent="0.3">
      <c r="A1712" t="s">
        <v>3484</v>
      </c>
      <c r="B1712" t="str">
        <f t="shared" si="26"/>
        <v>Q1</v>
      </c>
      <c r="C1712" t="str">
        <f>TEXT(Table1[[#This Row],[Order_Date]],"mmmm")</f>
        <v>January</v>
      </c>
      <c r="D1712">
        <f>YEAR(Table1[[#This Row],[Order_Date]])</f>
        <v>2024</v>
      </c>
      <c r="E1712" s="7">
        <v>45292</v>
      </c>
      <c r="F1712" s="2" t="str">
        <f>VLOOKUP(Table1[[#This Row],[Customer_ID]],Customer_Dim!$A$2:$H$501,2,FALSE)</f>
        <v>Jeffrey Gomez</v>
      </c>
      <c r="G1712" s="2" t="str">
        <f>_xlfn.XLOOKUP(Table1[[#This Row],[Customer_ID]],Customer_Dim!$A$2:$A$501,Customer_Dim!$E$2:$E$501)</f>
        <v>Lake Nicole</v>
      </c>
      <c r="H1712" t="s">
        <v>873</v>
      </c>
      <c r="I1712" t="str">
        <f>VLOOKUP(Table1[[#This Row],[Product_ID]],Product_Dim!$A$2:$G$101,2,FALSE)</f>
        <v>Knee Support Brace-Sports</v>
      </c>
      <c r="J1712" t="s">
        <v>1561</v>
      </c>
      <c r="K1712" t="str">
        <f>VLOOKUP(Table1[[#This Row],[Store_ID]],Store_Dim!$A$3:$D$22,2,FALSE)</f>
        <v>Gray Ltd-North</v>
      </c>
      <c r="L1712" t="s">
        <v>1738</v>
      </c>
      <c r="M1712" t="s">
        <v>3958</v>
      </c>
      <c r="N1712" s="3">
        <v>108.31</v>
      </c>
      <c r="O1712" s="4">
        <v>0.26</v>
      </c>
      <c r="P1712" t="s">
        <v>1777</v>
      </c>
      <c r="Q1712" s="4">
        <v>240.44820000000001</v>
      </c>
    </row>
    <row r="1713" spans="1:17" x14ac:dyDescent="0.3">
      <c r="A1713" t="s">
        <v>3485</v>
      </c>
      <c r="B1713" t="str">
        <f t="shared" si="26"/>
        <v>Q1</v>
      </c>
      <c r="C1713" t="str">
        <f>TEXT(Table1[[#This Row],[Order_Date]],"mmmm")</f>
        <v>January</v>
      </c>
      <c r="D1713">
        <f>YEAR(Table1[[#This Row],[Order_Date]])</f>
        <v>2024</v>
      </c>
      <c r="E1713" s="7">
        <v>45316</v>
      </c>
      <c r="F1713" s="2" t="str">
        <f>VLOOKUP(Table1[[#This Row],[Customer_ID]],Customer_Dim!$A$2:$H$501,2,FALSE)</f>
        <v>Julia Jackson</v>
      </c>
      <c r="G1713" s="2" t="str">
        <f>_xlfn.XLOOKUP(Table1[[#This Row],[Customer_ID]],Customer_Dim!$A$2:$A$501,Customer_Dim!$E$2:$E$501)</f>
        <v>Edwardland</v>
      </c>
      <c r="H1713" t="s">
        <v>702</v>
      </c>
      <c r="I1713" t="str">
        <f>VLOOKUP(Table1[[#This Row],[Product_ID]],Product_Dim!$A$2:$G$101,2,FALSE)</f>
        <v>Decorative Lamp Shade-Home</v>
      </c>
      <c r="J1713" t="s">
        <v>1681</v>
      </c>
      <c r="K1713" t="str">
        <f>VLOOKUP(Table1[[#This Row],[Store_ID]],Store_Dim!$A$3:$D$22,2,FALSE)</f>
        <v>Benson-Elliott-East</v>
      </c>
      <c r="L1713" t="s">
        <v>1740</v>
      </c>
      <c r="M1713" t="s">
        <v>3957</v>
      </c>
      <c r="N1713" s="3">
        <v>502.53</v>
      </c>
      <c r="O1713" s="4">
        <v>0.14752650176678456</v>
      </c>
      <c r="P1713" t="s">
        <v>1774</v>
      </c>
      <c r="Q1713" s="4">
        <v>502.53</v>
      </c>
    </row>
    <row r="1714" spans="1:17" x14ac:dyDescent="0.3">
      <c r="A1714" t="s">
        <v>3486</v>
      </c>
      <c r="B1714" t="str">
        <f t="shared" si="26"/>
        <v>Q3</v>
      </c>
      <c r="C1714" t="str">
        <f>TEXT(Table1[[#This Row],[Order_Date]],"mmmm")</f>
        <v>September</v>
      </c>
      <c r="D1714">
        <f>YEAR(Table1[[#This Row],[Order_Date]])</f>
        <v>2024</v>
      </c>
      <c r="E1714" s="7">
        <v>45548</v>
      </c>
      <c r="F1714" s="2" t="str">
        <f>VLOOKUP(Table1[[#This Row],[Customer_ID]],Customer_Dim!$A$2:$H$501,2,FALSE)</f>
        <v>Nathan Campbell</v>
      </c>
      <c r="G1714" s="2" t="str">
        <f>_xlfn.XLOOKUP(Table1[[#This Row],[Customer_ID]],Customer_Dim!$A$2:$A$501,Customer_Dim!$E$2:$E$501)</f>
        <v>Rodrigueztown</v>
      </c>
      <c r="H1714" t="s">
        <v>275</v>
      </c>
      <c r="I1714" t="str">
        <f>VLOOKUP(Table1[[#This Row],[Product_ID]],Product_Dim!$A$2:$G$101,2,FALSE)</f>
        <v>Men's Graphic T-Shirt-Clothing</v>
      </c>
      <c r="J1714" t="s">
        <v>1525</v>
      </c>
      <c r="K1714" t="str">
        <f>VLOOKUP(Table1[[#This Row],[Store_ID]],Store_Dim!$A$3:$D$22,2,FALSE)</f>
        <v>Frederick-Wright-West</v>
      </c>
      <c r="L1714" t="s">
        <v>1757</v>
      </c>
      <c r="M1714" t="s">
        <v>3960</v>
      </c>
      <c r="N1714" s="3">
        <v>508.52</v>
      </c>
      <c r="O1714" s="4">
        <v>0.11</v>
      </c>
      <c r="P1714" t="s">
        <v>1777</v>
      </c>
      <c r="Q1714" s="4">
        <v>905.16559999999993</v>
      </c>
    </row>
    <row r="1715" spans="1:17" x14ac:dyDescent="0.3">
      <c r="A1715" t="s">
        <v>3487</v>
      </c>
      <c r="B1715" t="str">
        <f t="shared" si="26"/>
        <v>Q4</v>
      </c>
      <c r="C1715" t="str">
        <f>TEXT(Table1[[#This Row],[Order_Date]],"mmmm")</f>
        <v>October</v>
      </c>
      <c r="D1715">
        <f>YEAR(Table1[[#This Row],[Order_Date]])</f>
        <v>2024</v>
      </c>
      <c r="E1715" s="7">
        <v>45572</v>
      </c>
      <c r="F1715" s="2" t="str">
        <f>VLOOKUP(Table1[[#This Row],[Customer_ID]],Customer_Dim!$A$2:$H$501,2,FALSE)</f>
        <v>Gregory Curtis</v>
      </c>
      <c r="G1715" s="2" t="str">
        <f>_xlfn.XLOOKUP(Table1[[#This Row],[Customer_ID]],Customer_Dim!$A$2:$A$501,Customer_Dim!$E$2:$E$501)</f>
        <v>Bergermouth</v>
      </c>
      <c r="H1715" t="s">
        <v>1427</v>
      </c>
      <c r="I1715" t="str">
        <f>VLOOKUP(Table1[[#This Row],[Product_ID]],Product_Dim!$A$2:$G$101,2,FALSE)</f>
        <v>Bluetooth Car Audio System-Electronics</v>
      </c>
      <c r="J1715" t="s">
        <v>1671</v>
      </c>
      <c r="K1715" t="str">
        <f>VLOOKUP(Table1[[#This Row],[Store_ID]],Store_Dim!$A$3:$D$22,2,FALSE)</f>
        <v>Johnson-Wright-North</v>
      </c>
      <c r="L1715" t="s">
        <v>1733</v>
      </c>
      <c r="M1715" t="s">
        <v>3957</v>
      </c>
      <c r="N1715" s="3">
        <v>492</v>
      </c>
      <c r="O1715" s="4">
        <v>0.26</v>
      </c>
      <c r="P1715" t="s">
        <v>1774</v>
      </c>
      <c r="Q1715" s="4">
        <v>364.08</v>
      </c>
    </row>
    <row r="1716" spans="1:17" x14ac:dyDescent="0.3">
      <c r="A1716" t="s">
        <v>3488</v>
      </c>
      <c r="B1716" t="str">
        <f t="shared" si="26"/>
        <v>Q1</v>
      </c>
      <c r="C1716" t="str">
        <f>TEXT(Table1[[#This Row],[Order_Date]],"mmmm")</f>
        <v>February</v>
      </c>
      <c r="D1716">
        <f>YEAR(Table1[[#This Row],[Order_Date]])</f>
        <v>2024</v>
      </c>
      <c r="E1716" s="7">
        <v>45347</v>
      </c>
      <c r="F1716" s="2" t="str">
        <f>VLOOKUP(Table1[[#This Row],[Customer_ID]],Customer_Dim!$A$2:$H$501,2,FALSE)</f>
        <v>Sara Ingram</v>
      </c>
      <c r="G1716" s="2" t="str">
        <f>_xlfn.XLOOKUP(Table1[[#This Row],[Customer_ID]],Customer_Dim!$A$2:$A$501,Customer_Dim!$E$2:$E$501)</f>
        <v>East Dillonview</v>
      </c>
      <c r="H1716" t="s">
        <v>1475</v>
      </c>
      <c r="I1716" t="str">
        <f>VLOOKUP(Table1[[#This Row],[Product_ID]],Product_Dim!$A$2:$G$101,2,FALSE)</f>
        <v>Men's Casual Sneakers-Clothing</v>
      </c>
      <c r="J1716" t="s">
        <v>1597</v>
      </c>
      <c r="K1716" t="str">
        <f>VLOOKUP(Table1[[#This Row],[Store_ID]],Store_Dim!$A$3:$D$22,2,FALSE)</f>
        <v>Mcdonald Inc-South</v>
      </c>
      <c r="L1716" t="s">
        <v>1754</v>
      </c>
      <c r="M1716" t="s">
        <v>3959</v>
      </c>
      <c r="N1716" s="3">
        <v>746.36</v>
      </c>
      <c r="O1716" s="4">
        <v>0.02</v>
      </c>
      <c r="P1716" t="s">
        <v>1772</v>
      </c>
      <c r="Q1716" s="4">
        <v>2925.7312000000002</v>
      </c>
    </row>
    <row r="1717" spans="1:17" x14ac:dyDescent="0.3">
      <c r="A1717" t="s">
        <v>3489</v>
      </c>
      <c r="B1717" t="str">
        <f t="shared" si="26"/>
        <v>Q2</v>
      </c>
      <c r="C1717" t="str">
        <f>TEXT(Table1[[#This Row],[Order_Date]],"mmmm")</f>
        <v>June</v>
      </c>
      <c r="D1717">
        <f>YEAR(Table1[[#This Row],[Order_Date]])</f>
        <v>2025</v>
      </c>
      <c r="E1717" s="7">
        <v>45823</v>
      </c>
      <c r="F1717" s="2" t="str">
        <f>VLOOKUP(Table1[[#This Row],[Customer_ID]],Customer_Dim!$A$2:$H$501,2,FALSE)</f>
        <v>Thomas Moore</v>
      </c>
      <c r="G1717" s="2" t="str">
        <f>_xlfn.XLOOKUP(Table1[[#This Row],[Customer_ID]],Customer_Dim!$A$2:$A$501,Customer_Dim!$E$2:$E$501)</f>
        <v>Williamsberg</v>
      </c>
      <c r="H1717" t="s">
        <v>1327</v>
      </c>
      <c r="I1717" t="str">
        <f>VLOOKUP(Table1[[#This Row],[Product_ID]],Product_Dim!$A$2:$G$101,2,FALSE)</f>
        <v>Hair Strengthening Shampoo-Beauty</v>
      </c>
      <c r="J1717" t="s">
        <v>1547</v>
      </c>
      <c r="K1717" t="str">
        <f>VLOOKUP(Table1[[#This Row],[Store_ID]],Store_Dim!$A$3:$D$22,2,FALSE)</f>
        <v>Martinez, Adkins and Johnson-North</v>
      </c>
      <c r="L1717" t="s">
        <v>1728</v>
      </c>
      <c r="M1717" t="s">
        <v>3957</v>
      </c>
      <c r="N1717" s="3">
        <v>120.83</v>
      </c>
      <c r="O1717" s="4">
        <v>0.08</v>
      </c>
      <c r="P1717" t="s">
        <v>1772</v>
      </c>
      <c r="Q1717" s="4">
        <v>111.1636</v>
      </c>
    </row>
    <row r="1718" spans="1:17" x14ac:dyDescent="0.3">
      <c r="A1718" t="s">
        <v>3490</v>
      </c>
      <c r="B1718" t="str">
        <f t="shared" si="26"/>
        <v>Q2</v>
      </c>
      <c r="C1718" t="str">
        <f>TEXT(Table1[[#This Row],[Order_Date]],"mmmm")</f>
        <v>April</v>
      </c>
      <c r="D1718">
        <f>YEAR(Table1[[#This Row],[Order_Date]])</f>
        <v>2024</v>
      </c>
      <c r="E1718" s="7">
        <v>45394</v>
      </c>
      <c r="F1718" s="2" t="str">
        <f>VLOOKUP(Table1[[#This Row],[Customer_ID]],Customer_Dim!$A$2:$H$501,2,FALSE)</f>
        <v>John Donaldson</v>
      </c>
      <c r="G1718" s="2" t="str">
        <f>_xlfn.XLOOKUP(Table1[[#This Row],[Customer_ID]],Customer_Dim!$A$2:$A$501,Customer_Dim!$E$2:$E$501)</f>
        <v>New Edward</v>
      </c>
      <c r="H1718" t="s">
        <v>1229</v>
      </c>
      <c r="I1718" t="str">
        <f>VLOOKUP(Table1[[#This Row],[Product_ID]],Product_Dim!$A$2:$G$101,2,FALSE)</f>
        <v>WiFi Mesh Router-Electronics</v>
      </c>
      <c r="J1718" t="s">
        <v>1677</v>
      </c>
      <c r="K1718" t="str">
        <f>VLOOKUP(Table1[[#This Row],[Store_ID]],Store_Dim!$A$3:$D$22,2,FALSE)</f>
        <v>Guerrero-Schmitt-East</v>
      </c>
      <c r="L1718" t="s">
        <v>1761</v>
      </c>
      <c r="M1718" t="s">
        <v>3960</v>
      </c>
      <c r="N1718" s="3">
        <v>68.31</v>
      </c>
      <c r="O1718" s="4">
        <v>0.28999999999999998</v>
      </c>
      <c r="P1718" t="s">
        <v>1777</v>
      </c>
      <c r="Q1718" s="4">
        <v>97.000199999999992</v>
      </c>
    </row>
    <row r="1719" spans="1:17" x14ac:dyDescent="0.3">
      <c r="A1719" t="s">
        <v>3491</v>
      </c>
      <c r="B1719" t="str">
        <f t="shared" si="26"/>
        <v>Q4</v>
      </c>
      <c r="C1719" t="str">
        <f>TEXT(Table1[[#This Row],[Order_Date]],"mmmm")</f>
        <v>December</v>
      </c>
      <c r="D1719">
        <f>YEAR(Table1[[#This Row],[Order_Date]])</f>
        <v>2023</v>
      </c>
      <c r="E1719" s="7">
        <v>45265</v>
      </c>
      <c r="F1719" s="2" t="str">
        <f>VLOOKUP(Table1[[#This Row],[Customer_ID]],Customer_Dim!$A$2:$H$501,2,FALSE)</f>
        <v>James Bean</v>
      </c>
      <c r="G1719" s="2" t="str">
        <f>_xlfn.XLOOKUP(Table1[[#This Row],[Customer_ID]],Customer_Dim!$A$2:$A$501,Customer_Dim!$E$2:$E$501)</f>
        <v>Stevensonton</v>
      </c>
      <c r="H1719" t="s">
        <v>227</v>
      </c>
      <c r="I1719" t="str">
        <f>VLOOKUP(Table1[[#This Row],[Product_ID]],Product_Dim!$A$2:$G$101,2,FALSE)</f>
        <v>Carbon Fiber Tennis Racket-Sports</v>
      </c>
      <c r="J1719" t="s">
        <v>1567</v>
      </c>
      <c r="K1719" t="str">
        <f>VLOOKUP(Table1[[#This Row],[Store_ID]],Store_Dim!$A$3:$D$22,2,FALSE)</f>
        <v>Guerrero-Schmitt-East</v>
      </c>
      <c r="L1719" t="s">
        <v>1761</v>
      </c>
      <c r="M1719" t="s">
        <v>3960</v>
      </c>
      <c r="N1719" s="3">
        <v>761.71</v>
      </c>
      <c r="O1719" s="4">
        <v>0.02</v>
      </c>
      <c r="P1719" t="s">
        <v>1774</v>
      </c>
      <c r="Q1719" s="4">
        <v>1492.9516000000001</v>
      </c>
    </row>
    <row r="1720" spans="1:17" x14ac:dyDescent="0.3">
      <c r="A1720" t="s">
        <v>3492</v>
      </c>
      <c r="B1720" t="str">
        <f t="shared" si="26"/>
        <v>Q4</v>
      </c>
      <c r="C1720" t="str">
        <f>TEXT(Table1[[#This Row],[Order_Date]],"mmmm")</f>
        <v>December</v>
      </c>
      <c r="D1720">
        <f>YEAR(Table1[[#This Row],[Order_Date]])</f>
        <v>2023</v>
      </c>
      <c r="E1720" s="7">
        <v>45261</v>
      </c>
      <c r="F1720" s="2" t="str">
        <f>VLOOKUP(Table1[[#This Row],[Customer_ID]],Customer_Dim!$A$2:$H$501,2,FALSE)</f>
        <v>Cody Diaz</v>
      </c>
      <c r="G1720" s="2" t="str">
        <f>_xlfn.XLOOKUP(Table1[[#This Row],[Customer_ID]],Customer_Dim!$A$2:$A$501,Customer_Dim!$E$2:$E$501)</f>
        <v>South Aaronside</v>
      </c>
      <c r="H1720" t="s">
        <v>241</v>
      </c>
      <c r="I1720" t="str">
        <f>VLOOKUP(Table1[[#This Row],[Product_ID]],Product_Dim!$A$2:$G$101,2,FALSE)</f>
        <v>Essential Oil Diffuser-Home</v>
      </c>
      <c r="J1720" t="s">
        <v>1679</v>
      </c>
      <c r="K1720" t="str">
        <f>VLOOKUP(Table1[[#This Row],[Store_ID]],Store_Dim!$A$3:$D$22,2,FALSE)</f>
        <v>Johnson-Wright-North</v>
      </c>
      <c r="L1720" t="s">
        <v>1733</v>
      </c>
      <c r="M1720" t="s">
        <v>3959</v>
      </c>
      <c r="N1720" s="3">
        <v>346.37</v>
      </c>
      <c r="O1720" s="4">
        <v>0.18</v>
      </c>
      <c r="P1720" t="s">
        <v>1777</v>
      </c>
      <c r="Q1720" s="4">
        <v>1136.0935999999999</v>
      </c>
    </row>
    <row r="1721" spans="1:17" x14ac:dyDescent="0.3">
      <c r="A1721" t="s">
        <v>3493</v>
      </c>
      <c r="B1721" t="str">
        <f t="shared" si="26"/>
        <v>Q1</v>
      </c>
      <c r="C1721" t="str">
        <f>TEXT(Table1[[#This Row],[Order_Date]],"mmmm")</f>
        <v>February</v>
      </c>
      <c r="D1721">
        <f>YEAR(Table1[[#This Row],[Order_Date]])</f>
        <v>2025</v>
      </c>
      <c r="E1721" s="7">
        <v>45702</v>
      </c>
      <c r="F1721" s="2" t="str">
        <f>VLOOKUP(Table1[[#This Row],[Customer_ID]],Customer_Dim!$A$2:$H$501,2,FALSE)</f>
        <v>Daniel Boyd</v>
      </c>
      <c r="G1721" s="2" t="str">
        <f>_xlfn.XLOOKUP(Table1[[#This Row],[Customer_ID]],Customer_Dim!$A$2:$A$501,Customer_Dim!$E$2:$E$501)</f>
        <v>West Pamelafurt</v>
      </c>
      <c r="H1721" t="s">
        <v>40</v>
      </c>
      <c r="I1721" t="str">
        <f>VLOOKUP(Table1[[#This Row],[Product_ID]],Product_Dim!$A$2:$G$101,2,FALSE)</f>
        <v>Ceramic Plant Pot-Home</v>
      </c>
      <c r="J1721" t="s">
        <v>1633</v>
      </c>
      <c r="K1721" t="str">
        <f>VLOOKUP(Table1[[#This Row],[Store_ID]],Store_Dim!$A$3:$D$22,2,FALSE)</f>
        <v>Thomas, Bridges and Harris-North</v>
      </c>
      <c r="L1721" t="s">
        <v>1751</v>
      </c>
      <c r="M1721" t="s">
        <v>3957</v>
      </c>
      <c r="N1721" s="3">
        <v>846.3</v>
      </c>
      <c r="O1721" s="4">
        <v>0.14000000000000001</v>
      </c>
      <c r="P1721" t="s">
        <v>1774</v>
      </c>
      <c r="Q1721" s="4">
        <v>727.81799999999998</v>
      </c>
    </row>
    <row r="1722" spans="1:17" x14ac:dyDescent="0.3">
      <c r="A1722" t="s">
        <v>3494</v>
      </c>
      <c r="B1722" t="str">
        <f t="shared" si="26"/>
        <v>Q4</v>
      </c>
      <c r="C1722" t="str">
        <f>TEXT(Table1[[#This Row],[Order_Date]],"mmmm")</f>
        <v>November</v>
      </c>
      <c r="D1722">
        <f>YEAR(Table1[[#This Row],[Order_Date]])</f>
        <v>2024</v>
      </c>
      <c r="E1722" s="7">
        <v>45624</v>
      </c>
      <c r="F1722" s="2" t="str">
        <f>VLOOKUP(Table1[[#This Row],[Customer_ID]],Customer_Dim!$A$2:$H$501,2,FALSE)</f>
        <v>Summer Weiss</v>
      </c>
      <c r="G1722" s="2" t="str">
        <f>_xlfn.XLOOKUP(Table1[[#This Row],[Customer_ID]],Customer_Dim!$A$2:$A$501,Customer_Dim!$E$2:$E$501)</f>
        <v>Phyllisport</v>
      </c>
      <c r="H1722" t="s">
        <v>1324</v>
      </c>
      <c r="I1722" t="str">
        <f>VLOOKUP(Table1[[#This Row],[Product_ID]],Product_Dim!$A$2:$G$101,2,FALSE)</f>
        <v>Brother Laser Printer-Electronics</v>
      </c>
      <c r="J1722" t="s">
        <v>1523</v>
      </c>
      <c r="K1722" t="str">
        <f>VLOOKUP(Table1[[#This Row],[Store_ID]],Store_Dim!$A$3:$D$22,2,FALSE)</f>
        <v>Mann-Austin-East</v>
      </c>
      <c r="L1722" t="s">
        <v>1763</v>
      </c>
      <c r="M1722" t="s">
        <v>3957</v>
      </c>
      <c r="N1722" s="3">
        <v>458.97</v>
      </c>
      <c r="O1722" s="4">
        <v>0.1</v>
      </c>
      <c r="P1722" t="s">
        <v>1774</v>
      </c>
      <c r="Q1722" s="4">
        <v>413.07299999999998</v>
      </c>
    </row>
    <row r="1723" spans="1:17" x14ac:dyDescent="0.3">
      <c r="A1723" t="s">
        <v>3495</v>
      </c>
      <c r="B1723" t="str">
        <f t="shared" si="26"/>
        <v>Q1</v>
      </c>
      <c r="C1723" t="str">
        <f>TEXT(Table1[[#This Row],[Order_Date]],"mmmm")</f>
        <v>March</v>
      </c>
      <c r="D1723">
        <f>YEAR(Table1[[#This Row],[Order_Date]])</f>
        <v>2025</v>
      </c>
      <c r="E1723" s="7">
        <v>45736</v>
      </c>
      <c r="F1723" s="2" t="str">
        <f>VLOOKUP(Table1[[#This Row],[Customer_ID]],Customer_Dim!$A$2:$H$501,2,FALSE)</f>
        <v>Jennifer Figueroa</v>
      </c>
      <c r="G1723" s="2" t="str">
        <f>_xlfn.XLOOKUP(Table1[[#This Row],[Customer_ID]],Customer_Dim!$A$2:$A$501,Customer_Dim!$E$2:$E$501)</f>
        <v>North Brookestad</v>
      </c>
      <c r="H1723" t="s">
        <v>909</v>
      </c>
      <c r="I1723" t="str">
        <f>VLOOKUP(Table1[[#This Row],[Product_ID]],Product_Dim!$A$2:$G$101,2,FALSE)</f>
        <v>USB External Hard Drive-Electronics</v>
      </c>
      <c r="J1723" t="s">
        <v>1609</v>
      </c>
      <c r="K1723" t="str">
        <f>VLOOKUP(Table1[[#This Row],[Store_ID]],Store_Dim!$A$3:$D$22,2,FALSE)</f>
        <v>Martinez-Mullins-South</v>
      </c>
      <c r="L1723" t="s">
        <v>1742</v>
      </c>
      <c r="M1723" t="s">
        <v>3960</v>
      </c>
      <c r="N1723" s="3">
        <v>536.61</v>
      </c>
      <c r="O1723" s="4">
        <v>0.14000000000000001</v>
      </c>
      <c r="P1723" t="s">
        <v>1772</v>
      </c>
      <c r="Q1723" s="4">
        <v>922.9692</v>
      </c>
    </row>
    <row r="1724" spans="1:17" x14ac:dyDescent="0.3">
      <c r="A1724" t="s">
        <v>3496</v>
      </c>
      <c r="B1724" t="str">
        <f t="shared" si="26"/>
        <v>Q1</v>
      </c>
      <c r="C1724" t="str">
        <f>TEXT(Table1[[#This Row],[Order_Date]],"mmmm")</f>
        <v>February</v>
      </c>
      <c r="D1724">
        <f>YEAR(Table1[[#This Row],[Order_Date]])</f>
        <v>2025</v>
      </c>
      <c r="E1724" s="7">
        <v>45709</v>
      </c>
      <c r="F1724" s="2" t="str">
        <f>VLOOKUP(Table1[[#This Row],[Customer_ID]],Customer_Dim!$A$2:$H$501,2,FALSE)</f>
        <v>Dr. Tamara White Md</v>
      </c>
      <c r="G1724" s="2" t="str">
        <f>_xlfn.XLOOKUP(Table1[[#This Row],[Customer_ID]],Customer_Dim!$A$2:$A$501,Customer_Dim!$E$2:$E$501)</f>
        <v>New Benjamin</v>
      </c>
      <c r="H1724" t="s">
        <v>1290</v>
      </c>
      <c r="I1724" t="str">
        <f>VLOOKUP(Table1[[#This Row],[Product_ID]],Product_Dim!$A$2:$G$101,2,FALSE)</f>
        <v>Womens Cotton Scarf-Clothing</v>
      </c>
      <c r="J1724" t="s">
        <v>1639</v>
      </c>
      <c r="K1724" t="str">
        <f>VLOOKUP(Table1[[#This Row],[Store_ID]],Store_Dim!$A$3:$D$22,2,FALSE)</f>
        <v>Rivera-Warner-East</v>
      </c>
      <c r="L1724" t="s">
        <v>1725</v>
      </c>
      <c r="M1724" t="s">
        <v>3958</v>
      </c>
      <c r="N1724" s="3">
        <v>130.41</v>
      </c>
      <c r="O1724" s="4">
        <v>0.14000000000000001</v>
      </c>
      <c r="P1724" t="s">
        <v>1774</v>
      </c>
      <c r="Q1724" s="4">
        <v>336.45780000000002</v>
      </c>
    </row>
    <row r="1725" spans="1:17" x14ac:dyDescent="0.3">
      <c r="A1725" t="s">
        <v>3497</v>
      </c>
      <c r="B1725" t="str">
        <f t="shared" si="26"/>
        <v>Q1</v>
      </c>
      <c r="C1725" t="str">
        <f>TEXT(Table1[[#This Row],[Order_Date]],"mmmm")</f>
        <v>March</v>
      </c>
      <c r="D1725">
        <f>YEAR(Table1[[#This Row],[Order_Date]])</f>
        <v>2025</v>
      </c>
      <c r="E1725" s="7">
        <v>45738</v>
      </c>
      <c r="F1725" s="2" t="str">
        <f>VLOOKUP(Table1[[#This Row],[Customer_ID]],Customer_Dim!$A$2:$H$501,2,FALSE)</f>
        <v>Christopher Ford</v>
      </c>
      <c r="G1725" s="2" t="str">
        <f>_xlfn.XLOOKUP(Table1[[#This Row],[Customer_ID]],Customer_Dim!$A$2:$A$501,Customer_Dim!$E$2:$E$501)</f>
        <v>North Seanfurt</v>
      </c>
      <c r="H1725" t="s">
        <v>1507</v>
      </c>
      <c r="I1725" t="str">
        <f>VLOOKUP(Table1[[#This Row],[Product_ID]],Product_Dim!$A$2:$G$101,2,FALSE)</f>
        <v>Face Foundation Kit-Beauty</v>
      </c>
      <c r="J1725" t="s">
        <v>1701</v>
      </c>
      <c r="K1725" t="str">
        <f>VLOOKUP(Table1[[#This Row],[Store_ID]],Store_Dim!$A$3:$D$22,2,FALSE)</f>
        <v>Thomas, Bridges and Harris-North</v>
      </c>
      <c r="L1725" t="s">
        <v>1751</v>
      </c>
      <c r="M1725" t="s">
        <v>3959</v>
      </c>
      <c r="N1725" s="3">
        <v>706.67</v>
      </c>
      <c r="O1725" s="4">
        <v>0.01</v>
      </c>
      <c r="P1725" t="s">
        <v>1772</v>
      </c>
      <c r="Q1725" s="4">
        <v>2798.4132</v>
      </c>
    </row>
    <row r="1726" spans="1:17" x14ac:dyDescent="0.3">
      <c r="A1726" t="s">
        <v>3498</v>
      </c>
      <c r="B1726" t="str">
        <f t="shared" si="26"/>
        <v>Q1</v>
      </c>
      <c r="C1726" t="str">
        <f>TEXT(Table1[[#This Row],[Order_Date]],"mmmm")</f>
        <v>January</v>
      </c>
      <c r="D1726">
        <f>YEAR(Table1[[#This Row],[Order_Date]])</f>
        <v>2025</v>
      </c>
      <c r="E1726" s="7">
        <v>45685</v>
      </c>
      <c r="F1726" s="2" t="str">
        <f>VLOOKUP(Table1[[#This Row],[Customer_ID]],Customer_Dim!$A$2:$H$501,2,FALSE)</f>
        <v>Jacqueline Payne</v>
      </c>
      <c r="G1726" s="2" t="str">
        <f>_xlfn.XLOOKUP(Table1[[#This Row],[Customer_ID]],Customer_Dim!$A$2:$A$501,Customer_Dim!$E$2:$E$501)</f>
        <v>Gutierrezstad</v>
      </c>
      <c r="H1726" t="s">
        <v>1210</v>
      </c>
      <c r="I1726" t="str">
        <f>VLOOKUP(Table1[[#This Row],[Product_ID]],Product_Dim!$A$2:$G$101,2,FALSE)</f>
        <v>Decorative Floor Vase-Home</v>
      </c>
      <c r="J1726" t="s">
        <v>1577</v>
      </c>
      <c r="K1726" t="str">
        <f>VLOOKUP(Table1[[#This Row],[Store_ID]],Store_Dim!$A$3:$D$22,2,FALSE)</f>
        <v>Johnson-Wright-North</v>
      </c>
      <c r="L1726" t="s">
        <v>1733</v>
      </c>
      <c r="M1726" t="s">
        <v>3958</v>
      </c>
      <c r="N1726" s="3">
        <v>523.45000000000005</v>
      </c>
      <c r="O1726" s="4">
        <v>0.17</v>
      </c>
      <c r="P1726" t="s">
        <v>1772</v>
      </c>
      <c r="Q1726" s="4">
        <v>1303.3905</v>
      </c>
    </row>
    <row r="1727" spans="1:17" x14ac:dyDescent="0.3">
      <c r="A1727" t="s">
        <v>3499</v>
      </c>
      <c r="B1727" t="str">
        <f t="shared" si="26"/>
        <v>Q1</v>
      </c>
      <c r="C1727" t="str">
        <f>TEXT(Table1[[#This Row],[Order_Date]],"mmmm")</f>
        <v>February</v>
      </c>
      <c r="D1727">
        <f>YEAR(Table1[[#This Row],[Order_Date]])</f>
        <v>2025</v>
      </c>
      <c r="E1727" s="7">
        <v>45701</v>
      </c>
      <c r="F1727" s="2" t="str">
        <f>VLOOKUP(Table1[[#This Row],[Customer_ID]],Customer_Dim!$A$2:$H$501,2,FALSE)</f>
        <v>Ms. Maria Leach</v>
      </c>
      <c r="G1727" s="2" t="str">
        <f>_xlfn.XLOOKUP(Table1[[#This Row],[Customer_ID]],Customer_Dim!$A$2:$A$501,Customer_Dim!$E$2:$E$501)</f>
        <v>Melissashire</v>
      </c>
      <c r="H1727" t="s">
        <v>48</v>
      </c>
      <c r="I1727" t="str">
        <f>VLOOKUP(Table1[[#This Row],[Product_ID]],Product_Dim!$A$2:$G$101,2,FALSE)</f>
        <v>Women's High Heels-Clothing</v>
      </c>
      <c r="J1727" t="s">
        <v>1705</v>
      </c>
      <c r="K1727" t="str">
        <f>VLOOKUP(Table1[[#This Row],[Store_ID]],Store_Dim!$A$3:$D$22,2,FALSE)</f>
        <v>Guerrero-Schmitt-East</v>
      </c>
      <c r="L1727" t="s">
        <v>1761</v>
      </c>
      <c r="M1727" t="s">
        <v>3958</v>
      </c>
      <c r="N1727" s="3">
        <v>482.2</v>
      </c>
      <c r="O1727" s="4">
        <v>0.23</v>
      </c>
      <c r="P1727" t="s">
        <v>1777</v>
      </c>
      <c r="Q1727" s="4">
        <v>1113.8820000000001</v>
      </c>
    </row>
    <row r="1728" spans="1:17" x14ac:dyDescent="0.3">
      <c r="A1728" t="s">
        <v>3500</v>
      </c>
      <c r="B1728" t="str">
        <f t="shared" si="26"/>
        <v>Q1</v>
      </c>
      <c r="C1728" t="str">
        <f>TEXT(Table1[[#This Row],[Order_Date]],"mmmm")</f>
        <v>March</v>
      </c>
      <c r="D1728">
        <f>YEAR(Table1[[#This Row],[Order_Date]])</f>
        <v>2025</v>
      </c>
      <c r="E1728" s="7">
        <v>45745</v>
      </c>
      <c r="F1728" s="2" t="str">
        <f>VLOOKUP(Table1[[#This Row],[Customer_ID]],Customer_Dim!$A$2:$H$501,2,FALSE)</f>
        <v>Donald Lee</v>
      </c>
      <c r="G1728" s="2" t="str">
        <f>_xlfn.XLOOKUP(Table1[[#This Row],[Customer_ID]],Customer_Dim!$A$2:$A$501,Customer_Dim!$E$2:$E$501)</f>
        <v>Wongberg</v>
      </c>
      <c r="H1728" t="s">
        <v>423</v>
      </c>
      <c r="I1728" t="str">
        <f>VLOOKUP(Table1[[#This Row],[Product_ID]],Product_Dim!$A$2:$G$101,2,FALSE)</f>
        <v>Organic Sunscreen Lotion-Beauty</v>
      </c>
      <c r="J1728" t="s">
        <v>1649</v>
      </c>
      <c r="K1728" t="str">
        <f>VLOOKUP(Table1[[#This Row],[Store_ID]],Store_Dim!$A$3:$D$22,2,FALSE)</f>
        <v>Gray Ltd-North</v>
      </c>
      <c r="L1728" t="s">
        <v>1738</v>
      </c>
      <c r="M1728" t="s">
        <v>3959</v>
      </c>
      <c r="N1728" s="3">
        <v>688.86</v>
      </c>
      <c r="O1728" s="4">
        <v>0.02</v>
      </c>
      <c r="P1728" t="s">
        <v>1777</v>
      </c>
      <c r="Q1728" s="4">
        <v>2700.3312000000001</v>
      </c>
    </row>
    <row r="1729" spans="1:17" x14ac:dyDescent="0.3">
      <c r="A1729" t="s">
        <v>3501</v>
      </c>
      <c r="B1729" t="str">
        <f t="shared" si="26"/>
        <v>Q4</v>
      </c>
      <c r="C1729" t="str">
        <f>TEXT(Table1[[#This Row],[Order_Date]],"mmmm")</f>
        <v>October</v>
      </c>
      <c r="D1729">
        <f>YEAR(Table1[[#This Row],[Order_Date]])</f>
        <v>2023</v>
      </c>
      <c r="E1729" s="7">
        <v>45214</v>
      </c>
      <c r="F1729" s="2" t="str">
        <f>VLOOKUP(Table1[[#This Row],[Customer_ID]],Customer_Dim!$A$2:$H$501,2,FALSE)</f>
        <v>Jonathan Steele</v>
      </c>
      <c r="G1729" s="2" t="str">
        <f>_xlfn.XLOOKUP(Table1[[#This Row],[Customer_ID]],Customer_Dim!$A$2:$A$501,Customer_Dim!$E$2:$E$501)</f>
        <v>Molinabury</v>
      </c>
      <c r="H1729" t="s">
        <v>100</v>
      </c>
      <c r="I1729" t="str">
        <f>VLOOKUP(Table1[[#This Row],[Product_ID]],Product_Dim!$A$2:$G$101,2,FALSE)</f>
        <v>Hair Strengthening Shampoo-Beauty</v>
      </c>
      <c r="J1729" t="s">
        <v>1547</v>
      </c>
      <c r="K1729" t="str">
        <f>VLOOKUP(Table1[[#This Row],[Store_ID]],Store_Dim!$A$3:$D$22,2,FALSE)</f>
        <v>Rivera-Warner-East</v>
      </c>
      <c r="L1729" t="s">
        <v>1725</v>
      </c>
      <c r="M1729" t="s">
        <v>3957</v>
      </c>
      <c r="N1729" s="3">
        <v>145.47999999999999</v>
      </c>
      <c r="O1729" s="4">
        <v>0.1</v>
      </c>
      <c r="P1729" t="s">
        <v>1777</v>
      </c>
      <c r="Q1729" s="4">
        <v>130.93199999999999</v>
      </c>
    </row>
    <row r="1730" spans="1:17" x14ac:dyDescent="0.3">
      <c r="A1730" t="s">
        <v>3502</v>
      </c>
      <c r="B1730" t="str">
        <f t="shared" ref="B1730:B1793" si="27">"Q" &amp;ROUNDUP(MONTH(E1730)/3,0)</f>
        <v>Q3</v>
      </c>
      <c r="C1730" t="str">
        <f>TEXT(Table1[[#This Row],[Order_Date]],"mmmm")</f>
        <v>September</v>
      </c>
      <c r="D1730">
        <f>YEAR(Table1[[#This Row],[Order_Date]])</f>
        <v>2024</v>
      </c>
      <c r="E1730" s="7">
        <v>45547</v>
      </c>
      <c r="F1730" s="2" t="str">
        <f>VLOOKUP(Table1[[#This Row],[Customer_ID]],Customer_Dim!$A$2:$H$501,2,FALSE)</f>
        <v>Debra Liu</v>
      </c>
      <c r="G1730" s="2" t="str">
        <f>_xlfn.XLOOKUP(Table1[[#This Row],[Customer_ID]],Customer_Dim!$A$2:$A$501,Customer_Dim!$E$2:$E$501)</f>
        <v>South Timtown</v>
      </c>
      <c r="H1730" t="s">
        <v>195</v>
      </c>
      <c r="I1730" t="str">
        <f>VLOOKUP(Table1[[#This Row],[Product_ID]],Product_Dim!$A$2:$G$101,2,FALSE)</f>
        <v>Basketball-Sports</v>
      </c>
      <c r="J1730" t="s">
        <v>1585</v>
      </c>
      <c r="K1730" t="str">
        <f>VLOOKUP(Table1[[#This Row],[Store_ID]],Store_Dim!$A$3:$D$22,2,FALSE)</f>
        <v>Aguirre-Keller-South</v>
      </c>
      <c r="L1730" t="s">
        <v>1750</v>
      </c>
      <c r="M1730" t="s">
        <v>3959</v>
      </c>
      <c r="N1730" s="3">
        <v>862.25</v>
      </c>
      <c r="O1730" s="4">
        <v>0.28000000000000003</v>
      </c>
      <c r="P1730" t="s">
        <v>1774</v>
      </c>
      <c r="Q1730" s="4">
        <v>2483.2800000000002</v>
      </c>
    </row>
    <row r="1731" spans="1:17" x14ac:dyDescent="0.3">
      <c r="A1731" t="s">
        <v>3503</v>
      </c>
      <c r="B1731" t="str">
        <f t="shared" si="27"/>
        <v>Q1</v>
      </c>
      <c r="C1731" t="str">
        <f>TEXT(Table1[[#This Row],[Order_Date]],"mmmm")</f>
        <v>January</v>
      </c>
      <c r="D1731">
        <f>YEAR(Table1[[#This Row],[Order_Date]])</f>
        <v>2024</v>
      </c>
      <c r="E1731" s="7">
        <v>45296</v>
      </c>
      <c r="F1731" s="2" t="str">
        <f>VLOOKUP(Table1[[#This Row],[Customer_ID]],Customer_Dim!$A$2:$H$501,2,FALSE)</f>
        <v>Ricardo Jones</v>
      </c>
      <c r="G1731" s="2" t="str">
        <f>_xlfn.XLOOKUP(Table1[[#This Row],[Customer_ID]],Customer_Dim!$A$2:$A$501,Customer_Dim!$E$2:$E$501)</f>
        <v>Danielland</v>
      </c>
      <c r="H1731" t="s">
        <v>917</v>
      </c>
      <c r="I1731" t="str">
        <f>VLOOKUP(Table1[[#This Row],[Product_ID]],Product_Dim!$A$2:$G$101,2,FALSE)</f>
        <v>Men's Graphic T-Shirt-Clothing</v>
      </c>
      <c r="J1731" t="s">
        <v>1525</v>
      </c>
      <c r="K1731" t="str">
        <f>VLOOKUP(Table1[[#This Row],[Store_ID]],Store_Dim!$A$3:$D$22,2,FALSE)</f>
        <v>Mcdonald Inc-South</v>
      </c>
      <c r="L1731" t="s">
        <v>1754</v>
      </c>
      <c r="M1731" t="s">
        <v>3959</v>
      </c>
      <c r="N1731" s="3">
        <v>146.12</v>
      </c>
      <c r="O1731" s="4">
        <v>0.12</v>
      </c>
      <c r="P1731" t="s">
        <v>1777</v>
      </c>
      <c r="Q1731" s="4">
        <v>514.3424</v>
      </c>
    </row>
    <row r="1732" spans="1:17" x14ac:dyDescent="0.3">
      <c r="A1732" t="s">
        <v>3504</v>
      </c>
      <c r="B1732" t="str">
        <f t="shared" si="27"/>
        <v>Q3</v>
      </c>
      <c r="C1732" t="str">
        <f>TEXT(Table1[[#This Row],[Order_Date]],"mmmm")</f>
        <v>September</v>
      </c>
      <c r="D1732">
        <f>YEAR(Table1[[#This Row],[Order_Date]])</f>
        <v>2024</v>
      </c>
      <c r="E1732" s="7">
        <v>45549</v>
      </c>
      <c r="F1732" s="2" t="str">
        <f>VLOOKUP(Table1[[#This Row],[Customer_ID]],Customer_Dim!$A$2:$H$501,2,FALSE)</f>
        <v>Earl Smith Dds</v>
      </c>
      <c r="G1732" s="2" t="str">
        <f>_xlfn.XLOOKUP(Table1[[#This Row],[Customer_ID]],Customer_Dim!$A$2:$A$501,Customer_Dim!$E$2:$E$501)</f>
        <v>West Sarah</v>
      </c>
      <c r="H1732" t="s">
        <v>1456</v>
      </c>
      <c r="I1732" t="str">
        <f>VLOOKUP(Table1[[#This Row],[Product_ID]],Product_Dim!$A$2:$G$101,2,FALSE)</f>
        <v>Basketball-Sports</v>
      </c>
      <c r="J1732" t="s">
        <v>1585</v>
      </c>
      <c r="K1732" t="str">
        <f>VLOOKUP(Table1[[#This Row],[Store_ID]],Store_Dim!$A$3:$D$22,2,FALSE)</f>
        <v>Guerrero-Schmitt-East</v>
      </c>
      <c r="L1732" t="s">
        <v>1761</v>
      </c>
      <c r="M1732" t="s">
        <v>3960</v>
      </c>
      <c r="N1732" s="3">
        <v>695.02</v>
      </c>
      <c r="O1732" s="4">
        <v>0.3</v>
      </c>
      <c r="P1732" t="s">
        <v>1777</v>
      </c>
      <c r="Q1732" s="4">
        <v>973.02799999999991</v>
      </c>
    </row>
    <row r="1733" spans="1:17" x14ac:dyDescent="0.3">
      <c r="A1733" t="s">
        <v>3505</v>
      </c>
      <c r="B1733" t="str">
        <f t="shared" si="27"/>
        <v>Q4</v>
      </c>
      <c r="C1733" t="str">
        <f>TEXT(Table1[[#This Row],[Order_Date]],"mmmm")</f>
        <v>November</v>
      </c>
      <c r="D1733">
        <f>YEAR(Table1[[#This Row],[Order_Date]])</f>
        <v>2023</v>
      </c>
      <c r="E1733" s="7">
        <v>45231</v>
      </c>
      <c r="F1733" s="2" t="str">
        <f>VLOOKUP(Table1[[#This Row],[Customer_ID]],Customer_Dim!$A$2:$H$501,2,FALSE)</f>
        <v>Jordan Wells</v>
      </c>
      <c r="G1733" s="2" t="str">
        <f>_xlfn.XLOOKUP(Table1[[#This Row],[Customer_ID]],Customer_Dim!$A$2:$A$501,Customer_Dim!$E$2:$E$501)</f>
        <v xml:space="preserve">Phillipschester   </v>
      </c>
      <c r="H1733" t="s">
        <v>705</v>
      </c>
      <c r="I1733" t="str">
        <f>VLOOKUP(Table1[[#This Row],[Product_ID]],Product_Dim!$A$2:$G$101,2,FALSE)</f>
        <v>Vitamin E Body Lotion-Beauty</v>
      </c>
      <c r="J1733" t="s">
        <v>1711</v>
      </c>
      <c r="K1733" t="str">
        <f>VLOOKUP(Table1[[#This Row],[Store_ID]],Store_Dim!$A$3:$D$22,2,FALSE)</f>
        <v>Hill, Wagner and Ballard-East</v>
      </c>
      <c r="L1733" t="s">
        <v>1748</v>
      </c>
      <c r="M1733" t="s">
        <v>3960</v>
      </c>
      <c r="N1733" s="3">
        <v>886.67</v>
      </c>
      <c r="O1733" s="4">
        <v>0.24</v>
      </c>
      <c r="P1733" t="s">
        <v>1774</v>
      </c>
      <c r="Q1733" s="4">
        <v>1347.7384</v>
      </c>
    </row>
    <row r="1734" spans="1:17" x14ac:dyDescent="0.3">
      <c r="A1734" t="s">
        <v>3506</v>
      </c>
      <c r="B1734" t="str">
        <f t="shared" si="27"/>
        <v>Q4</v>
      </c>
      <c r="C1734" t="str">
        <f>TEXT(Table1[[#This Row],[Order_Date]],"mmmm")</f>
        <v>December</v>
      </c>
      <c r="D1734">
        <f>YEAR(Table1[[#This Row],[Order_Date]])</f>
        <v>2024</v>
      </c>
      <c r="E1734" s="7">
        <v>45628</v>
      </c>
      <c r="F1734" s="2" t="str">
        <f>VLOOKUP(Table1[[#This Row],[Customer_ID]],Customer_Dim!$A$2:$H$501,2,FALSE)</f>
        <v>Katherine Dorsey</v>
      </c>
      <c r="G1734" s="2" t="str">
        <f>_xlfn.XLOOKUP(Table1[[#This Row],[Customer_ID]],Customer_Dim!$A$2:$A$501,Customer_Dim!$E$2:$E$501)</f>
        <v>Christopherland</v>
      </c>
      <c r="H1734" t="s">
        <v>202</v>
      </c>
      <c r="I1734" t="str">
        <f>VLOOKUP(Table1[[#This Row],[Product_ID]],Product_Dim!$A$2:$G$101,2,FALSE)</f>
        <v>Women's Hair Dryer Brush-Beauty</v>
      </c>
      <c r="J1734" t="s">
        <v>1655</v>
      </c>
      <c r="K1734" t="str">
        <f>VLOOKUP(Table1[[#This Row],[Store_ID]],Store_Dim!$A$3:$D$22,2,FALSE)</f>
        <v>Guerrero-Schmitt-East</v>
      </c>
      <c r="L1734" t="s">
        <v>1761</v>
      </c>
      <c r="M1734" t="s">
        <v>3960</v>
      </c>
      <c r="N1734" s="3">
        <v>864.09</v>
      </c>
      <c r="O1734" s="4">
        <v>0.06</v>
      </c>
      <c r="P1734" t="s">
        <v>1777</v>
      </c>
      <c r="Q1734" s="4">
        <v>1624.4892</v>
      </c>
    </row>
    <row r="1735" spans="1:17" x14ac:dyDescent="0.3">
      <c r="A1735" t="s">
        <v>3507</v>
      </c>
      <c r="B1735" t="str">
        <f t="shared" si="27"/>
        <v>Q3</v>
      </c>
      <c r="C1735" t="str">
        <f>TEXT(Table1[[#This Row],[Order_Date]],"mmmm")</f>
        <v>July</v>
      </c>
      <c r="D1735">
        <f>YEAR(Table1[[#This Row],[Order_Date]])</f>
        <v>2025</v>
      </c>
      <c r="E1735" s="7">
        <v>45862</v>
      </c>
      <c r="F1735" s="2" t="str">
        <f>VLOOKUP(Table1[[#This Row],[Customer_ID]],Customer_Dim!$A$2:$H$501,2,FALSE)</f>
        <v>Jeremy Harris</v>
      </c>
      <c r="G1735" s="2" t="str">
        <f>_xlfn.XLOOKUP(Table1[[#This Row],[Customer_ID]],Customer_Dim!$A$2:$A$501,Customer_Dim!$E$2:$E$501)</f>
        <v>Thomastown</v>
      </c>
      <c r="H1735" t="s">
        <v>23</v>
      </c>
      <c r="I1735" t="str">
        <f>VLOOKUP(Table1[[#This Row],[Product_ID]],Product_Dim!$A$2:$G$101,2,FALSE)</f>
        <v>Hair Strengthening Shampoo-Beauty</v>
      </c>
      <c r="J1735" t="s">
        <v>1547</v>
      </c>
      <c r="K1735" t="str">
        <f>VLOOKUP(Table1[[#This Row],[Store_ID]],Store_Dim!$A$3:$D$22,2,FALSE)</f>
        <v>Moore, Padilla and Butler-South</v>
      </c>
      <c r="L1735" t="s">
        <v>1746</v>
      </c>
      <c r="M1735" t="s">
        <v>3957</v>
      </c>
      <c r="N1735" s="3">
        <v>437.65</v>
      </c>
      <c r="O1735" s="4">
        <v>0.02</v>
      </c>
      <c r="P1735" t="s">
        <v>1774</v>
      </c>
      <c r="Q1735" s="4">
        <v>428.89699999999999</v>
      </c>
    </row>
    <row r="1736" spans="1:17" x14ac:dyDescent="0.3">
      <c r="A1736" t="s">
        <v>3508</v>
      </c>
      <c r="B1736" t="str">
        <f t="shared" si="27"/>
        <v>Q3</v>
      </c>
      <c r="C1736" t="str">
        <f>TEXT(Table1[[#This Row],[Order_Date]],"mmmm")</f>
        <v>July</v>
      </c>
      <c r="D1736">
        <f>YEAR(Table1[[#This Row],[Order_Date]])</f>
        <v>2025</v>
      </c>
      <c r="E1736" s="7">
        <v>45843</v>
      </c>
      <c r="F1736" s="2" t="str">
        <f>VLOOKUP(Table1[[#This Row],[Customer_ID]],Customer_Dim!$A$2:$H$501,2,FALSE)</f>
        <v>Christina Garcia</v>
      </c>
      <c r="G1736" s="2" t="str">
        <f>_xlfn.XLOOKUP(Table1[[#This Row],[Customer_ID]],Customer_Dim!$A$2:$A$501,Customer_Dim!$E$2:$E$501)</f>
        <v>Clarkeside</v>
      </c>
      <c r="H1736" t="s">
        <v>654</v>
      </c>
      <c r="I1736" t="str">
        <f>VLOOKUP(Table1[[#This Row],[Product_ID]],Product_Dim!$A$2:$G$101,2,FALSE)</f>
        <v>Women's Summer Dress-Clothing</v>
      </c>
      <c r="J1736" t="s">
        <v>1595</v>
      </c>
      <c r="K1736" t="str">
        <f>VLOOKUP(Table1[[#This Row],[Store_ID]],Store_Dim!$A$3:$D$22,2,FALSE)</f>
        <v>Gardner, Humphrey and Contreras-East</v>
      </c>
      <c r="L1736" t="s">
        <v>1753</v>
      </c>
      <c r="M1736" t="s">
        <v>3960</v>
      </c>
      <c r="N1736" s="3">
        <v>208.09</v>
      </c>
      <c r="O1736" s="4">
        <v>0.27</v>
      </c>
      <c r="P1736" t="s">
        <v>1772</v>
      </c>
      <c r="Q1736" s="4">
        <v>303.81139999999999</v>
      </c>
    </row>
    <row r="1737" spans="1:17" x14ac:dyDescent="0.3">
      <c r="A1737" t="s">
        <v>3509</v>
      </c>
      <c r="B1737" t="str">
        <f t="shared" si="27"/>
        <v>Q3</v>
      </c>
      <c r="C1737" t="str">
        <f>TEXT(Table1[[#This Row],[Order_Date]],"mmmm")</f>
        <v>July</v>
      </c>
      <c r="D1737">
        <f>YEAR(Table1[[#This Row],[Order_Date]])</f>
        <v>2024</v>
      </c>
      <c r="E1737" s="7">
        <v>45482</v>
      </c>
      <c r="F1737" s="2" t="str">
        <f>VLOOKUP(Table1[[#This Row],[Customer_ID]],Customer_Dim!$A$2:$H$501,2,FALSE)</f>
        <v>Katherine Dorsey</v>
      </c>
      <c r="G1737" s="2" t="str">
        <f>_xlfn.XLOOKUP(Table1[[#This Row],[Customer_ID]],Customer_Dim!$A$2:$A$501,Customer_Dim!$E$2:$E$501)</f>
        <v>Christopherland</v>
      </c>
      <c r="H1737" t="s">
        <v>202</v>
      </c>
      <c r="I1737" t="str">
        <f>VLOOKUP(Table1[[#This Row],[Product_ID]],Product_Dim!$A$2:$G$101,2,FALSE)</f>
        <v>USB-C Laptop Charger-Electronics</v>
      </c>
      <c r="J1737" t="s">
        <v>1709</v>
      </c>
      <c r="K1737" t="str">
        <f>VLOOKUP(Table1[[#This Row],[Store_ID]],Store_Dim!$A$3:$D$22,2,FALSE)</f>
        <v>Holloway Ltd-North</v>
      </c>
      <c r="L1737" t="s">
        <v>1759</v>
      </c>
      <c r="M1737" t="s">
        <v>3959</v>
      </c>
      <c r="N1737" s="3">
        <v>825.78</v>
      </c>
      <c r="O1737" s="4">
        <v>0.02</v>
      </c>
      <c r="P1737" t="s">
        <v>1772</v>
      </c>
      <c r="Q1737" s="4">
        <v>3237.0576000000001</v>
      </c>
    </row>
    <row r="1738" spans="1:17" x14ac:dyDescent="0.3">
      <c r="A1738" t="s">
        <v>3510</v>
      </c>
      <c r="B1738" t="str">
        <f t="shared" si="27"/>
        <v>Q1</v>
      </c>
      <c r="C1738" t="str">
        <f>TEXT(Table1[[#This Row],[Order_Date]],"mmmm")</f>
        <v>January</v>
      </c>
      <c r="D1738">
        <f>YEAR(Table1[[#This Row],[Order_Date]])</f>
        <v>2024</v>
      </c>
      <c r="E1738" s="7">
        <v>45313</v>
      </c>
      <c r="F1738" s="2" t="str">
        <f>VLOOKUP(Table1[[#This Row],[Customer_ID]],Customer_Dim!$A$2:$H$501,2,FALSE)</f>
        <v>Anthony Phillips</v>
      </c>
      <c r="G1738" s="2" t="str">
        <f>_xlfn.XLOOKUP(Table1[[#This Row],[Customer_ID]],Customer_Dim!$A$2:$A$501,Customer_Dim!$E$2:$E$501)</f>
        <v>North Davidport</v>
      </c>
      <c r="H1738" t="s">
        <v>400</v>
      </c>
      <c r="I1738" t="str">
        <f>VLOOKUP(Table1[[#This Row],[Product_ID]],Product_Dim!$A$2:$G$101,2,FALSE)</f>
        <v>Women's Scarf Set-Clothing</v>
      </c>
      <c r="J1738" t="s">
        <v>1573</v>
      </c>
      <c r="K1738" t="str">
        <f>VLOOKUP(Table1[[#This Row],[Store_ID]],Store_Dim!$A$3:$D$22,2,FALSE)</f>
        <v>Holloway Ltd-North</v>
      </c>
      <c r="L1738" t="s">
        <v>1759</v>
      </c>
      <c r="M1738" t="s">
        <v>3958</v>
      </c>
      <c r="N1738" s="3">
        <v>849.77</v>
      </c>
      <c r="O1738" s="4">
        <v>0.12</v>
      </c>
      <c r="P1738" t="s">
        <v>1774</v>
      </c>
      <c r="Q1738" s="4">
        <v>2243.3928000000001</v>
      </c>
    </row>
    <row r="1739" spans="1:17" x14ac:dyDescent="0.3">
      <c r="A1739" t="s">
        <v>3511</v>
      </c>
      <c r="B1739" t="str">
        <f t="shared" si="27"/>
        <v>Q1</v>
      </c>
      <c r="C1739" t="str">
        <f>TEXT(Table1[[#This Row],[Order_Date]],"mmmm")</f>
        <v>January</v>
      </c>
      <c r="D1739">
        <f>YEAR(Table1[[#This Row],[Order_Date]])</f>
        <v>2024</v>
      </c>
      <c r="E1739" s="7">
        <v>45314</v>
      </c>
      <c r="F1739" s="2" t="str">
        <f>VLOOKUP(Table1[[#This Row],[Customer_ID]],Customer_Dim!$A$2:$H$501,2,FALSE)</f>
        <v>Evelyn Brown</v>
      </c>
      <c r="G1739" s="2" t="str">
        <f>_xlfn.XLOOKUP(Table1[[#This Row],[Customer_ID]],Customer_Dim!$A$2:$A$501,Customer_Dim!$E$2:$E$501)</f>
        <v>West Victoriaborough</v>
      </c>
      <c r="H1739" t="s">
        <v>1069</v>
      </c>
      <c r="I1739" t="str">
        <f>VLOOKUP(Table1[[#This Row],[Product_ID]],Product_Dim!$A$2:$G$101,2,FALSE)</f>
        <v>Luxury Perfume Spray-Beauty</v>
      </c>
      <c r="J1739" t="s">
        <v>1643</v>
      </c>
      <c r="K1739" t="str">
        <f>VLOOKUP(Table1[[#This Row],[Store_ID]],Store_Dim!$A$3:$D$22,2,FALSE)</f>
        <v>Alexander Group-South</v>
      </c>
      <c r="L1739" t="s">
        <v>1735</v>
      </c>
      <c r="M1739" t="s">
        <v>3957</v>
      </c>
      <c r="N1739" s="3">
        <v>88.78</v>
      </c>
      <c r="O1739" s="4">
        <v>0.18</v>
      </c>
      <c r="P1739" t="s">
        <v>1772</v>
      </c>
      <c r="Q1739" s="4">
        <v>72.799600000000012</v>
      </c>
    </row>
    <row r="1740" spans="1:17" x14ac:dyDescent="0.3">
      <c r="A1740" t="s">
        <v>3512</v>
      </c>
      <c r="B1740" t="str">
        <f t="shared" si="27"/>
        <v>Q3</v>
      </c>
      <c r="C1740" t="str">
        <f>TEXT(Table1[[#This Row],[Order_Date]],"mmmm")</f>
        <v>August</v>
      </c>
      <c r="D1740">
        <f>YEAR(Table1[[#This Row],[Order_Date]])</f>
        <v>2024</v>
      </c>
      <c r="E1740" s="7">
        <v>45526</v>
      </c>
      <c r="F1740" s="2" t="str">
        <f>VLOOKUP(Table1[[#This Row],[Customer_ID]],Customer_Dim!$A$2:$H$501,2,FALSE)</f>
        <v>Todd Poole</v>
      </c>
      <c r="G1740" s="2" t="str">
        <f>_xlfn.XLOOKUP(Table1[[#This Row],[Customer_ID]],Customer_Dim!$A$2:$A$501,Customer_Dim!$E$2:$E$501)</f>
        <v>Johnsonshire</v>
      </c>
      <c r="H1740" t="s">
        <v>622</v>
      </c>
      <c r="I1740" t="str">
        <f>VLOOKUP(Table1[[#This Row],[Product_ID]],Product_Dim!$A$2:$G$101,2,FALSE)</f>
        <v>Essential Oil Diffuser-Home</v>
      </c>
      <c r="J1740" t="s">
        <v>1679</v>
      </c>
      <c r="K1740" t="str">
        <f>VLOOKUP(Table1[[#This Row],[Store_ID]],Store_Dim!$A$3:$D$22,2,FALSE)</f>
        <v>Alexander Group-South</v>
      </c>
      <c r="L1740" t="s">
        <v>1735</v>
      </c>
      <c r="M1740" t="s">
        <v>3959</v>
      </c>
      <c r="N1740" s="3">
        <v>507.22</v>
      </c>
      <c r="O1740" s="4">
        <v>0.14000000000000001</v>
      </c>
      <c r="P1740" t="s">
        <v>1774</v>
      </c>
      <c r="Q1740" s="4">
        <v>1744.8368</v>
      </c>
    </row>
    <row r="1741" spans="1:17" x14ac:dyDescent="0.3">
      <c r="A1741" t="s">
        <v>3513</v>
      </c>
      <c r="B1741" t="str">
        <f t="shared" si="27"/>
        <v>Q3</v>
      </c>
      <c r="C1741" t="str">
        <f>TEXT(Table1[[#This Row],[Order_Date]],"mmmm")</f>
        <v>August</v>
      </c>
      <c r="D1741">
        <f>YEAR(Table1[[#This Row],[Order_Date]])</f>
        <v>2025</v>
      </c>
      <c r="E1741" s="7">
        <v>45887</v>
      </c>
      <c r="F1741" s="2" t="str">
        <f>VLOOKUP(Table1[[#This Row],[Customer_ID]],Customer_Dim!$A$2:$H$501,2,FALSE)</f>
        <v>Robert House</v>
      </c>
      <c r="G1741" s="2" t="str">
        <f>_xlfn.XLOOKUP(Table1[[#This Row],[Customer_ID]],Customer_Dim!$A$2:$A$501,Customer_Dim!$E$2:$E$501)</f>
        <v>Lake James</v>
      </c>
      <c r="H1741" t="s">
        <v>986</v>
      </c>
      <c r="I1741" t="str">
        <f>VLOOKUP(Table1[[#This Row],[Product_ID]],Product_Dim!$A$2:$G$101,2,FALSE)</f>
        <v>Women's Formal Blazer-Clothing</v>
      </c>
      <c r="J1741" t="s">
        <v>1715</v>
      </c>
      <c r="K1741" t="str">
        <f>VLOOKUP(Table1[[#This Row],[Store_ID]],Store_Dim!$A$3:$D$22,2,FALSE)</f>
        <v>Rivera-Warner-East</v>
      </c>
      <c r="L1741" t="s">
        <v>1725</v>
      </c>
      <c r="M1741" t="s">
        <v>3958</v>
      </c>
      <c r="N1741" s="3">
        <v>330.98</v>
      </c>
      <c r="O1741" s="4">
        <v>0.11</v>
      </c>
      <c r="P1741" t="s">
        <v>1772</v>
      </c>
      <c r="Q1741" s="4">
        <v>883.71660000000008</v>
      </c>
    </row>
    <row r="1742" spans="1:17" x14ac:dyDescent="0.3">
      <c r="A1742" t="s">
        <v>3514</v>
      </c>
      <c r="B1742" t="str">
        <f t="shared" si="27"/>
        <v>Q3</v>
      </c>
      <c r="C1742" t="str">
        <f>TEXT(Table1[[#This Row],[Order_Date]],"mmmm")</f>
        <v>September</v>
      </c>
      <c r="D1742">
        <f>YEAR(Table1[[#This Row],[Order_Date]])</f>
        <v>2024</v>
      </c>
      <c r="E1742" s="7">
        <v>45562</v>
      </c>
      <c r="F1742" s="2" t="str">
        <f>VLOOKUP(Table1[[#This Row],[Customer_ID]],Customer_Dim!$A$2:$H$501,2,FALSE)</f>
        <v>Sarah Rodgers</v>
      </c>
      <c r="G1742" s="2" t="str">
        <f>_xlfn.XLOOKUP(Table1[[#This Row],[Customer_ID]],Customer_Dim!$A$2:$A$501,Customer_Dim!$E$2:$E$501)</f>
        <v>New Julia</v>
      </c>
      <c r="H1742" t="s">
        <v>192</v>
      </c>
      <c r="I1742" t="str">
        <f>VLOOKUP(Table1[[#This Row],[Product_ID]],Product_Dim!$A$2:$G$101,2,FALSE)</f>
        <v>Men's Casual Sneakers-Clothing</v>
      </c>
      <c r="J1742" t="s">
        <v>1597</v>
      </c>
      <c r="K1742" t="str">
        <f>VLOOKUP(Table1[[#This Row],[Store_ID]],Store_Dim!$A$3:$D$22,2,FALSE)</f>
        <v>Mann-Austin-East</v>
      </c>
      <c r="L1742" t="s">
        <v>1763</v>
      </c>
      <c r="M1742" t="s">
        <v>3959</v>
      </c>
      <c r="N1742" s="3">
        <v>442.87</v>
      </c>
      <c r="O1742" s="4">
        <v>0.08</v>
      </c>
      <c r="P1742" t="s">
        <v>1772</v>
      </c>
      <c r="Q1742" s="4">
        <v>1629.7616</v>
      </c>
    </row>
    <row r="1743" spans="1:17" x14ac:dyDescent="0.3">
      <c r="A1743" t="s">
        <v>3515</v>
      </c>
      <c r="B1743" t="str">
        <f t="shared" si="27"/>
        <v>Q3</v>
      </c>
      <c r="C1743" t="str">
        <f>TEXT(Table1[[#This Row],[Order_Date]],"mmmm")</f>
        <v>August</v>
      </c>
      <c r="D1743">
        <f>YEAR(Table1[[#This Row],[Order_Date]])</f>
        <v>2025</v>
      </c>
      <c r="E1743" s="7">
        <v>45880</v>
      </c>
      <c r="F1743" s="2" t="str">
        <f>VLOOKUP(Table1[[#This Row],[Customer_ID]],Customer_Dim!$A$2:$H$501,2,FALSE)</f>
        <v>Ms. Maria Leach</v>
      </c>
      <c r="G1743" s="2" t="str">
        <f>_xlfn.XLOOKUP(Table1[[#This Row],[Customer_ID]],Customer_Dim!$A$2:$A$501,Customer_Dim!$E$2:$E$501)</f>
        <v>Melissashire</v>
      </c>
      <c r="H1743" t="s">
        <v>48</v>
      </c>
      <c r="I1743" t="str">
        <f>VLOOKUP(Table1[[#This Row],[Product_ID]],Product_Dim!$A$2:$G$101,2,FALSE)</f>
        <v>Women's Formal Blazer-Clothing</v>
      </c>
      <c r="J1743" t="s">
        <v>1715</v>
      </c>
      <c r="K1743" t="str">
        <f>VLOOKUP(Table1[[#This Row],[Store_ID]],Store_Dim!$A$3:$D$22,2,FALSE)</f>
        <v>Black-Horn-South</v>
      </c>
      <c r="L1743" t="s">
        <v>1730</v>
      </c>
      <c r="M1743" t="s">
        <v>3960</v>
      </c>
      <c r="N1743" s="3">
        <v>939.66</v>
      </c>
      <c r="O1743" s="4">
        <v>0.14000000000000001</v>
      </c>
      <c r="P1743" t="s">
        <v>1774</v>
      </c>
      <c r="Q1743" s="4">
        <v>1616.2152000000001</v>
      </c>
    </row>
    <row r="1744" spans="1:17" x14ac:dyDescent="0.3">
      <c r="A1744" t="s">
        <v>3516</v>
      </c>
      <c r="B1744" t="str">
        <f t="shared" si="27"/>
        <v>Q3</v>
      </c>
      <c r="C1744" t="str">
        <f>TEXT(Table1[[#This Row],[Order_Date]],"mmmm")</f>
        <v>September</v>
      </c>
      <c r="D1744">
        <f>YEAR(Table1[[#This Row],[Order_Date]])</f>
        <v>2024</v>
      </c>
      <c r="E1744" s="7">
        <v>45556</v>
      </c>
      <c r="F1744" s="2" t="str">
        <f>VLOOKUP(Table1[[#This Row],[Customer_ID]],Customer_Dim!$A$2:$H$501,2,FALSE)</f>
        <v>Gloria Taylor</v>
      </c>
      <c r="G1744" s="2" t="str">
        <f>_xlfn.XLOOKUP(Table1[[#This Row],[Customer_ID]],Customer_Dim!$A$2:$A$501,Customer_Dim!$E$2:$E$501)</f>
        <v>North Daniel</v>
      </c>
      <c r="H1744" t="s">
        <v>920</v>
      </c>
      <c r="I1744" t="str">
        <f>VLOOKUP(Table1[[#This Row],[Product_ID]],Product_Dim!$A$2:$G$101,2,FALSE)</f>
        <v>Shin Guards – Adult-Sports</v>
      </c>
      <c r="J1744" t="s">
        <v>1669</v>
      </c>
      <c r="K1744" t="str">
        <f>VLOOKUP(Table1[[#This Row],[Store_ID]],Store_Dim!$A$3:$D$22,2,FALSE)</f>
        <v>Johnson-Wright-North</v>
      </c>
      <c r="L1744" t="s">
        <v>1733</v>
      </c>
      <c r="M1744" t="s">
        <v>3957</v>
      </c>
      <c r="N1744" s="3">
        <v>24.13</v>
      </c>
      <c r="O1744" s="4">
        <v>0</v>
      </c>
      <c r="P1744" t="s">
        <v>1772</v>
      </c>
      <c r="Q1744" s="4">
        <v>24.13</v>
      </c>
    </row>
    <row r="1745" spans="1:17" x14ac:dyDescent="0.3">
      <c r="A1745" t="s">
        <v>3517</v>
      </c>
      <c r="B1745" t="str">
        <f t="shared" si="27"/>
        <v>Q1</v>
      </c>
      <c r="C1745" t="str">
        <f>TEXT(Table1[[#This Row],[Order_Date]],"mmmm")</f>
        <v>March</v>
      </c>
      <c r="D1745">
        <f>YEAR(Table1[[#This Row],[Order_Date]])</f>
        <v>2024</v>
      </c>
      <c r="E1745" s="7">
        <v>45355</v>
      </c>
      <c r="F1745" s="2" t="str">
        <f>VLOOKUP(Table1[[#This Row],[Customer_ID]],Customer_Dim!$A$2:$H$501,2,FALSE)</f>
        <v>Chloe Aguilar</v>
      </c>
      <c r="G1745" s="2" t="str">
        <f>_xlfn.XLOOKUP(Table1[[#This Row],[Customer_ID]],Customer_Dim!$A$2:$A$501,Customer_Dim!$E$2:$E$501)</f>
        <v>Lake Johnside</v>
      </c>
      <c r="H1745" t="s">
        <v>1126</v>
      </c>
      <c r="I1745" t="str">
        <f>VLOOKUP(Table1[[#This Row],[Product_ID]],Product_Dim!$A$2:$G$101,2,FALSE)</f>
        <v>Yoga Exercise Mat-Sports</v>
      </c>
      <c r="J1745" t="s">
        <v>1605</v>
      </c>
      <c r="K1745" t="str">
        <f>VLOOKUP(Table1[[#This Row],[Store_ID]],Store_Dim!$A$3:$D$22,2,FALSE)</f>
        <v>Johnson-Wright-North</v>
      </c>
      <c r="L1745" t="s">
        <v>1733</v>
      </c>
      <c r="M1745" t="s">
        <v>3958</v>
      </c>
      <c r="N1745" s="3">
        <v>239.54</v>
      </c>
      <c r="O1745" s="4">
        <v>0.28999999999999998</v>
      </c>
      <c r="P1745" t="s">
        <v>1777</v>
      </c>
      <c r="Q1745" s="4">
        <v>510.22019999999998</v>
      </c>
    </row>
    <row r="1746" spans="1:17" x14ac:dyDescent="0.3">
      <c r="A1746" t="s">
        <v>3518</v>
      </c>
      <c r="B1746" t="str">
        <f t="shared" si="27"/>
        <v>Q4</v>
      </c>
      <c r="C1746" t="str">
        <f>TEXT(Table1[[#This Row],[Order_Date]],"mmmm")</f>
        <v>November</v>
      </c>
      <c r="D1746">
        <f>YEAR(Table1[[#This Row],[Order_Date]])</f>
        <v>2023</v>
      </c>
      <c r="E1746" s="7">
        <v>45244</v>
      </c>
      <c r="F1746" s="2" t="str">
        <f>VLOOKUP(Table1[[#This Row],[Customer_ID]],Customer_Dim!$A$2:$H$501,2,FALSE)</f>
        <v>Sheri Joyce</v>
      </c>
      <c r="G1746" s="2" t="str">
        <f>_xlfn.XLOOKUP(Table1[[#This Row],[Customer_ID]],Customer_Dim!$A$2:$A$501,Customer_Dim!$E$2:$E$501)</f>
        <v>West Tylerfort</v>
      </c>
      <c r="H1746" t="s">
        <v>1467</v>
      </c>
      <c r="I1746" t="str">
        <f>VLOOKUP(Table1[[#This Row],[Product_ID]],Product_Dim!$A$2:$G$101,2,FALSE)</f>
        <v>Men's Winter Jacket-Clothing</v>
      </c>
      <c r="J1746" t="s">
        <v>1615</v>
      </c>
      <c r="K1746" t="str">
        <f>VLOOKUP(Table1[[#This Row],[Store_ID]],Store_Dim!$A$3:$D$22,2,FALSE)</f>
        <v>Mcdonald Inc-South</v>
      </c>
      <c r="L1746" t="s">
        <v>1754</v>
      </c>
      <c r="M1746" t="s">
        <v>3957</v>
      </c>
      <c r="N1746" s="3">
        <v>588.53</v>
      </c>
      <c r="O1746" s="4">
        <v>0.1</v>
      </c>
      <c r="P1746" t="s">
        <v>1772</v>
      </c>
      <c r="Q1746" s="4">
        <v>529.67700000000002</v>
      </c>
    </row>
    <row r="1747" spans="1:17" x14ac:dyDescent="0.3">
      <c r="A1747" t="s">
        <v>3519</v>
      </c>
      <c r="B1747" t="str">
        <f t="shared" si="27"/>
        <v>Q3</v>
      </c>
      <c r="C1747" t="str">
        <f>TEXT(Table1[[#This Row],[Order_Date]],"mmmm")</f>
        <v>July</v>
      </c>
      <c r="D1747">
        <f>YEAR(Table1[[#This Row],[Order_Date]])</f>
        <v>2025</v>
      </c>
      <c r="E1747" s="7">
        <v>45863</v>
      </c>
      <c r="F1747" s="2" t="str">
        <f>VLOOKUP(Table1[[#This Row],[Customer_ID]],Customer_Dim!$A$2:$H$501,2,FALSE)</f>
        <v>Misty Ferguson</v>
      </c>
      <c r="G1747" s="2" t="str">
        <f>_xlfn.XLOOKUP(Table1[[#This Row],[Customer_ID]],Customer_Dim!$A$2:$A$501,Customer_Dim!$E$2:$E$501)</f>
        <v>North Joseside</v>
      </c>
      <c r="H1747" t="s">
        <v>906</v>
      </c>
      <c r="I1747" t="str">
        <f>VLOOKUP(Table1[[#This Row],[Product_ID]],Product_Dim!$A$2:$G$101,2,FALSE)</f>
        <v>Luxury Perfume Spray-Beauty</v>
      </c>
      <c r="J1747" t="s">
        <v>1643</v>
      </c>
      <c r="K1747" t="str">
        <f>VLOOKUP(Table1[[#This Row],[Store_ID]],Store_Dim!$A$3:$D$22,2,FALSE)</f>
        <v>Shelton PLC-North</v>
      </c>
      <c r="L1747" t="s">
        <v>1755</v>
      </c>
      <c r="M1747" t="s">
        <v>3957</v>
      </c>
      <c r="N1747" s="3">
        <v>145.96</v>
      </c>
      <c r="O1747" s="4">
        <v>0.3</v>
      </c>
      <c r="P1747" t="s">
        <v>1772</v>
      </c>
      <c r="Q1747" s="4">
        <v>102.172</v>
      </c>
    </row>
    <row r="1748" spans="1:17" x14ac:dyDescent="0.3">
      <c r="A1748" t="s">
        <v>3520</v>
      </c>
      <c r="B1748" t="str">
        <f t="shared" si="27"/>
        <v>Q4</v>
      </c>
      <c r="C1748" t="str">
        <f>TEXT(Table1[[#This Row],[Order_Date]],"mmmm")</f>
        <v>October</v>
      </c>
      <c r="D1748">
        <f>YEAR(Table1[[#This Row],[Order_Date]])</f>
        <v>2024</v>
      </c>
      <c r="E1748" s="7">
        <v>45573</v>
      </c>
      <c r="F1748" s="2" t="str">
        <f>VLOOKUP(Table1[[#This Row],[Customer_ID]],Customer_Dim!$A$2:$H$501,2,FALSE)</f>
        <v>Colleen Maynard</v>
      </c>
      <c r="G1748" s="2" t="str">
        <f>_xlfn.XLOOKUP(Table1[[#This Row],[Customer_ID]],Customer_Dim!$A$2:$A$501,Customer_Dim!$E$2:$E$501)</f>
        <v>Singletonmouth</v>
      </c>
      <c r="H1748" t="s">
        <v>355</v>
      </c>
      <c r="I1748" t="str">
        <f>VLOOKUP(Table1[[#This Row],[Product_ID]],Product_Dim!$A$2:$G$101,2,FALSE)</f>
        <v>Kitchen Storage Rack-Home</v>
      </c>
      <c r="J1748" t="s">
        <v>1663</v>
      </c>
      <c r="K1748" t="str">
        <f>VLOOKUP(Table1[[#This Row],[Store_ID]],Store_Dim!$A$3:$D$22,2,FALSE)</f>
        <v>Alexander Group-South</v>
      </c>
      <c r="L1748" t="s">
        <v>1735</v>
      </c>
      <c r="M1748" t="s">
        <v>3959</v>
      </c>
      <c r="N1748" s="3">
        <v>640.91</v>
      </c>
      <c r="O1748" s="4">
        <v>0.06</v>
      </c>
      <c r="P1748" t="s">
        <v>1772</v>
      </c>
      <c r="Q1748" s="4">
        <v>2409.8216000000002</v>
      </c>
    </row>
    <row r="1749" spans="1:17" x14ac:dyDescent="0.3">
      <c r="A1749" t="s">
        <v>3521</v>
      </c>
      <c r="B1749" t="str">
        <f t="shared" si="27"/>
        <v>Q2</v>
      </c>
      <c r="C1749" t="str">
        <f>TEXT(Table1[[#This Row],[Order_Date]],"mmmm")</f>
        <v>May</v>
      </c>
      <c r="D1749">
        <f>YEAR(Table1[[#This Row],[Order_Date]])</f>
        <v>2025</v>
      </c>
      <c r="E1749" s="7">
        <v>45792</v>
      </c>
      <c r="F1749" s="2" t="str">
        <f>VLOOKUP(Table1[[#This Row],[Customer_ID]],Customer_Dim!$A$2:$H$501,2,FALSE)</f>
        <v>William Martin</v>
      </c>
      <c r="G1749" s="2" t="str">
        <f>_xlfn.XLOOKUP(Table1[[#This Row],[Customer_ID]],Customer_Dim!$A$2:$A$501,Customer_Dim!$E$2:$E$501)</f>
        <v>Ryanburgh</v>
      </c>
      <c r="H1749" t="s">
        <v>163</v>
      </c>
      <c r="I1749" t="str">
        <f>VLOOKUP(Table1[[#This Row],[Product_ID]],Product_Dim!$A$2:$G$101,2,FALSE)</f>
        <v>Matte Lipstick Set-Beauty</v>
      </c>
      <c r="J1749" t="s">
        <v>1651</v>
      </c>
      <c r="K1749" t="str">
        <f>VLOOKUP(Table1[[#This Row],[Store_ID]],Store_Dim!$A$3:$D$22,2,FALSE)</f>
        <v>Aguirre-Keller-South</v>
      </c>
      <c r="L1749" t="s">
        <v>1750</v>
      </c>
      <c r="M1749" t="s">
        <v>3958</v>
      </c>
      <c r="N1749" s="3">
        <v>773.86</v>
      </c>
      <c r="O1749" s="4">
        <v>0.22</v>
      </c>
      <c r="P1749" t="s">
        <v>1772</v>
      </c>
      <c r="Q1749" s="4">
        <v>1810.8324</v>
      </c>
    </row>
    <row r="1750" spans="1:17" x14ac:dyDescent="0.3">
      <c r="A1750" t="s">
        <v>3522</v>
      </c>
      <c r="B1750" t="str">
        <f t="shared" si="27"/>
        <v>Q1</v>
      </c>
      <c r="C1750" t="str">
        <f>TEXT(Table1[[#This Row],[Order_Date]],"mmmm")</f>
        <v>March</v>
      </c>
      <c r="D1750">
        <f>YEAR(Table1[[#This Row],[Order_Date]])</f>
        <v>2025</v>
      </c>
      <c r="E1750" s="7">
        <v>45744</v>
      </c>
      <c r="F1750" s="2" t="str">
        <f>VLOOKUP(Table1[[#This Row],[Customer_ID]],Customer_Dim!$A$2:$H$501,2,FALSE)</f>
        <v>Samantha Lee</v>
      </c>
      <c r="G1750" s="2" t="str">
        <f>_xlfn.XLOOKUP(Table1[[#This Row],[Customer_ID]],Customer_Dim!$A$2:$A$501,Customer_Dim!$E$2:$E$501)</f>
        <v>Port Anthony</v>
      </c>
      <c r="H1750" t="s">
        <v>1412</v>
      </c>
      <c r="I1750" t="str">
        <f>VLOOKUP(Table1[[#This Row],[Product_ID]],Product_Dim!$A$2:$G$101,2,FALSE)</f>
        <v>Basketball-Sports</v>
      </c>
      <c r="J1750" t="s">
        <v>1585</v>
      </c>
      <c r="K1750" t="str">
        <f>VLOOKUP(Table1[[#This Row],[Store_ID]],Store_Dim!$A$3:$D$22,2,FALSE)</f>
        <v>Shelton PLC-North</v>
      </c>
      <c r="L1750" t="s">
        <v>1755</v>
      </c>
      <c r="M1750" t="s">
        <v>3960</v>
      </c>
      <c r="N1750" s="3">
        <v>31.28</v>
      </c>
      <c r="O1750" s="4">
        <v>0.2</v>
      </c>
      <c r="P1750" t="s">
        <v>1777</v>
      </c>
      <c r="Q1750" s="4">
        <v>50.048000000000002</v>
      </c>
    </row>
    <row r="1751" spans="1:17" x14ac:dyDescent="0.3">
      <c r="A1751" t="s">
        <v>3523</v>
      </c>
      <c r="B1751" t="str">
        <f t="shared" si="27"/>
        <v>Q3</v>
      </c>
      <c r="C1751" t="str">
        <f>TEXT(Table1[[#This Row],[Order_Date]],"mmmm")</f>
        <v>July</v>
      </c>
      <c r="D1751">
        <f>YEAR(Table1[[#This Row],[Order_Date]])</f>
        <v>2025</v>
      </c>
      <c r="E1751" s="7">
        <v>45842</v>
      </c>
      <c r="F1751" s="2" t="str">
        <f>VLOOKUP(Table1[[#This Row],[Customer_ID]],Customer_Dim!$A$2:$H$501,2,FALSE)</f>
        <v>James Orozco</v>
      </c>
      <c r="G1751" s="2" t="str">
        <f>_xlfn.XLOOKUP(Table1[[#This Row],[Customer_ID]],Customer_Dim!$A$2:$A$501,Customer_Dim!$E$2:$E$501)</f>
        <v>Simpsonfort</v>
      </c>
      <c r="H1751" t="s">
        <v>1153</v>
      </c>
      <c r="I1751" t="str">
        <f>VLOOKUP(Table1[[#This Row],[Product_ID]],Product_Dim!$A$2:$G$101,2,FALSE)</f>
        <v>Fitness Resistance Bands-Sports</v>
      </c>
      <c r="J1751" t="s">
        <v>1687</v>
      </c>
      <c r="K1751" t="str">
        <f>VLOOKUP(Table1[[#This Row],[Store_ID]],Store_Dim!$A$3:$D$22,2,FALSE)</f>
        <v>Benson-Elliott-East</v>
      </c>
      <c r="L1751" t="s">
        <v>1740</v>
      </c>
      <c r="M1751" t="s">
        <v>3959</v>
      </c>
      <c r="N1751" s="3">
        <v>389.22</v>
      </c>
      <c r="O1751" s="4">
        <v>0.18</v>
      </c>
      <c r="P1751" t="s">
        <v>1772</v>
      </c>
      <c r="Q1751" s="4">
        <v>1276.6415999999999</v>
      </c>
    </row>
    <row r="1752" spans="1:17" x14ac:dyDescent="0.3">
      <c r="A1752" t="s">
        <v>3524</v>
      </c>
      <c r="B1752" t="str">
        <f t="shared" si="27"/>
        <v>Q3</v>
      </c>
      <c r="C1752" t="str">
        <f>TEXT(Table1[[#This Row],[Order_Date]],"mmmm")</f>
        <v>July</v>
      </c>
      <c r="D1752">
        <f>YEAR(Table1[[#This Row],[Order_Date]])</f>
        <v>2024</v>
      </c>
      <c r="E1752" s="7">
        <v>45502</v>
      </c>
      <c r="F1752" s="2" t="str">
        <f>VLOOKUP(Table1[[#This Row],[Customer_ID]],Customer_Dim!$A$2:$H$501,2,FALSE)</f>
        <v>Laura Alvarez</v>
      </c>
      <c r="G1752" s="2" t="str">
        <f>_xlfn.XLOOKUP(Table1[[#This Row],[Customer_ID]],Customer_Dim!$A$2:$A$501,Customer_Dim!$E$2:$E$501)</f>
        <v>Lawsonhaven</v>
      </c>
      <c r="H1752" t="s">
        <v>71</v>
      </c>
      <c r="I1752" t="str">
        <f>VLOOKUP(Table1[[#This Row],[Product_ID]],Product_Dim!$A$2:$G$101,2,FALSE)</f>
        <v>Matte Lipstick Set-Beauty</v>
      </c>
      <c r="J1752" t="s">
        <v>1651</v>
      </c>
      <c r="K1752" t="str">
        <f>VLOOKUP(Table1[[#This Row],[Store_ID]],Store_Dim!$A$3:$D$22,2,FALSE)</f>
        <v>Shelton PLC-North</v>
      </c>
      <c r="L1752" t="s">
        <v>1755</v>
      </c>
      <c r="M1752" t="s">
        <v>3958</v>
      </c>
      <c r="N1752" s="3">
        <v>543.44000000000005</v>
      </c>
      <c r="O1752" s="4">
        <v>0.13</v>
      </c>
      <c r="P1752" t="s">
        <v>1774</v>
      </c>
      <c r="Q1752" s="4">
        <v>1418.3784000000001</v>
      </c>
    </row>
    <row r="1753" spans="1:17" x14ac:dyDescent="0.3">
      <c r="A1753" t="s">
        <v>3525</v>
      </c>
      <c r="B1753" t="str">
        <f t="shared" si="27"/>
        <v>Q1</v>
      </c>
      <c r="C1753" t="str">
        <f>TEXT(Table1[[#This Row],[Order_Date]],"mmmm")</f>
        <v>January</v>
      </c>
      <c r="D1753">
        <f>YEAR(Table1[[#This Row],[Order_Date]])</f>
        <v>2024</v>
      </c>
      <c r="E1753" s="7">
        <v>45296</v>
      </c>
      <c r="F1753" s="2" t="str">
        <f>VLOOKUP(Table1[[#This Row],[Customer_ID]],Customer_Dim!$A$2:$H$501,2,FALSE)</f>
        <v>Christopher David</v>
      </c>
      <c r="G1753" s="2" t="str">
        <f>_xlfn.XLOOKUP(Table1[[#This Row],[Customer_ID]],Customer_Dim!$A$2:$A$501,Customer_Dim!$E$2:$E$501)</f>
        <v>Karenmouth</v>
      </c>
      <c r="H1753" t="s">
        <v>814</v>
      </c>
      <c r="I1753" t="str">
        <f>VLOOKUP(Table1[[#This Row],[Product_ID]],Product_Dim!$A$2:$G$101,2,FALSE)</f>
        <v>Cricket Bat-Sports</v>
      </c>
      <c r="J1753" t="s">
        <v>1717</v>
      </c>
      <c r="K1753" t="str">
        <f>VLOOKUP(Table1[[#This Row],[Store_ID]],Store_Dim!$A$3:$D$22,2,FALSE)</f>
        <v>Mann-Austin-East</v>
      </c>
      <c r="L1753" t="s">
        <v>1763</v>
      </c>
      <c r="M1753" t="s">
        <v>3959</v>
      </c>
      <c r="N1753" s="3">
        <v>715.42</v>
      </c>
      <c r="O1753" s="4">
        <v>0.28999999999999998</v>
      </c>
      <c r="P1753" t="s">
        <v>1774</v>
      </c>
      <c r="Q1753" s="4">
        <v>2031.7927999999999</v>
      </c>
    </row>
    <row r="1754" spans="1:17" x14ac:dyDescent="0.3">
      <c r="A1754" t="s">
        <v>3526</v>
      </c>
      <c r="B1754" t="str">
        <f t="shared" si="27"/>
        <v>Q3</v>
      </c>
      <c r="C1754" t="str">
        <f>TEXT(Table1[[#This Row],[Order_Date]],"mmmm")</f>
        <v>August</v>
      </c>
      <c r="D1754">
        <f>YEAR(Table1[[#This Row],[Order_Date]])</f>
        <v>2025</v>
      </c>
      <c r="E1754" s="7">
        <v>45886</v>
      </c>
      <c r="F1754" s="2" t="str">
        <f>VLOOKUP(Table1[[#This Row],[Customer_ID]],Customer_Dim!$A$2:$H$501,2,FALSE)</f>
        <v>Sarah Rodgers</v>
      </c>
      <c r="G1754" s="2" t="str">
        <f>_xlfn.XLOOKUP(Table1[[#This Row],[Customer_ID]],Customer_Dim!$A$2:$A$501,Customer_Dim!$E$2:$E$501)</f>
        <v>New Julia</v>
      </c>
      <c r="H1754" t="s">
        <v>192</v>
      </c>
      <c r="I1754" t="str">
        <f>VLOOKUP(Table1[[#This Row],[Product_ID]],Product_Dim!$A$2:$G$101,2,FALSE)</f>
        <v>Hair Strengthening Shampoo-Beauty</v>
      </c>
      <c r="J1754" t="s">
        <v>1547</v>
      </c>
      <c r="K1754" t="str">
        <f>VLOOKUP(Table1[[#This Row],[Store_ID]],Store_Dim!$A$3:$D$22,2,FALSE)</f>
        <v>Alexander Group-South</v>
      </c>
      <c r="L1754" t="s">
        <v>1735</v>
      </c>
      <c r="M1754" t="s">
        <v>3959</v>
      </c>
      <c r="N1754" s="3">
        <v>676.14</v>
      </c>
      <c r="O1754" s="4">
        <v>0.11</v>
      </c>
      <c r="P1754" t="s">
        <v>1777</v>
      </c>
      <c r="Q1754" s="4">
        <v>2407.0583999999999</v>
      </c>
    </row>
    <row r="1755" spans="1:17" x14ac:dyDescent="0.3">
      <c r="A1755" t="s">
        <v>3527</v>
      </c>
      <c r="B1755" t="str">
        <f t="shared" si="27"/>
        <v>Q2</v>
      </c>
      <c r="C1755" t="str">
        <f>TEXT(Table1[[#This Row],[Order_Date]],"mmmm")</f>
        <v>May</v>
      </c>
      <c r="D1755">
        <f>YEAR(Table1[[#This Row],[Order_Date]])</f>
        <v>2024</v>
      </c>
      <c r="E1755" s="7">
        <v>45425</v>
      </c>
      <c r="F1755" s="2" t="str">
        <f>VLOOKUP(Table1[[#This Row],[Customer_ID]],Customer_Dim!$A$2:$H$501,2,FALSE)</f>
        <v>Jamie Yoder</v>
      </c>
      <c r="G1755" s="2" t="str">
        <f>_xlfn.XLOOKUP(Table1[[#This Row],[Customer_ID]],Customer_Dim!$A$2:$A$501,Customer_Dim!$E$2:$E$501)</f>
        <v>New Gabrielleville</v>
      </c>
      <c r="H1755" t="s">
        <v>316</v>
      </c>
      <c r="I1755" t="str">
        <f>VLOOKUP(Table1[[#This Row],[Product_ID]],Product_Dim!$A$2:$G$101,2,FALSE)</f>
        <v>Portable Power Bank-Electronics</v>
      </c>
      <c r="J1755" t="s">
        <v>1601</v>
      </c>
      <c r="K1755" t="str">
        <f>VLOOKUP(Table1[[#This Row],[Store_ID]],Store_Dim!$A$3:$D$22,2,FALSE)</f>
        <v>Martinez, Adkins and Johnson-North</v>
      </c>
      <c r="L1755" t="s">
        <v>1728</v>
      </c>
      <c r="M1755" t="s">
        <v>3959</v>
      </c>
      <c r="N1755" s="3">
        <v>352.72</v>
      </c>
      <c r="O1755" s="4">
        <v>0.25</v>
      </c>
      <c r="P1755" t="s">
        <v>1772</v>
      </c>
      <c r="Q1755" s="4">
        <v>1058.1600000000001</v>
      </c>
    </row>
    <row r="1756" spans="1:17" x14ac:dyDescent="0.3">
      <c r="A1756" t="s">
        <v>3528</v>
      </c>
      <c r="B1756" t="str">
        <f t="shared" si="27"/>
        <v>Q2</v>
      </c>
      <c r="C1756" t="str">
        <f>TEXT(Table1[[#This Row],[Order_Date]],"mmmm")</f>
        <v>May</v>
      </c>
      <c r="D1756">
        <f>YEAR(Table1[[#This Row],[Order_Date]])</f>
        <v>2025</v>
      </c>
      <c r="E1756" s="7">
        <v>45797</v>
      </c>
      <c r="F1756" s="2" t="str">
        <f>VLOOKUP(Table1[[#This Row],[Customer_ID]],Customer_Dim!$A$2:$H$501,2,FALSE)</f>
        <v>Teresa Stokes</v>
      </c>
      <c r="G1756" s="2" t="str">
        <f>_xlfn.XLOOKUP(Table1[[#This Row],[Customer_ID]],Customer_Dim!$A$2:$A$501,Customer_Dim!$E$2:$E$501)</f>
        <v>New William</v>
      </c>
      <c r="H1756" t="s">
        <v>568</v>
      </c>
      <c r="I1756" t="str">
        <f>VLOOKUP(Table1[[#This Row],[Product_ID]],Product_Dim!$A$2:$G$101,2,FALSE)</f>
        <v>HD Smart TV Stick-Electronics</v>
      </c>
      <c r="J1756" t="s">
        <v>1545</v>
      </c>
      <c r="K1756" t="str">
        <f>VLOOKUP(Table1[[#This Row],[Store_ID]],Store_Dim!$A$3:$D$22,2,FALSE)</f>
        <v>Thomas, Bridges and Harris-North</v>
      </c>
      <c r="L1756" t="s">
        <v>1751</v>
      </c>
      <c r="M1756" t="s">
        <v>3957</v>
      </c>
      <c r="N1756" s="3">
        <v>470.18</v>
      </c>
      <c r="O1756" s="4">
        <v>0.19</v>
      </c>
      <c r="P1756" t="s">
        <v>1774</v>
      </c>
      <c r="Q1756" s="4">
        <v>380.84580000000011</v>
      </c>
    </row>
    <row r="1757" spans="1:17" x14ac:dyDescent="0.3">
      <c r="A1757" t="s">
        <v>3529</v>
      </c>
      <c r="B1757" t="str">
        <f t="shared" si="27"/>
        <v>Q3</v>
      </c>
      <c r="C1757" t="str">
        <f>TEXT(Table1[[#This Row],[Order_Date]],"mmmm")</f>
        <v>August</v>
      </c>
      <c r="D1757">
        <f>YEAR(Table1[[#This Row],[Order_Date]])</f>
        <v>2025</v>
      </c>
      <c r="E1757" s="7">
        <v>45898</v>
      </c>
      <c r="F1757" s="2" t="str">
        <f>VLOOKUP(Table1[[#This Row],[Customer_ID]],Customer_Dim!$A$2:$H$501,2,FALSE)</f>
        <v>Timothy Sanders</v>
      </c>
      <c r="G1757" s="2" t="str">
        <f>_xlfn.XLOOKUP(Table1[[#This Row],[Customer_ID]],Customer_Dim!$A$2:$A$501,Customer_Dim!$E$2:$E$501)</f>
        <v>Aaronmouth</v>
      </c>
      <c r="H1757" t="s">
        <v>734</v>
      </c>
      <c r="I1757" t="str">
        <f>VLOOKUP(Table1[[#This Row],[Product_ID]],Product_Dim!$A$2:$G$101,2,FALSE)</f>
        <v>Women's Hair Dryer Brush-Beauty</v>
      </c>
      <c r="J1757" t="s">
        <v>1655</v>
      </c>
      <c r="K1757" t="str">
        <f>VLOOKUP(Table1[[#This Row],[Store_ID]],Store_Dim!$A$3:$D$22,2,FALSE)</f>
        <v>Aguirre-Keller-South</v>
      </c>
      <c r="L1757" t="s">
        <v>1750</v>
      </c>
      <c r="M1757" t="s">
        <v>3957</v>
      </c>
      <c r="N1757" s="3">
        <v>891.79</v>
      </c>
      <c r="O1757" s="4">
        <v>0.03</v>
      </c>
      <c r="P1757" t="s">
        <v>1772</v>
      </c>
      <c r="Q1757" s="4">
        <v>865.03629999999998</v>
      </c>
    </row>
    <row r="1758" spans="1:17" x14ac:dyDescent="0.3">
      <c r="A1758" t="s">
        <v>3530</v>
      </c>
      <c r="B1758" t="str">
        <f t="shared" si="27"/>
        <v>Q2</v>
      </c>
      <c r="C1758" t="str">
        <f>TEXT(Table1[[#This Row],[Order_Date]],"mmmm")</f>
        <v>April</v>
      </c>
      <c r="D1758">
        <f>YEAR(Table1[[#This Row],[Order_Date]])</f>
        <v>2024</v>
      </c>
      <c r="E1758" s="7">
        <v>45390</v>
      </c>
      <c r="F1758" s="2" t="str">
        <f>VLOOKUP(Table1[[#This Row],[Customer_ID]],Customer_Dim!$A$2:$H$501,2,FALSE)</f>
        <v>Sherry Cabrera</v>
      </c>
      <c r="G1758" s="2" t="str">
        <f>_xlfn.XLOOKUP(Table1[[#This Row],[Customer_ID]],Customer_Dim!$A$2:$A$501,Customer_Dim!$E$2:$E$501)</f>
        <v>Shannonview</v>
      </c>
      <c r="H1758" t="s">
        <v>1080</v>
      </c>
      <c r="I1758" t="str">
        <f>VLOOKUP(Table1[[#This Row],[Product_ID]],Product_Dim!$A$2:$G$101,2,FALSE)</f>
        <v>Face Foundation Kit-Beauty</v>
      </c>
      <c r="J1758" t="s">
        <v>1701</v>
      </c>
      <c r="K1758" t="str">
        <f>VLOOKUP(Table1[[#This Row],[Store_ID]],Store_Dim!$A$3:$D$22,2,FALSE)</f>
        <v>Holloway Ltd-North</v>
      </c>
      <c r="L1758" t="s">
        <v>1759</v>
      </c>
      <c r="M1758" t="s">
        <v>3960</v>
      </c>
      <c r="N1758" s="3">
        <v>433.07</v>
      </c>
      <c r="O1758" s="4">
        <v>0.25</v>
      </c>
      <c r="P1758" t="s">
        <v>1777</v>
      </c>
      <c r="Q1758" s="4">
        <v>649.60500000000002</v>
      </c>
    </row>
    <row r="1759" spans="1:17" x14ac:dyDescent="0.3">
      <c r="A1759" t="s">
        <v>3531</v>
      </c>
      <c r="B1759" t="str">
        <f t="shared" si="27"/>
        <v>Q1</v>
      </c>
      <c r="C1759" t="str">
        <f>TEXT(Table1[[#This Row],[Order_Date]],"mmmm")</f>
        <v>March</v>
      </c>
      <c r="D1759">
        <f>YEAR(Table1[[#This Row],[Order_Date]])</f>
        <v>2024</v>
      </c>
      <c r="E1759" s="7">
        <v>45355</v>
      </c>
      <c r="F1759" s="2" t="str">
        <f>VLOOKUP(Table1[[#This Row],[Customer_ID]],Customer_Dim!$A$2:$H$501,2,FALSE)</f>
        <v>Kenneth Lambert</v>
      </c>
      <c r="G1759" s="2" t="str">
        <f>_xlfn.XLOOKUP(Table1[[#This Row],[Customer_ID]],Customer_Dim!$A$2:$A$501,Customer_Dim!$E$2:$E$501)</f>
        <v>North Kathryn</v>
      </c>
      <c r="H1759" t="s">
        <v>59</v>
      </c>
      <c r="I1759" t="str">
        <f>VLOOKUP(Table1[[#This Row],[Product_ID]],Product_Dim!$A$2:$G$101,2,FALSE)</f>
        <v>Women's Hair Dryer Brush-Beauty</v>
      </c>
      <c r="J1759" t="s">
        <v>1655</v>
      </c>
      <c r="K1759" t="str">
        <f>VLOOKUP(Table1[[#This Row],[Store_ID]],Store_Dim!$A$3:$D$22,2,FALSE)</f>
        <v>Mann-Austin-East</v>
      </c>
      <c r="L1759" t="s">
        <v>1763</v>
      </c>
      <c r="M1759" t="s">
        <v>3958</v>
      </c>
      <c r="N1759" s="3">
        <v>626.71</v>
      </c>
      <c r="O1759" s="4">
        <v>7.0000000000000007E-2</v>
      </c>
      <c r="P1759" t="s">
        <v>1777</v>
      </c>
      <c r="Q1759" s="4">
        <v>1748.5209</v>
      </c>
    </row>
    <row r="1760" spans="1:17" x14ac:dyDescent="0.3">
      <c r="A1760" t="s">
        <v>3532</v>
      </c>
      <c r="B1760" t="str">
        <f t="shared" si="27"/>
        <v>Q3</v>
      </c>
      <c r="C1760" t="str">
        <f>TEXT(Table1[[#This Row],[Order_Date]],"mmmm")</f>
        <v>September</v>
      </c>
      <c r="D1760">
        <f>YEAR(Table1[[#This Row],[Order_Date]])</f>
        <v>2025</v>
      </c>
      <c r="E1760" s="7">
        <v>45916</v>
      </c>
      <c r="F1760" s="2" t="str">
        <f>VLOOKUP(Table1[[#This Row],[Customer_ID]],Customer_Dim!$A$2:$H$501,2,FALSE)</f>
        <v>Nathan Campbell</v>
      </c>
      <c r="G1760" s="2" t="str">
        <f>_xlfn.XLOOKUP(Table1[[#This Row],[Customer_ID]],Customer_Dim!$A$2:$A$501,Customer_Dim!$E$2:$E$501)</f>
        <v>Rodrigueztown</v>
      </c>
      <c r="H1760" t="s">
        <v>275</v>
      </c>
      <c r="I1760" t="str">
        <f>VLOOKUP(Table1[[#This Row],[Product_ID]],Product_Dim!$A$2:$G$101,2,FALSE)</f>
        <v>Women's Summer Dress-Clothing</v>
      </c>
      <c r="J1760" t="s">
        <v>1595</v>
      </c>
      <c r="K1760" t="str">
        <f>VLOOKUP(Table1[[#This Row],[Store_ID]],Store_Dim!$A$3:$D$22,2,FALSE)</f>
        <v>Rivera-Warner-East</v>
      </c>
      <c r="L1760" t="s">
        <v>1725</v>
      </c>
      <c r="M1760" t="s">
        <v>3960</v>
      </c>
      <c r="N1760" s="3">
        <v>324.18</v>
      </c>
      <c r="O1760" s="4">
        <v>0.06</v>
      </c>
      <c r="P1760" t="s">
        <v>1777</v>
      </c>
      <c r="Q1760" s="4">
        <v>609.45839999999998</v>
      </c>
    </row>
    <row r="1761" spans="1:17" x14ac:dyDescent="0.3">
      <c r="A1761" t="s">
        <v>3533</v>
      </c>
      <c r="B1761" t="str">
        <f t="shared" si="27"/>
        <v>Q2</v>
      </c>
      <c r="C1761" t="str">
        <f>TEXT(Table1[[#This Row],[Order_Date]],"mmmm")</f>
        <v>June</v>
      </c>
      <c r="D1761">
        <f>YEAR(Table1[[#This Row],[Order_Date]])</f>
        <v>2024</v>
      </c>
      <c r="E1761" s="7">
        <v>45448</v>
      </c>
      <c r="F1761" s="2" t="str">
        <f>VLOOKUP(Table1[[#This Row],[Customer_ID]],Customer_Dim!$A$2:$H$501,2,FALSE)</f>
        <v>Nathan Hernandez</v>
      </c>
      <c r="G1761" s="2" t="str">
        <f>_xlfn.XLOOKUP(Table1[[#This Row],[Customer_ID]],Customer_Dim!$A$2:$A$501,Customer_Dim!$E$2:$E$501)</f>
        <v>New Becky</v>
      </c>
      <c r="H1761" t="s">
        <v>63</v>
      </c>
      <c r="I1761" t="str">
        <f>VLOOKUP(Table1[[#This Row],[Product_ID]],Product_Dim!$A$2:$G$101,2,FALSE)</f>
        <v>Decorative Wall Mirror-Home</v>
      </c>
      <c r="J1761" t="s">
        <v>1551</v>
      </c>
      <c r="K1761" t="str">
        <f>VLOOKUP(Table1[[#This Row],[Store_ID]],Store_Dim!$A$3:$D$22,2,FALSE)</f>
        <v>Holloway Ltd-North</v>
      </c>
      <c r="L1761" t="s">
        <v>1759</v>
      </c>
      <c r="M1761" t="s">
        <v>3959</v>
      </c>
      <c r="N1761" s="3">
        <v>839.74</v>
      </c>
      <c r="O1761" s="4">
        <v>0.13</v>
      </c>
      <c r="P1761" t="s">
        <v>1774</v>
      </c>
      <c r="Q1761" s="4">
        <v>2922.2952</v>
      </c>
    </row>
    <row r="1762" spans="1:17" x14ac:dyDescent="0.3">
      <c r="A1762" t="s">
        <v>3534</v>
      </c>
      <c r="B1762" t="str">
        <f t="shared" si="27"/>
        <v>Q2</v>
      </c>
      <c r="C1762" t="str">
        <f>TEXT(Table1[[#This Row],[Order_Date]],"mmmm")</f>
        <v>April</v>
      </c>
      <c r="D1762">
        <f>YEAR(Table1[[#This Row],[Order_Date]])</f>
        <v>2024</v>
      </c>
      <c r="E1762" s="7">
        <v>45402</v>
      </c>
      <c r="F1762" s="2" t="str">
        <f>VLOOKUP(Table1[[#This Row],[Customer_ID]],Customer_Dim!$A$2:$H$501,2,FALSE)</f>
        <v>Maria Sanchez</v>
      </c>
      <c r="G1762" s="2" t="str">
        <f>_xlfn.XLOOKUP(Table1[[#This Row],[Customer_ID]],Customer_Dim!$A$2:$A$501,Customer_Dim!$E$2:$E$501)</f>
        <v>East Peterbury</v>
      </c>
      <c r="H1762" t="s">
        <v>518</v>
      </c>
      <c r="I1762" t="str">
        <f>VLOOKUP(Table1[[#This Row],[Product_ID]],Product_Dim!$A$2:$G$101,2,FALSE)</f>
        <v>Laptop Cooling Pad-Electronics</v>
      </c>
      <c r="J1762" t="s">
        <v>1647</v>
      </c>
      <c r="K1762" t="str">
        <f>VLOOKUP(Table1[[#This Row],[Store_ID]],Store_Dim!$A$3:$D$22,2,FALSE)</f>
        <v>Shelton PLC-North</v>
      </c>
      <c r="L1762" t="s">
        <v>1755</v>
      </c>
      <c r="M1762" t="s">
        <v>3958</v>
      </c>
      <c r="N1762" s="3">
        <v>252.63</v>
      </c>
      <c r="O1762" s="4">
        <v>0.28000000000000003</v>
      </c>
      <c r="P1762" t="s">
        <v>1772</v>
      </c>
      <c r="Q1762" s="4">
        <v>545.68079999999998</v>
      </c>
    </row>
    <row r="1763" spans="1:17" x14ac:dyDescent="0.3">
      <c r="A1763" t="s">
        <v>3535</v>
      </c>
      <c r="B1763" t="str">
        <f t="shared" si="27"/>
        <v>Q4</v>
      </c>
      <c r="C1763" t="str">
        <f>TEXT(Table1[[#This Row],[Order_Date]],"mmmm")</f>
        <v>October</v>
      </c>
      <c r="D1763">
        <f>YEAR(Table1[[#This Row],[Order_Date]])</f>
        <v>2024</v>
      </c>
      <c r="E1763" s="7">
        <v>45581</v>
      </c>
      <c r="F1763" s="2" t="str">
        <f>VLOOKUP(Table1[[#This Row],[Customer_ID]],Customer_Dim!$A$2:$H$501,2,FALSE)</f>
        <v>Damon Perez</v>
      </c>
      <c r="G1763" s="2" t="str">
        <f>_xlfn.XLOOKUP(Table1[[#This Row],[Customer_ID]],Customer_Dim!$A$2:$A$501,Customer_Dim!$E$2:$E$501)</f>
        <v>Jasonton</v>
      </c>
      <c r="H1763" t="s">
        <v>808</v>
      </c>
      <c r="I1763" t="str">
        <f>VLOOKUP(Table1[[#This Row],[Product_ID]],Product_Dim!$A$2:$G$101,2,FALSE)</f>
        <v>Decorative Lamp Shade-Home</v>
      </c>
      <c r="J1763" t="s">
        <v>1681</v>
      </c>
      <c r="K1763" t="str">
        <f>VLOOKUP(Table1[[#This Row],[Store_ID]],Store_Dim!$A$3:$D$22,2,FALSE)</f>
        <v>Mann-Austin-East</v>
      </c>
      <c r="L1763" t="s">
        <v>1763</v>
      </c>
      <c r="M1763" t="s">
        <v>3960</v>
      </c>
      <c r="N1763" s="3">
        <v>60.53</v>
      </c>
      <c r="O1763" s="4">
        <v>0.18</v>
      </c>
      <c r="P1763" t="s">
        <v>1772</v>
      </c>
      <c r="Q1763" s="4">
        <v>99.269200000000012</v>
      </c>
    </row>
    <row r="1764" spans="1:17" x14ac:dyDescent="0.3">
      <c r="A1764" t="s">
        <v>3536</v>
      </c>
      <c r="B1764" t="str">
        <f t="shared" si="27"/>
        <v>Q4</v>
      </c>
      <c r="C1764" t="str">
        <f>TEXT(Table1[[#This Row],[Order_Date]],"mmmm")</f>
        <v>November</v>
      </c>
      <c r="D1764">
        <f>YEAR(Table1[[#This Row],[Order_Date]])</f>
        <v>2024</v>
      </c>
      <c r="E1764" s="7">
        <v>45610</v>
      </c>
      <c r="F1764" s="2" t="str">
        <f>VLOOKUP(Table1[[#This Row],[Customer_ID]],Customer_Dim!$A$2:$H$501,2,FALSE)</f>
        <v>Katherine Dorsey</v>
      </c>
      <c r="G1764" s="2" t="str">
        <f>_xlfn.XLOOKUP(Table1[[#This Row],[Customer_ID]],Customer_Dim!$A$2:$A$501,Customer_Dim!$E$2:$E$501)</f>
        <v>Christopherland</v>
      </c>
      <c r="H1764" t="s">
        <v>202</v>
      </c>
      <c r="I1764" t="str">
        <f>VLOOKUP(Table1[[#This Row],[Product_ID]],Product_Dim!$A$2:$G$101,2,FALSE)</f>
        <v>Wooden Bookshelf-Home</v>
      </c>
      <c r="J1764" t="s">
        <v>1691</v>
      </c>
      <c r="K1764" t="str">
        <f>VLOOKUP(Table1[[#This Row],[Store_ID]],Store_Dim!$A$3:$D$22,2,FALSE)</f>
        <v>Gardner, Humphrey and Contreras-East</v>
      </c>
      <c r="L1764" t="s">
        <v>1753</v>
      </c>
      <c r="M1764" t="s">
        <v>3959</v>
      </c>
      <c r="N1764" s="3">
        <v>341.95</v>
      </c>
      <c r="O1764" s="4">
        <v>0.25</v>
      </c>
      <c r="P1764" t="s">
        <v>1772</v>
      </c>
      <c r="Q1764" s="4">
        <v>1025.8499999999999</v>
      </c>
    </row>
    <row r="1765" spans="1:17" x14ac:dyDescent="0.3">
      <c r="A1765" t="s">
        <v>3537</v>
      </c>
      <c r="B1765" t="str">
        <f t="shared" si="27"/>
        <v>Q2</v>
      </c>
      <c r="C1765" t="str">
        <f>TEXT(Table1[[#This Row],[Order_Date]],"mmmm")</f>
        <v>May</v>
      </c>
      <c r="D1765">
        <f>YEAR(Table1[[#This Row],[Order_Date]])</f>
        <v>2024</v>
      </c>
      <c r="E1765" s="7">
        <v>45438</v>
      </c>
      <c r="F1765" s="2" t="str">
        <f>VLOOKUP(Table1[[#This Row],[Customer_ID]],Customer_Dim!$A$2:$H$501,2,FALSE)</f>
        <v>Bryan Garcia</v>
      </c>
      <c r="G1765" s="2" t="str">
        <f>_xlfn.XLOOKUP(Table1[[#This Row],[Customer_ID]],Customer_Dim!$A$2:$A$501,Customer_Dim!$E$2:$E$501)</f>
        <v>Garciaborough</v>
      </c>
      <c r="H1765" t="s">
        <v>891</v>
      </c>
      <c r="I1765" t="str">
        <f>VLOOKUP(Table1[[#This Row],[Product_ID]],Product_Dim!$A$2:$G$101,2,FALSE)</f>
        <v>Carbon Fiber Tennis Racket-Sports</v>
      </c>
      <c r="J1765" t="s">
        <v>1567</v>
      </c>
      <c r="K1765" t="str">
        <f>VLOOKUP(Table1[[#This Row],[Store_ID]],Store_Dim!$A$3:$D$22,2,FALSE)</f>
        <v>Frederick-Wright-West</v>
      </c>
      <c r="L1765" t="s">
        <v>1757</v>
      </c>
      <c r="M1765" t="s">
        <v>3959</v>
      </c>
      <c r="N1765" s="3">
        <v>300.12</v>
      </c>
      <c r="O1765" s="4">
        <v>0.05</v>
      </c>
      <c r="P1765" t="s">
        <v>1774</v>
      </c>
      <c r="Q1765" s="4">
        <v>1140.4559999999999</v>
      </c>
    </row>
    <row r="1766" spans="1:17" x14ac:dyDescent="0.3">
      <c r="A1766" t="s">
        <v>3538</v>
      </c>
      <c r="B1766" t="str">
        <f t="shared" si="27"/>
        <v>Q1</v>
      </c>
      <c r="C1766" t="str">
        <f>TEXT(Table1[[#This Row],[Order_Date]],"mmmm")</f>
        <v>February</v>
      </c>
      <c r="D1766">
        <f>YEAR(Table1[[#This Row],[Order_Date]])</f>
        <v>2025</v>
      </c>
      <c r="E1766" s="7">
        <v>45705</v>
      </c>
      <c r="F1766" s="2" t="str">
        <f>VLOOKUP(Table1[[#This Row],[Customer_ID]],Customer_Dim!$A$2:$H$501,2,FALSE)</f>
        <v>Tyler Conrad</v>
      </c>
      <c r="G1766" s="2" t="str">
        <f>_xlfn.XLOOKUP(Table1[[#This Row],[Customer_ID]],Customer_Dim!$A$2:$A$501,Customer_Dim!$E$2:$E$501)</f>
        <v>North Curtischester</v>
      </c>
      <c r="H1766" t="s">
        <v>397</v>
      </c>
      <c r="I1766" t="str">
        <f>VLOOKUP(Table1[[#This Row],[Product_ID]],Product_Dim!$A$2:$G$101,2,FALSE)</f>
        <v>Sports Stopwatch Timer-Sports</v>
      </c>
      <c r="J1766" t="s">
        <v>1579</v>
      </c>
      <c r="K1766" t="str">
        <f>VLOOKUP(Table1[[#This Row],[Store_ID]],Store_Dim!$A$3:$D$22,2,FALSE)</f>
        <v>Holloway Ltd-North</v>
      </c>
      <c r="L1766" t="s">
        <v>1759</v>
      </c>
      <c r="M1766" t="s">
        <v>3960</v>
      </c>
      <c r="N1766" s="3">
        <v>289.14</v>
      </c>
      <c r="O1766" s="4">
        <v>0.12</v>
      </c>
      <c r="P1766" t="s">
        <v>1777</v>
      </c>
      <c r="Q1766" s="4">
        <v>508.88639999999998</v>
      </c>
    </row>
    <row r="1767" spans="1:17" x14ac:dyDescent="0.3">
      <c r="A1767" t="s">
        <v>3539</v>
      </c>
      <c r="B1767" t="str">
        <f t="shared" si="27"/>
        <v>Q1</v>
      </c>
      <c r="C1767" t="str">
        <f>TEXT(Table1[[#This Row],[Order_Date]],"mmmm")</f>
        <v>February</v>
      </c>
      <c r="D1767">
        <f>YEAR(Table1[[#This Row],[Order_Date]])</f>
        <v>2025</v>
      </c>
      <c r="E1767" s="7">
        <v>45695</v>
      </c>
      <c r="F1767" s="2" t="str">
        <f>VLOOKUP(Table1[[#This Row],[Customer_ID]],Customer_Dim!$A$2:$H$501,2,FALSE)</f>
        <v>Jordan Jackson Dds</v>
      </c>
      <c r="G1767" s="2" t="str">
        <f>_xlfn.XLOOKUP(Table1[[#This Row],[Customer_ID]],Customer_Dim!$A$2:$A$501,Customer_Dim!$E$2:$E$501)</f>
        <v>North Johnview</v>
      </c>
      <c r="H1767" t="s">
        <v>174</v>
      </c>
      <c r="I1767" t="str">
        <f>VLOOKUP(Table1[[#This Row],[Product_ID]],Product_Dim!$A$2:$G$101,2,FALSE)</f>
        <v>Women's Scarf Set-Clothing</v>
      </c>
      <c r="J1767" t="s">
        <v>1573</v>
      </c>
      <c r="K1767" t="str">
        <f>VLOOKUP(Table1[[#This Row],[Store_ID]],Store_Dim!$A$3:$D$22,2,FALSE)</f>
        <v>Rivera-Warner-East</v>
      </c>
      <c r="L1767" t="s">
        <v>1725</v>
      </c>
      <c r="M1767" t="s">
        <v>3960</v>
      </c>
      <c r="N1767" s="3">
        <v>596.84</v>
      </c>
      <c r="O1767" s="4">
        <v>0.01</v>
      </c>
      <c r="P1767" t="s">
        <v>1774</v>
      </c>
      <c r="Q1767" s="4">
        <v>1181.7431999999999</v>
      </c>
    </row>
    <row r="1768" spans="1:17" x14ac:dyDescent="0.3">
      <c r="A1768" t="s">
        <v>3540</v>
      </c>
      <c r="B1768" t="str">
        <f t="shared" si="27"/>
        <v>Q4</v>
      </c>
      <c r="C1768" t="str">
        <f>TEXT(Table1[[#This Row],[Order_Date]],"mmmm")</f>
        <v>October</v>
      </c>
      <c r="D1768">
        <f>YEAR(Table1[[#This Row],[Order_Date]])</f>
        <v>2024</v>
      </c>
      <c r="E1768" s="7">
        <v>45571</v>
      </c>
      <c r="F1768" s="2" t="str">
        <f>VLOOKUP(Table1[[#This Row],[Customer_ID]],Customer_Dim!$A$2:$H$501,2,FALSE)</f>
        <v>Sharon Simpson</v>
      </c>
      <c r="G1768" s="2" t="str">
        <f>_xlfn.XLOOKUP(Table1[[#This Row],[Customer_ID]],Customer_Dim!$A$2:$A$501,Customer_Dim!$E$2:$E$501)</f>
        <v>South Michellebury</v>
      </c>
      <c r="H1768" t="s">
        <v>1336</v>
      </c>
      <c r="I1768" t="str">
        <f>VLOOKUP(Table1[[#This Row],[Product_ID]],Product_Dim!$A$2:$G$101,2,FALSE)</f>
        <v>Knee Support Brace-Sports</v>
      </c>
      <c r="J1768" t="s">
        <v>1561</v>
      </c>
      <c r="K1768" t="str">
        <f>VLOOKUP(Table1[[#This Row],[Store_ID]],Store_Dim!$A$3:$D$22,2,FALSE)</f>
        <v>Bean, Jones and Park-West</v>
      </c>
      <c r="L1768" t="s">
        <v>1744</v>
      </c>
      <c r="M1768" t="s">
        <v>3959</v>
      </c>
      <c r="N1768" s="3">
        <v>466.24</v>
      </c>
      <c r="O1768" s="4">
        <v>0.16</v>
      </c>
      <c r="P1768" t="s">
        <v>1772</v>
      </c>
      <c r="Q1768" s="4">
        <v>1566.5663999999999</v>
      </c>
    </row>
    <row r="1769" spans="1:17" x14ac:dyDescent="0.3">
      <c r="A1769" t="s">
        <v>3541</v>
      </c>
      <c r="B1769" t="str">
        <f t="shared" si="27"/>
        <v>Q3</v>
      </c>
      <c r="C1769" t="str">
        <f>TEXT(Table1[[#This Row],[Order_Date]],"mmmm")</f>
        <v>September</v>
      </c>
      <c r="D1769">
        <f>YEAR(Table1[[#This Row],[Order_Date]])</f>
        <v>2024</v>
      </c>
      <c r="E1769" s="7">
        <v>45544</v>
      </c>
      <c r="F1769" s="2" t="str">
        <f>VLOOKUP(Table1[[#This Row],[Customer_ID]],Customer_Dim!$A$2:$H$501,2,FALSE)</f>
        <v>John Mccoy</v>
      </c>
      <c r="G1769" s="2" t="str">
        <f>_xlfn.XLOOKUP(Table1[[#This Row],[Customer_ID]],Customer_Dim!$A$2:$A$501,Customer_Dim!$E$2:$E$501)</f>
        <v>Robinborough</v>
      </c>
      <c r="H1769" t="s">
        <v>800</v>
      </c>
      <c r="I1769" t="str">
        <f>VLOOKUP(Table1[[#This Row],[Product_ID]],Product_Dim!$A$2:$G$101,2,FALSE)</f>
        <v>USB-C Fast Charger-Electronics</v>
      </c>
      <c r="J1769" t="s">
        <v>1549</v>
      </c>
      <c r="K1769" t="str">
        <f>VLOOKUP(Table1[[#This Row],[Store_ID]],Store_Dim!$A$3:$D$22,2,FALSE)</f>
        <v>Frederick-Wright-West</v>
      </c>
      <c r="L1769" t="s">
        <v>1757</v>
      </c>
      <c r="M1769" t="s">
        <v>3960</v>
      </c>
      <c r="N1769" s="3">
        <v>330.59</v>
      </c>
      <c r="O1769" s="4">
        <v>0.14000000000000001</v>
      </c>
      <c r="P1769" t="s">
        <v>1772</v>
      </c>
      <c r="Q1769" s="4">
        <v>568.61479999999995</v>
      </c>
    </row>
    <row r="1770" spans="1:17" x14ac:dyDescent="0.3">
      <c r="A1770" t="s">
        <v>3542</v>
      </c>
      <c r="B1770" t="str">
        <f t="shared" si="27"/>
        <v>Q4</v>
      </c>
      <c r="C1770" t="str">
        <f>TEXT(Table1[[#This Row],[Order_Date]],"mmmm")</f>
        <v>December</v>
      </c>
      <c r="D1770">
        <f>YEAR(Table1[[#This Row],[Order_Date]])</f>
        <v>2024</v>
      </c>
      <c r="E1770" s="7">
        <v>45654</v>
      </c>
      <c r="F1770" s="2" t="str">
        <f>VLOOKUP(Table1[[#This Row],[Customer_ID]],Customer_Dim!$A$2:$H$501,2,FALSE)</f>
        <v>Amanda Powell</v>
      </c>
      <c r="G1770" s="2" t="str">
        <f>_xlfn.XLOOKUP(Table1[[#This Row],[Customer_ID]],Customer_Dim!$A$2:$A$501,Customer_Dim!$E$2:$E$501)</f>
        <v>South William</v>
      </c>
      <c r="H1770" t="s">
        <v>1499</v>
      </c>
      <c r="I1770" t="str">
        <f>VLOOKUP(Table1[[#This Row],[Product_ID]],Product_Dim!$A$2:$G$101,2,FALSE)</f>
        <v>Carbon Fiber Tennis Racket-Sports</v>
      </c>
      <c r="J1770" t="s">
        <v>1567</v>
      </c>
      <c r="K1770" t="str">
        <f>VLOOKUP(Table1[[#This Row],[Store_ID]],Store_Dim!$A$3:$D$22,2,FALSE)</f>
        <v>Benson-Elliott-East</v>
      </c>
      <c r="L1770" t="s">
        <v>1740</v>
      </c>
      <c r="M1770" t="s">
        <v>3960</v>
      </c>
      <c r="N1770" s="3">
        <v>616.42999999999995</v>
      </c>
      <c r="O1770" s="4">
        <v>0.02</v>
      </c>
      <c r="P1770" t="s">
        <v>1777</v>
      </c>
      <c r="Q1770" s="4">
        <v>1208.2028</v>
      </c>
    </row>
    <row r="1771" spans="1:17" x14ac:dyDescent="0.3">
      <c r="A1771" t="s">
        <v>3543</v>
      </c>
      <c r="B1771" t="str">
        <f t="shared" si="27"/>
        <v>Q4</v>
      </c>
      <c r="C1771" t="str">
        <f>TEXT(Table1[[#This Row],[Order_Date]],"mmmm")</f>
        <v>October</v>
      </c>
      <c r="D1771">
        <f>YEAR(Table1[[#This Row],[Order_Date]])</f>
        <v>2024</v>
      </c>
      <c r="E1771" s="7">
        <v>45589</v>
      </c>
      <c r="F1771" s="2" t="str">
        <f>VLOOKUP(Table1[[#This Row],[Customer_ID]],Customer_Dim!$A$2:$H$501,2,FALSE)</f>
        <v>Justin Ingram</v>
      </c>
      <c r="G1771" s="2" t="str">
        <f>_xlfn.XLOOKUP(Table1[[#This Row],[Customer_ID]],Customer_Dim!$A$2:$A$501,Customer_Dim!$E$2:$E$501)</f>
        <v>Lake Lisaland</v>
      </c>
      <c r="H1771" t="s">
        <v>1240</v>
      </c>
      <c r="I1771" t="str">
        <f>VLOOKUP(Table1[[#This Row],[Product_ID]],Product_Dim!$A$2:$G$101,2,FALSE)</f>
        <v>Organic Sunscreen Lotion-Beauty</v>
      </c>
      <c r="J1771" t="s">
        <v>1649</v>
      </c>
      <c r="K1771" t="str">
        <f>VLOOKUP(Table1[[#This Row],[Store_ID]],Store_Dim!$A$3:$D$22,2,FALSE)</f>
        <v>Benson-Elliott-East</v>
      </c>
      <c r="L1771" t="s">
        <v>1740</v>
      </c>
      <c r="M1771" t="s">
        <v>3958</v>
      </c>
      <c r="N1771" s="3">
        <v>195.89</v>
      </c>
      <c r="O1771" s="4">
        <v>0.16</v>
      </c>
      <c r="P1771" t="s">
        <v>1774</v>
      </c>
      <c r="Q1771" s="4">
        <v>493.64280000000002</v>
      </c>
    </row>
    <row r="1772" spans="1:17" x14ac:dyDescent="0.3">
      <c r="A1772" t="s">
        <v>3544</v>
      </c>
      <c r="B1772" t="str">
        <f t="shared" si="27"/>
        <v>Q3</v>
      </c>
      <c r="C1772" t="str">
        <f>TEXT(Table1[[#This Row],[Order_Date]],"mmmm")</f>
        <v>July</v>
      </c>
      <c r="D1772">
        <f>YEAR(Table1[[#This Row],[Order_Date]])</f>
        <v>2024</v>
      </c>
      <c r="E1772" s="7">
        <v>45487</v>
      </c>
      <c r="F1772" s="2" t="str">
        <f>VLOOKUP(Table1[[#This Row],[Customer_ID]],Customer_Dim!$A$2:$H$501,2,FALSE)</f>
        <v>Ryan Moore</v>
      </c>
      <c r="G1772" s="2" t="str">
        <f>_xlfn.XLOOKUP(Table1[[#This Row],[Customer_ID]],Customer_Dim!$A$2:$A$501,Customer_Dim!$E$2:$E$501)</f>
        <v>Cartershire</v>
      </c>
      <c r="H1772" t="s">
        <v>1066</v>
      </c>
      <c r="I1772" t="str">
        <f>VLOOKUP(Table1[[#This Row],[Product_ID]],Product_Dim!$A$2:$G$101,2,FALSE)</f>
        <v>LED Table Lamp-Home</v>
      </c>
      <c r="J1772" t="s">
        <v>1537</v>
      </c>
      <c r="K1772" t="str">
        <f>VLOOKUP(Table1[[#This Row],[Store_ID]],Store_Dim!$A$3:$D$22,2,FALSE)</f>
        <v>Hill, Wagner and Ballard-East</v>
      </c>
      <c r="L1772" t="s">
        <v>1748</v>
      </c>
      <c r="M1772" t="s">
        <v>3959</v>
      </c>
      <c r="N1772" s="3">
        <v>614.76</v>
      </c>
      <c r="O1772" s="4">
        <v>0.16</v>
      </c>
      <c r="P1772" t="s">
        <v>1772</v>
      </c>
      <c r="Q1772" s="4">
        <v>2065.5936000000002</v>
      </c>
    </row>
    <row r="1773" spans="1:17" x14ac:dyDescent="0.3">
      <c r="A1773" t="s">
        <v>3545</v>
      </c>
      <c r="B1773" t="str">
        <f t="shared" si="27"/>
        <v>Q2</v>
      </c>
      <c r="C1773" t="str">
        <f>TEXT(Table1[[#This Row],[Order_Date]],"mmmm")</f>
        <v>May</v>
      </c>
      <c r="D1773">
        <f>YEAR(Table1[[#This Row],[Order_Date]])</f>
        <v>2024</v>
      </c>
      <c r="E1773" s="7">
        <v>45418</v>
      </c>
      <c r="F1773" s="2" t="str">
        <f>VLOOKUP(Table1[[#This Row],[Customer_ID]],Customer_Dim!$A$2:$H$501,2,FALSE)</f>
        <v>David Ross</v>
      </c>
      <c r="G1773" s="2" t="str">
        <f>_xlfn.XLOOKUP(Table1[[#This Row],[Customer_ID]],Customer_Dim!$A$2:$A$501,Customer_Dim!$E$2:$E$501)</f>
        <v>South Angela</v>
      </c>
      <c r="H1773" t="s">
        <v>1243</v>
      </c>
      <c r="I1773" t="str">
        <f>VLOOKUP(Table1[[#This Row],[Product_ID]],Product_Dim!$A$2:$G$101,2,FALSE)</f>
        <v>Decorative Lamp Shade-Home</v>
      </c>
      <c r="J1773" t="s">
        <v>1681</v>
      </c>
      <c r="K1773" t="str">
        <f>VLOOKUP(Table1[[#This Row],[Store_ID]],Store_Dim!$A$3:$D$22,2,FALSE)</f>
        <v>Martinez-Mullins-South</v>
      </c>
      <c r="L1773" t="s">
        <v>1742</v>
      </c>
      <c r="M1773" t="s">
        <v>3957</v>
      </c>
      <c r="N1773" s="3">
        <v>224.49</v>
      </c>
      <c r="O1773" s="4">
        <v>0.11</v>
      </c>
      <c r="P1773" t="s">
        <v>1774</v>
      </c>
      <c r="Q1773" s="4">
        <v>199.7961</v>
      </c>
    </row>
    <row r="1774" spans="1:17" x14ac:dyDescent="0.3">
      <c r="A1774" t="s">
        <v>3546</v>
      </c>
      <c r="B1774" t="str">
        <f t="shared" si="27"/>
        <v>Q1</v>
      </c>
      <c r="C1774" t="str">
        <f>TEXT(Table1[[#This Row],[Order_Date]],"mmmm")</f>
        <v>February</v>
      </c>
      <c r="D1774">
        <f>YEAR(Table1[[#This Row],[Order_Date]])</f>
        <v>2024</v>
      </c>
      <c r="E1774" s="7">
        <v>45338</v>
      </c>
      <c r="F1774" s="2" t="str">
        <f>VLOOKUP(Table1[[#This Row],[Customer_ID]],Customer_Dim!$A$2:$H$501,2,FALSE)</f>
        <v>Steve Hunt</v>
      </c>
      <c r="G1774" s="2" t="str">
        <f>_xlfn.XLOOKUP(Table1[[#This Row],[Customer_ID]],Customer_Dim!$A$2:$A$501,Customer_Dim!$E$2:$E$501)</f>
        <v>North Richard</v>
      </c>
      <c r="H1774" t="s">
        <v>1103</v>
      </c>
      <c r="I1774" t="str">
        <f>VLOOKUP(Table1[[#This Row],[Product_ID]],Product_Dim!$A$2:$G$101,2,FALSE)</f>
        <v>Ceramic Plant Pot-Home</v>
      </c>
      <c r="J1774" t="s">
        <v>1633</v>
      </c>
      <c r="K1774" t="str">
        <f>VLOOKUP(Table1[[#This Row],[Store_ID]],Store_Dim!$A$3:$D$22,2,FALSE)</f>
        <v>Thomas, Bridges and Harris-North</v>
      </c>
      <c r="L1774" t="s">
        <v>1751</v>
      </c>
      <c r="M1774" t="s">
        <v>3957</v>
      </c>
      <c r="N1774" s="3">
        <v>967.76</v>
      </c>
      <c r="O1774" s="4">
        <v>0.09</v>
      </c>
      <c r="P1774" t="s">
        <v>1772</v>
      </c>
      <c r="Q1774" s="4">
        <v>880.66160000000002</v>
      </c>
    </row>
    <row r="1775" spans="1:17" x14ac:dyDescent="0.3">
      <c r="A1775" t="s">
        <v>3547</v>
      </c>
      <c r="B1775" t="str">
        <f t="shared" si="27"/>
        <v>Q3</v>
      </c>
      <c r="C1775" t="str">
        <f>TEXT(Table1[[#This Row],[Order_Date]],"mmmm")</f>
        <v>August</v>
      </c>
      <c r="D1775">
        <f>YEAR(Table1[[#This Row],[Order_Date]])</f>
        <v>2024</v>
      </c>
      <c r="E1775" s="7">
        <v>45507</v>
      </c>
      <c r="F1775" s="2" t="str">
        <f>VLOOKUP(Table1[[#This Row],[Customer_ID]],Customer_Dim!$A$2:$H$501,2,FALSE)</f>
        <v>Amber Mcclain</v>
      </c>
      <c r="G1775" s="2" t="str">
        <f>_xlfn.XLOOKUP(Table1[[#This Row],[Customer_ID]],Customer_Dim!$A$2:$A$501,Customer_Dim!$E$2:$E$501)</f>
        <v>Brendaburgh</v>
      </c>
      <c r="H1775" t="s">
        <v>244</v>
      </c>
      <c r="I1775" t="str">
        <f>VLOOKUP(Table1[[#This Row],[Product_ID]],Product_Dim!$A$2:$G$101,2,FALSE)</f>
        <v>Yoga Exercise Mat-Sports</v>
      </c>
      <c r="J1775" t="s">
        <v>1605</v>
      </c>
      <c r="K1775" t="str">
        <f>VLOOKUP(Table1[[#This Row],[Store_ID]],Store_Dim!$A$3:$D$22,2,FALSE)</f>
        <v>Mann-Austin-East</v>
      </c>
      <c r="L1775" t="s">
        <v>1763</v>
      </c>
      <c r="M1775" t="s">
        <v>3960</v>
      </c>
      <c r="N1775" s="3">
        <v>56.52</v>
      </c>
      <c r="O1775" s="4">
        <v>0.17</v>
      </c>
      <c r="P1775" t="s">
        <v>1774</v>
      </c>
      <c r="Q1775" s="4">
        <v>93.8232</v>
      </c>
    </row>
    <row r="1776" spans="1:17" x14ac:dyDescent="0.3">
      <c r="A1776" t="s">
        <v>3548</v>
      </c>
      <c r="B1776" t="str">
        <f t="shared" si="27"/>
        <v>Q4</v>
      </c>
      <c r="C1776" t="str">
        <f>TEXT(Table1[[#This Row],[Order_Date]],"mmmm")</f>
        <v>December</v>
      </c>
      <c r="D1776">
        <f>YEAR(Table1[[#This Row],[Order_Date]])</f>
        <v>2023</v>
      </c>
      <c r="E1776" s="7">
        <v>45275</v>
      </c>
      <c r="F1776" s="2" t="str">
        <f>VLOOKUP(Table1[[#This Row],[Customer_ID]],Customer_Dim!$A$2:$H$501,2,FALSE)</f>
        <v>Scott Harris</v>
      </c>
      <c r="G1776" s="2" t="str">
        <f>_xlfn.XLOOKUP(Table1[[#This Row],[Customer_ID]],Customer_Dim!$A$2:$A$501,Customer_Dim!$E$2:$E$501)</f>
        <v>North Nataliemouth</v>
      </c>
      <c r="H1776" t="s">
        <v>1490</v>
      </c>
      <c r="I1776" t="str">
        <f>VLOOKUP(Table1[[#This Row],[Product_ID]],Product_Dim!$A$2:$G$101,2,FALSE)</f>
        <v>Smart LED Light Strip-Electronics</v>
      </c>
      <c r="J1776" t="s">
        <v>1657</v>
      </c>
      <c r="K1776" t="str">
        <f>VLOOKUP(Table1[[#This Row],[Store_ID]],Store_Dim!$A$3:$D$22,2,FALSE)</f>
        <v>Martinez, Adkins and Johnson-North</v>
      </c>
      <c r="L1776" t="s">
        <v>1728</v>
      </c>
      <c r="M1776" t="s">
        <v>3959</v>
      </c>
      <c r="N1776" s="3">
        <v>921.84</v>
      </c>
      <c r="O1776" s="4">
        <v>0.04</v>
      </c>
      <c r="P1776" t="s">
        <v>1772</v>
      </c>
      <c r="Q1776" s="4">
        <v>3539.8656000000001</v>
      </c>
    </row>
    <row r="1777" spans="1:17" x14ac:dyDescent="0.3">
      <c r="A1777" t="s">
        <v>3549</v>
      </c>
      <c r="B1777" t="str">
        <f t="shared" si="27"/>
        <v>Q1</v>
      </c>
      <c r="C1777" t="str">
        <f>TEXT(Table1[[#This Row],[Order_Date]],"mmmm")</f>
        <v>January</v>
      </c>
      <c r="D1777">
        <f>YEAR(Table1[[#This Row],[Order_Date]])</f>
        <v>2024</v>
      </c>
      <c r="E1777" s="7">
        <v>45319</v>
      </c>
      <c r="F1777" s="2" t="str">
        <f>VLOOKUP(Table1[[#This Row],[Customer_ID]],Customer_Dim!$A$2:$H$501,2,FALSE)</f>
        <v>Mario Harvey Jr.</v>
      </c>
      <c r="G1777" s="2" t="str">
        <f>_xlfn.XLOOKUP(Table1[[#This Row],[Customer_ID]],Customer_Dim!$A$2:$A$501,Customer_Dim!$E$2:$E$501)</f>
        <v>Jessicaport</v>
      </c>
      <c r="H1777" t="s">
        <v>1021</v>
      </c>
      <c r="I1777" t="str">
        <f>VLOOKUP(Table1[[#This Row],[Product_ID]],Product_Dim!$A$2:$G$101,2,FALSE)</f>
        <v>Kitchen Cutting Board-Home</v>
      </c>
      <c r="J1777" t="s">
        <v>1695</v>
      </c>
      <c r="K1777" t="str">
        <f>VLOOKUP(Table1[[#This Row],[Store_ID]],Store_Dim!$A$3:$D$22,2,FALSE)</f>
        <v>Frederick-Wright-West</v>
      </c>
      <c r="L1777" t="s">
        <v>1757</v>
      </c>
      <c r="M1777" t="s">
        <v>3958</v>
      </c>
      <c r="N1777" s="3">
        <v>738.47</v>
      </c>
      <c r="O1777" s="4">
        <v>0.28000000000000003</v>
      </c>
      <c r="P1777" t="s">
        <v>1772</v>
      </c>
      <c r="Q1777" s="4">
        <v>1595.0952</v>
      </c>
    </row>
    <row r="1778" spans="1:17" x14ac:dyDescent="0.3">
      <c r="A1778" t="s">
        <v>3550</v>
      </c>
      <c r="B1778" t="str">
        <f t="shared" si="27"/>
        <v>Q4</v>
      </c>
      <c r="C1778" t="str">
        <f>TEXT(Table1[[#This Row],[Order_Date]],"mmmm")</f>
        <v>November</v>
      </c>
      <c r="D1778">
        <f>YEAR(Table1[[#This Row],[Order_Date]])</f>
        <v>2024</v>
      </c>
      <c r="E1778" s="7">
        <v>45620</v>
      </c>
      <c r="F1778" s="2" t="str">
        <f>VLOOKUP(Table1[[#This Row],[Customer_ID]],Customer_Dim!$A$2:$H$501,2,FALSE)</f>
        <v>Mario Harvey Jr.</v>
      </c>
      <c r="G1778" s="2" t="str">
        <f>_xlfn.XLOOKUP(Table1[[#This Row],[Customer_ID]],Customer_Dim!$A$2:$A$501,Customer_Dim!$E$2:$E$501)</f>
        <v>Jessicaport</v>
      </c>
      <c r="H1778" t="s">
        <v>1021</v>
      </c>
      <c r="I1778" t="str">
        <f>VLOOKUP(Table1[[#This Row],[Product_ID]],Product_Dim!$A$2:$G$101,2,FALSE)</f>
        <v>Men's Leather Belt-Clothing</v>
      </c>
      <c r="J1778" t="s">
        <v>1533</v>
      </c>
      <c r="K1778" t="str">
        <f>VLOOKUP(Table1[[#This Row],[Store_ID]],Store_Dim!$A$3:$D$22,2,FALSE)</f>
        <v>Rivera-Warner-East</v>
      </c>
      <c r="L1778" t="s">
        <v>1725</v>
      </c>
      <c r="M1778" t="s">
        <v>3959</v>
      </c>
      <c r="N1778" s="3">
        <v>477.83</v>
      </c>
      <c r="O1778" s="4">
        <v>0.05</v>
      </c>
      <c r="P1778" t="s">
        <v>1777</v>
      </c>
      <c r="Q1778" s="4">
        <v>1815.7539999999999</v>
      </c>
    </row>
    <row r="1779" spans="1:17" x14ac:dyDescent="0.3">
      <c r="A1779" t="s">
        <v>3551</v>
      </c>
      <c r="B1779" t="str">
        <f t="shared" si="27"/>
        <v>Q2</v>
      </c>
      <c r="C1779" t="str">
        <f>TEXT(Table1[[#This Row],[Order_Date]],"mmmm")</f>
        <v>June</v>
      </c>
      <c r="D1779">
        <f>YEAR(Table1[[#This Row],[Order_Date]])</f>
        <v>2025</v>
      </c>
      <c r="E1779" s="7">
        <v>45831</v>
      </c>
      <c r="F1779" s="2" t="str">
        <f>VLOOKUP(Table1[[#This Row],[Customer_ID]],Customer_Dim!$A$2:$H$501,2,FALSE)</f>
        <v>Daniel Contreras</v>
      </c>
      <c r="G1779" s="2" t="str">
        <f>_xlfn.XLOOKUP(Table1[[#This Row],[Customer_ID]],Customer_Dim!$A$2:$A$501,Customer_Dim!$E$2:$E$501)</f>
        <v>Robertview</v>
      </c>
      <c r="H1779" t="s">
        <v>554</v>
      </c>
      <c r="I1779" t="str">
        <f>VLOOKUP(Table1[[#This Row],[Product_ID]],Product_Dim!$A$2:$G$101,2,FALSE)</f>
        <v>Smart Home WiFi Camera-Electronics</v>
      </c>
      <c r="J1779" t="s">
        <v>1607</v>
      </c>
      <c r="K1779" t="str">
        <f>VLOOKUP(Table1[[#This Row],[Store_ID]],Store_Dim!$A$3:$D$22,2,FALSE)</f>
        <v>Thomas, Bridges and Harris-North</v>
      </c>
      <c r="L1779" t="s">
        <v>1751</v>
      </c>
      <c r="M1779" t="s">
        <v>3958</v>
      </c>
      <c r="N1779" s="3">
        <v>605.83000000000004</v>
      </c>
      <c r="O1779" s="4">
        <v>0.28000000000000003</v>
      </c>
      <c r="P1779" t="s">
        <v>1777</v>
      </c>
      <c r="Q1779" s="4">
        <v>1308.5927999999999</v>
      </c>
    </row>
    <row r="1780" spans="1:17" x14ac:dyDescent="0.3">
      <c r="A1780" t="s">
        <v>3552</v>
      </c>
      <c r="B1780" t="str">
        <f t="shared" si="27"/>
        <v>Q1</v>
      </c>
      <c r="C1780" t="str">
        <f>TEXT(Table1[[#This Row],[Order_Date]],"mmmm")</f>
        <v>March</v>
      </c>
      <c r="D1780">
        <f>YEAR(Table1[[#This Row],[Order_Date]])</f>
        <v>2024</v>
      </c>
      <c r="E1780" s="7">
        <v>45373</v>
      </c>
      <c r="F1780" s="2" t="str">
        <f>VLOOKUP(Table1[[#This Row],[Customer_ID]],Customer_Dim!$A$2:$H$501,2,FALSE)</f>
        <v>Amber Mcclain</v>
      </c>
      <c r="G1780" s="2" t="str">
        <f>_xlfn.XLOOKUP(Table1[[#This Row],[Customer_ID]],Customer_Dim!$A$2:$A$501,Customer_Dim!$E$2:$E$501)</f>
        <v>Brendaburgh</v>
      </c>
      <c r="H1780" t="s">
        <v>244</v>
      </c>
      <c r="I1780" t="str">
        <f>VLOOKUP(Table1[[#This Row],[Product_ID]],Product_Dim!$A$2:$G$101,2,FALSE)</f>
        <v>USB External Hard Drive-Electronics</v>
      </c>
      <c r="J1780" t="s">
        <v>1609</v>
      </c>
      <c r="K1780" t="str">
        <f>VLOOKUP(Table1[[#This Row],[Store_ID]],Store_Dim!$A$3:$D$22,2,FALSE)</f>
        <v>Johnson-Wright-North</v>
      </c>
      <c r="L1780" t="s">
        <v>1733</v>
      </c>
      <c r="M1780" t="s">
        <v>3960</v>
      </c>
      <c r="N1780" s="3">
        <v>521.44000000000005</v>
      </c>
      <c r="O1780" s="4">
        <v>0.25</v>
      </c>
      <c r="P1780" t="s">
        <v>1777</v>
      </c>
      <c r="Q1780" s="4">
        <v>782.16000000000008</v>
      </c>
    </row>
    <row r="1781" spans="1:17" x14ac:dyDescent="0.3">
      <c r="A1781" t="s">
        <v>3553</v>
      </c>
      <c r="B1781" t="str">
        <f t="shared" si="27"/>
        <v>Q3</v>
      </c>
      <c r="C1781" t="str">
        <f>TEXT(Table1[[#This Row],[Order_Date]],"mmmm")</f>
        <v>July</v>
      </c>
      <c r="D1781">
        <f>YEAR(Table1[[#This Row],[Order_Date]])</f>
        <v>2025</v>
      </c>
      <c r="E1781" s="7">
        <v>45863</v>
      </c>
      <c r="F1781" s="2" t="str">
        <f>VLOOKUP(Table1[[#This Row],[Customer_ID]],Customer_Dim!$A$2:$H$501,2,FALSE)</f>
        <v>James Orozco</v>
      </c>
      <c r="G1781" s="2" t="str">
        <f>_xlfn.XLOOKUP(Table1[[#This Row],[Customer_ID]],Customer_Dim!$A$2:$A$501,Customer_Dim!$E$2:$E$501)</f>
        <v>Simpsonfort</v>
      </c>
      <c r="H1781" t="s">
        <v>1153</v>
      </c>
      <c r="I1781" t="str">
        <f>VLOOKUP(Table1[[#This Row],[Product_ID]],Product_Dim!$A$2:$G$101,2,FALSE)</f>
        <v>Ceramic Kitchen Bowl Set-Home</v>
      </c>
      <c r="J1781" t="s">
        <v>1543</v>
      </c>
      <c r="K1781" t="str">
        <f>VLOOKUP(Table1[[#This Row],[Store_ID]],Store_Dim!$A$3:$D$22,2,FALSE)</f>
        <v>Martinez-Mullins-South</v>
      </c>
      <c r="L1781" t="s">
        <v>1742</v>
      </c>
      <c r="M1781" t="s">
        <v>3959</v>
      </c>
      <c r="N1781" s="3">
        <v>499.02</v>
      </c>
      <c r="O1781" s="4">
        <v>0.06</v>
      </c>
      <c r="P1781" t="s">
        <v>1772</v>
      </c>
      <c r="Q1781" s="4">
        <v>1876.3152</v>
      </c>
    </row>
    <row r="1782" spans="1:17" x14ac:dyDescent="0.3">
      <c r="A1782" t="s">
        <v>3554</v>
      </c>
      <c r="B1782" t="str">
        <f t="shared" si="27"/>
        <v>Q2</v>
      </c>
      <c r="C1782" t="str">
        <f>TEXT(Table1[[#This Row],[Order_Date]],"mmmm")</f>
        <v>April</v>
      </c>
      <c r="D1782">
        <f>YEAR(Table1[[#This Row],[Order_Date]])</f>
        <v>2025</v>
      </c>
      <c r="E1782" s="7">
        <v>45758</v>
      </c>
      <c r="F1782" s="2" t="str">
        <f>VLOOKUP(Table1[[#This Row],[Customer_ID]],Customer_Dim!$A$2:$H$501,2,FALSE)</f>
        <v>Joseph Faulkner</v>
      </c>
      <c r="G1782" s="2" t="str">
        <f>_xlfn.XLOOKUP(Table1[[#This Row],[Customer_ID]],Customer_Dim!$A$2:$A$501,Customer_Dim!$E$2:$E$501)</f>
        <v>New Leahfurt</v>
      </c>
      <c r="H1782" t="s">
        <v>509</v>
      </c>
      <c r="I1782" t="str">
        <f>VLOOKUP(Table1[[#This Row],[Product_ID]],Product_Dim!$A$2:$G$101,2,FALSE)</f>
        <v>Women's Yoga Pants-Clothing</v>
      </c>
      <c r="J1782" t="s">
        <v>1531</v>
      </c>
      <c r="K1782" t="str">
        <f>VLOOKUP(Table1[[#This Row],[Store_ID]],Store_Dim!$A$3:$D$22,2,FALSE)</f>
        <v>Guerrero-Schmitt-East</v>
      </c>
      <c r="L1782" t="s">
        <v>1761</v>
      </c>
      <c r="M1782" t="s">
        <v>3959</v>
      </c>
      <c r="N1782" s="3">
        <v>299.45999999999998</v>
      </c>
      <c r="O1782" s="4">
        <v>0.18</v>
      </c>
      <c r="P1782" t="s">
        <v>1777</v>
      </c>
      <c r="Q1782" s="4">
        <v>982.22879999999998</v>
      </c>
    </row>
    <row r="1783" spans="1:17" x14ac:dyDescent="0.3">
      <c r="A1783" t="s">
        <v>3555</v>
      </c>
      <c r="B1783" t="str">
        <f t="shared" si="27"/>
        <v>Q4</v>
      </c>
      <c r="C1783" t="str">
        <f>TEXT(Table1[[#This Row],[Order_Date]],"mmmm")</f>
        <v>December</v>
      </c>
      <c r="D1783">
        <f>YEAR(Table1[[#This Row],[Order_Date]])</f>
        <v>2023</v>
      </c>
      <c r="E1783" s="7">
        <v>45285</v>
      </c>
      <c r="F1783" s="2" t="str">
        <f>VLOOKUP(Table1[[#This Row],[Customer_ID]],Customer_Dim!$A$2:$H$501,2,FALSE)</f>
        <v>Christina Robertson</v>
      </c>
      <c r="G1783" s="2" t="str">
        <f>_xlfn.XLOOKUP(Table1[[#This Row],[Customer_ID]],Customer_Dim!$A$2:$A$501,Customer_Dim!$E$2:$E$501)</f>
        <v>Hubbardborough</v>
      </c>
      <c r="H1783" t="s">
        <v>1395</v>
      </c>
      <c r="I1783" t="str">
        <f>VLOOKUP(Table1[[#This Row],[Product_ID]],Product_Dim!$A$2:$G$101,2,FALSE)</f>
        <v>Portable Power Bank-Electronics</v>
      </c>
      <c r="J1783" t="s">
        <v>1601</v>
      </c>
      <c r="K1783" t="str">
        <f>VLOOKUP(Table1[[#This Row],[Store_ID]],Store_Dim!$A$3:$D$22,2,FALSE)</f>
        <v>Rivera-Warner-East</v>
      </c>
      <c r="L1783" t="s">
        <v>1725</v>
      </c>
      <c r="M1783" t="s">
        <v>3957</v>
      </c>
      <c r="N1783" s="3">
        <v>609.29</v>
      </c>
      <c r="O1783" s="4">
        <v>0.15</v>
      </c>
      <c r="P1783" t="s">
        <v>1772</v>
      </c>
      <c r="Q1783" s="4">
        <v>517.89649999999995</v>
      </c>
    </row>
    <row r="1784" spans="1:17" x14ac:dyDescent="0.3">
      <c r="A1784" t="s">
        <v>3556</v>
      </c>
      <c r="B1784" t="str">
        <f t="shared" si="27"/>
        <v>Q4</v>
      </c>
      <c r="C1784" t="str">
        <f>TEXT(Table1[[#This Row],[Order_Date]],"mmmm")</f>
        <v>December</v>
      </c>
      <c r="D1784">
        <f>YEAR(Table1[[#This Row],[Order_Date]])</f>
        <v>2024</v>
      </c>
      <c r="E1784" s="7">
        <v>45656</v>
      </c>
      <c r="F1784" s="2" t="str">
        <f>VLOOKUP(Table1[[#This Row],[Customer_ID]],Customer_Dim!$A$2:$H$501,2,FALSE)</f>
        <v>Colleen Maynard</v>
      </c>
      <c r="G1784" s="2" t="str">
        <f>_xlfn.XLOOKUP(Table1[[#This Row],[Customer_ID]],Customer_Dim!$A$2:$A$501,Customer_Dim!$E$2:$E$501)</f>
        <v>Singletonmouth</v>
      </c>
      <c r="H1784" t="s">
        <v>355</v>
      </c>
      <c r="I1784" t="str">
        <f>VLOOKUP(Table1[[#This Row],[Product_ID]],Product_Dim!$A$2:$G$101,2,FALSE)</f>
        <v>Women's Casual Hoodie-Clothing</v>
      </c>
      <c r="J1784" t="s">
        <v>1527</v>
      </c>
      <c r="K1784" t="str">
        <f>VLOOKUP(Table1[[#This Row],[Store_ID]],Store_Dim!$A$3:$D$22,2,FALSE)</f>
        <v>Bean, Jones and Park-West</v>
      </c>
      <c r="L1784" t="s">
        <v>1744</v>
      </c>
      <c r="M1784" t="s">
        <v>3957</v>
      </c>
      <c r="N1784" s="3">
        <v>213.74</v>
      </c>
      <c r="O1784" s="4">
        <v>7.0000000000000007E-2</v>
      </c>
      <c r="P1784" t="s">
        <v>1777</v>
      </c>
      <c r="Q1784" s="4">
        <v>198.7782</v>
      </c>
    </row>
    <row r="1785" spans="1:17" x14ac:dyDescent="0.3">
      <c r="A1785" t="s">
        <v>3557</v>
      </c>
      <c r="B1785" t="str">
        <f t="shared" si="27"/>
        <v>Q1</v>
      </c>
      <c r="C1785" t="str">
        <f>TEXT(Table1[[#This Row],[Order_Date]],"mmmm")</f>
        <v>March</v>
      </c>
      <c r="D1785">
        <f>YEAR(Table1[[#This Row],[Order_Date]])</f>
        <v>2025</v>
      </c>
      <c r="E1785" s="7">
        <v>45718</v>
      </c>
      <c r="F1785" s="2" t="str">
        <f>VLOOKUP(Table1[[#This Row],[Customer_ID]],Customer_Dim!$A$2:$H$501,2,FALSE)</f>
        <v>Joseph Faulkner</v>
      </c>
      <c r="G1785" s="2" t="str">
        <f>_xlfn.XLOOKUP(Table1[[#This Row],[Customer_ID]],Customer_Dim!$A$2:$A$501,Customer_Dim!$E$2:$E$501)</f>
        <v>New Leahfurt</v>
      </c>
      <c r="H1785" t="s">
        <v>509</v>
      </c>
      <c r="I1785" t="str">
        <f>VLOOKUP(Table1[[#This Row],[Product_ID]],Product_Dim!$A$2:$G$101,2,FALSE)</f>
        <v>Ceramic Plant Pot-Home</v>
      </c>
      <c r="J1785" t="s">
        <v>1633</v>
      </c>
      <c r="K1785" t="str">
        <f>VLOOKUP(Table1[[#This Row],[Store_ID]],Store_Dim!$A$3:$D$22,2,FALSE)</f>
        <v>Frederick-Wright-West</v>
      </c>
      <c r="L1785" t="s">
        <v>1757</v>
      </c>
      <c r="M1785" t="s">
        <v>3959</v>
      </c>
      <c r="N1785" s="3">
        <v>613.16999999999996</v>
      </c>
      <c r="O1785" s="4">
        <v>0.26</v>
      </c>
      <c r="P1785" t="s">
        <v>1772</v>
      </c>
      <c r="Q1785" s="4">
        <v>1814.9831999999999</v>
      </c>
    </row>
    <row r="1786" spans="1:17" x14ac:dyDescent="0.3">
      <c r="A1786" t="s">
        <v>3558</v>
      </c>
      <c r="B1786" t="str">
        <f t="shared" si="27"/>
        <v>Q1</v>
      </c>
      <c r="C1786" t="str">
        <f>TEXT(Table1[[#This Row],[Order_Date]],"mmmm")</f>
        <v>January</v>
      </c>
      <c r="D1786">
        <f>YEAR(Table1[[#This Row],[Order_Date]])</f>
        <v>2024</v>
      </c>
      <c r="E1786" s="7">
        <v>45293</v>
      </c>
      <c r="F1786" s="2" t="str">
        <f>VLOOKUP(Table1[[#This Row],[Customer_ID]],Customer_Dim!$A$2:$H$501,2,FALSE)</f>
        <v>Manuel Castillo</v>
      </c>
      <c r="G1786" s="2" t="str">
        <f>_xlfn.XLOOKUP(Table1[[#This Row],[Customer_ID]],Customer_Dim!$A$2:$A$501,Customer_Dim!$E$2:$E$501)</f>
        <v>Nealview</v>
      </c>
      <c r="H1786" t="s">
        <v>1106</v>
      </c>
      <c r="I1786" t="str">
        <f>VLOOKUP(Table1[[#This Row],[Product_ID]],Product_Dim!$A$2:$G$101,2,FALSE)</f>
        <v>Men's Hair Styling Gel-Beauty</v>
      </c>
      <c r="J1786" t="s">
        <v>1641</v>
      </c>
      <c r="K1786" t="str">
        <f>VLOOKUP(Table1[[#This Row],[Store_ID]],Store_Dim!$A$3:$D$22,2,FALSE)</f>
        <v>Aguirre-Keller-South</v>
      </c>
      <c r="L1786" t="s">
        <v>1750</v>
      </c>
      <c r="M1786" t="s">
        <v>3960</v>
      </c>
      <c r="N1786" s="3">
        <v>687.36</v>
      </c>
      <c r="O1786" s="4">
        <v>7.0000000000000007E-2</v>
      </c>
      <c r="P1786" t="s">
        <v>1777</v>
      </c>
      <c r="Q1786" s="4">
        <v>1278.4896000000001</v>
      </c>
    </row>
    <row r="1787" spans="1:17" x14ac:dyDescent="0.3">
      <c r="A1787" t="s">
        <v>3559</v>
      </c>
      <c r="B1787" t="str">
        <f t="shared" si="27"/>
        <v>Q3</v>
      </c>
      <c r="C1787" t="str">
        <f>TEXT(Table1[[#This Row],[Order_Date]],"mmmm")</f>
        <v>September</v>
      </c>
      <c r="D1787">
        <f>YEAR(Table1[[#This Row],[Order_Date]])</f>
        <v>2025</v>
      </c>
      <c r="E1787" s="7">
        <v>45915</v>
      </c>
      <c r="F1787" s="2" t="str">
        <f>VLOOKUP(Table1[[#This Row],[Customer_ID]],Customer_Dim!$A$2:$H$501,2,FALSE)</f>
        <v>Robert King</v>
      </c>
      <c r="G1787" s="2" t="str">
        <f>_xlfn.XLOOKUP(Table1[[#This Row],[Customer_ID]],Customer_Dim!$A$2:$A$501,Customer_Dim!$E$2:$E$501)</f>
        <v>Cindyton</v>
      </c>
      <c r="H1787" t="s">
        <v>1015</v>
      </c>
      <c r="I1787" t="str">
        <f>VLOOKUP(Table1[[#This Row],[Product_ID]],Product_Dim!$A$2:$G$101,2,FALSE)</f>
        <v>Smart LED Light Strip-Electronics</v>
      </c>
      <c r="J1787" t="s">
        <v>1657</v>
      </c>
      <c r="K1787" t="str">
        <f>VLOOKUP(Table1[[#This Row],[Store_ID]],Store_Dim!$A$3:$D$22,2,FALSE)</f>
        <v>Gardner, Humphrey and Contreras-East</v>
      </c>
      <c r="L1787" t="s">
        <v>1753</v>
      </c>
      <c r="M1787" t="s">
        <v>3958</v>
      </c>
      <c r="N1787" s="3">
        <v>115.39</v>
      </c>
      <c r="O1787" s="4">
        <v>0.02</v>
      </c>
      <c r="P1787" t="s">
        <v>1774</v>
      </c>
      <c r="Q1787" s="4">
        <v>339.2466</v>
      </c>
    </row>
    <row r="1788" spans="1:17" x14ac:dyDescent="0.3">
      <c r="A1788" t="s">
        <v>3560</v>
      </c>
      <c r="B1788" t="str">
        <f t="shared" si="27"/>
        <v>Q1</v>
      </c>
      <c r="C1788" t="str">
        <f>TEXT(Table1[[#This Row],[Order_Date]],"mmmm")</f>
        <v>March</v>
      </c>
      <c r="D1788">
        <f>YEAR(Table1[[#This Row],[Order_Date]])</f>
        <v>2024</v>
      </c>
      <c r="E1788" s="7">
        <v>45359</v>
      </c>
      <c r="F1788" s="2" t="str">
        <f>VLOOKUP(Table1[[#This Row],[Customer_ID]],Customer_Dim!$A$2:$H$501,2,FALSE)</f>
        <v>Nicholas Bradshaw</v>
      </c>
      <c r="G1788" s="2" t="str">
        <f>_xlfn.XLOOKUP(Table1[[#This Row],[Customer_ID]],Customer_Dim!$A$2:$A$501,Customer_Dim!$E$2:$E$501)</f>
        <v>Murphyfurt</v>
      </c>
      <c r="H1788" t="s">
        <v>586</v>
      </c>
      <c r="I1788" t="str">
        <f>VLOOKUP(Table1[[#This Row],[Product_ID]],Product_Dim!$A$2:$G$101,2,FALSE)</f>
        <v>Foldable Camping Chair-Sports</v>
      </c>
      <c r="J1788" t="s">
        <v>1571</v>
      </c>
      <c r="K1788" t="str">
        <f>VLOOKUP(Table1[[#This Row],[Store_ID]],Store_Dim!$A$3:$D$22,2,FALSE)</f>
        <v>Thomas, Bridges and Harris-North</v>
      </c>
      <c r="L1788" t="s">
        <v>1751</v>
      </c>
      <c r="M1788" t="s">
        <v>3960</v>
      </c>
      <c r="N1788" s="3">
        <v>722.06</v>
      </c>
      <c r="O1788" s="4">
        <v>7.0000000000000007E-2</v>
      </c>
      <c r="P1788" t="s">
        <v>1772</v>
      </c>
      <c r="Q1788" s="4">
        <v>1343.0316</v>
      </c>
    </row>
    <row r="1789" spans="1:17" x14ac:dyDescent="0.3">
      <c r="A1789" t="s">
        <v>3561</v>
      </c>
      <c r="B1789" t="str">
        <f t="shared" si="27"/>
        <v>Q4</v>
      </c>
      <c r="C1789" t="str">
        <f>TEXT(Table1[[#This Row],[Order_Date]],"mmmm")</f>
        <v>December</v>
      </c>
      <c r="D1789">
        <f>YEAR(Table1[[#This Row],[Order_Date]])</f>
        <v>2024</v>
      </c>
      <c r="E1789" s="7">
        <v>45652</v>
      </c>
      <c r="F1789" s="2" t="str">
        <f>VLOOKUP(Table1[[#This Row],[Customer_ID]],Customer_Dim!$A$2:$H$501,2,FALSE)</f>
        <v>Bryce Hawkins</v>
      </c>
      <c r="G1789" s="2" t="str">
        <f>_xlfn.XLOOKUP(Table1[[#This Row],[Customer_ID]],Customer_Dim!$A$2:$A$501,Customer_Dim!$E$2:$E$501)</f>
        <v>Lake Monique</v>
      </c>
      <c r="H1789" t="s">
        <v>1303</v>
      </c>
      <c r="I1789" t="str">
        <f>VLOOKUP(Table1[[#This Row],[Product_ID]],Product_Dim!$A$2:$G$101,2,FALSE)</f>
        <v>LED Table Lamp-Home</v>
      </c>
      <c r="J1789" t="s">
        <v>1537</v>
      </c>
      <c r="K1789" t="str">
        <f>VLOOKUP(Table1[[#This Row],[Store_ID]],Store_Dim!$A$3:$D$22,2,FALSE)</f>
        <v>Shelton PLC-North</v>
      </c>
      <c r="L1789" t="s">
        <v>1755</v>
      </c>
      <c r="M1789" t="s">
        <v>3957</v>
      </c>
      <c r="N1789" s="3">
        <v>384.57</v>
      </c>
      <c r="O1789" s="4">
        <v>0.06</v>
      </c>
      <c r="P1789" t="s">
        <v>1774</v>
      </c>
      <c r="Q1789" s="4">
        <v>361.49579999999997</v>
      </c>
    </row>
    <row r="1790" spans="1:17" x14ac:dyDescent="0.3">
      <c r="A1790" t="s">
        <v>3562</v>
      </c>
      <c r="B1790" t="str">
        <f t="shared" si="27"/>
        <v>Q1</v>
      </c>
      <c r="C1790" t="str">
        <f>TEXT(Table1[[#This Row],[Order_Date]],"mmmm")</f>
        <v>March</v>
      </c>
      <c r="D1790">
        <f>YEAR(Table1[[#This Row],[Order_Date]])</f>
        <v>2025</v>
      </c>
      <c r="E1790" s="7">
        <v>45735</v>
      </c>
      <c r="F1790" s="2" t="str">
        <f>VLOOKUP(Table1[[#This Row],[Customer_ID]],Customer_Dim!$A$2:$H$501,2,FALSE)</f>
        <v>Antonio Jones</v>
      </c>
      <c r="G1790" s="2" t="str">
        <f>_xlfn.XLOOKUP(Table1[[#This Row],[Customer_ID]],Customer_Dim!$A$2:$A$501,Customer_Dim!$E$2:$E$501)</f>
        <v>Matthewborough</v>
      </c>
      <c r="H1790" t="s">
        <v>678</v>
      </c>
      <c r="I1790" t="str">
        <f>VLOOKUP(Table1[[#This Row],[Product_ID]],Product_Dim!$A$2:$G$101,2,FALSE)</f>
        <v>Wireless Bluetooth Earbuds-Electronics</v>
      </c>
      <c r="J1790" t="s">
        <v>1539</v>
      </c>
      <c r="K1790" t="str">
        <f>VLOOKUP(Table1[[#This Row],[Store_ID]],Store_Dim!$A$3:$D$22,2,FALSE)</f>
        <v>Gardner, Humphrey and Contreras-East</v>
      </c>
      <c r="L1790" t="s">
        <v>1753</v>
      </c>
      <c r="M1790" t="s">
        <v>3960</v>
      </c>
      <c r="N1790" s="3">
        <v>194.09</v>
      </c>
      <c r="O1790" s="4">
        <v>0.18</v>
      </c>
      <c r="P1790" t="s">
        <v>1774</v>
      </c>
      <c r="Q1790" s="4">
        <v>318.30759999999998</v>
      </c>
    </row>
    <row r="1791" spans="1:17" x14ac:dyDescent="0.3">
      <c r="A1791" t="s">
        <v>3563</v>
      </c>
      <c r="B1791" t="str">
        <f t="shared" si="27"/>
        <v>Q4</v>
      </c>
      <c r="C1791" t="str">
        <f>TEXT(Table1[[#This Row],[Order_Date]],"mmmm")</f>
        <v>October</v>
      </c>
      <c r="D1791">
        <f>YEAR(Table1[[#This Row],[Order_Date]])</f>
        <v>2024</v>
      </c>
      <c r="E1791" s="7">
        <v>45579</v>
      </c>
      <c r="F1791" s="2" t="str">
        <f>VLOOKUP(Table1[[#This Row],[Customer_ID]],Customer_Dim!$A$2:$H$501,2,FALSE)</f>
        <v>Thomas Rhodes</v>
      </c>
      <c r="G1791" s="2" t="str">
        <f>_xlfn.XLOOKUP(Table1[[#This Row],[Customer_ID]],Customer_Dim!$A$2:$A$501,Customer_Dim!$E$2:$E$501)</f>
        <v>Port Richard</v>
      </c>
      <c r="H1791" t="s">
        <v>565</v>
      </c>
      <c r="I1791" t="str">
        <f>VLOOKUP(Table1[[#This Row],[Product_ID]],Product_Dim!$A$2:$G$101,2,FALSE)</f>
        <v>Sports Wrist Sweatbands-Sports</v>
      </c>
      <c r="J1791" t="s">
        <v>1699</v>
      </c>
      <c r="K1791" t="str">
        <f>VLOOKUP(Table1[[#This Row],[Store_ID]],Store_Dim!$A$3:$D$22,2,FALSE)</f>
        <v>Johnson-Wright-North</v>
      </c>
      <c r="L1791" t="s">
        <v>1733</v>
      </c>
      <c r="M1791" t="s">
        <v>3960</v>
      </c>
      <c r="N1791" s="3">
        <v>403.91</v>
      </c>
      <c r="O1791" s="4">
        <v>7.0000000000000007E-2</v>
      </c>
      <c r="P1791" t="s">
        <v>1772</v>
      </c>
      <c r="Q1791" s="4">
        <v>751.27260000000001</v>
      </c>
    </row>
    <row r="1792" spans="1:17" x14ac:dyDescent="0.3">
      <c r="A1792" t="s">
        <v>3564</v>
      </c>
      <c r="B1792" t="str">
        <f t="shared" si="27"/>
        <v>Q1</v>
      </c>
      <c r="C1792" t="str">
        <f>TEXT(Table1[[#This Row],[Order_Date]],"mmmm")</f>
        <v>March</v>
      </c>
      <c r="D1792">
        <f>YEAR(Table1[[#This Row],[Order_Date]])</f>
        <v>2025</v>
      </c>
      <c r="E1792" s="7">
        <v>45721</v>
      </c>
      <c r="F1792" s="2" t="str">
        <f>VLOOKUP(Table1[[#This Row],[Customer_ID]],Customer_Dim!$A$2:$H$501,2,FALSE)</f>
        <v>Nathan Campbell</v>
      </c>
      <c r="G1792" s="2" t="str">
        <f>_xlfn.XLOOKUP(Table1[[#This Row],[Customer_ID]],Customer_Dim!$A$2:$A$501,Customer_Dim!$E$2:$E$501)</f>
        <v>Rodrigueztown</v>
      </c>
      <c r="H1792" t="s">
        <v>275</v>
      </c>
      <c r="I1792" t="str">
        <f>VLOOKUP(Table1[[#This Row],[Product_ID]],Product_Dim!$A$2:$G$101,2,FALSE)</f>
        <v>Soccer Training Cone Set-Sports</v>
      </c>
      <c r="J1792" t="s">
        <v>1557</v>
      </c>
      <c r="K1792" t="str">
        <f>VLOOKUP(Table1[[#This Row],[Store_ID]],Store_Dim!$A$3:$D$22,2,FALSE)</f>
        <v>Mcdonald Inc-South</v>
      </c>
      <c r="L1792" t="s">
        <v>1754</v>
      </c>
      <c r="M1792" t="s">
        <v>3957</v>
      </c>
      <c r="N1792" s="3">
        <v>878.69</v>
      </c>
      <c r="O1792" s="4">
        <v>0.3</v>
      </c>
      <c r="P1792" t="s">
        <v>1774</v>
      </c>
      <c r="Q1792" s="4">
        <v>615.08299999999997</v>
      </c>
    </row>
    <row r="1793" spans="1:17" x14ac:dyDescent="0.3">
      <c r="A1793" t="s">
        <v>3565</v>
      </c>
      <c r="B1793" t="str">
        <f t="shared" si="27"/>
        <v>Q2</v>
      </c>
      <c r="C1793" t="str">
        <f>TEXT(Table1[[#This Row],[Order_Date]],"mmmm")</f>
        <v>June</v>
      </c>
      <c r="D1793">
        <f>YEAR(Table1[[#This Row],[Order_Date]])</f>
        <v>2024</v>
      </c>
      <c r="E1793" s="7">
        <v>45446</v>
      </c>
      <c r="F1793" s="2" t="str">
        <f>VLOOKUP(Table1[[#This Row],[Customer_ID]],Customer_Dim!$A$2:$H$501,2,FALSE)</f>
        <v>Erika Padilla</v>
      </c>
      <c r="G1793" s="2" t="str">
        <f>_xlfn.XLOOKUP(Table1[[#This Row],[Customer_ID]],Customer_Dim!$A$2:$A$501,Customer_Dim!$E$2:$E$501)</f>
        <v>Andrewsland</v>
      </c>
      <c r="H1793" t="s">
        <v>1177</v>
      </c>
      <c r="I1793" t="str">
        <f>VLOOKUP(Table1[[#This Row],[Product_ID]],Product_Dim!$A$2:$G$101,2,FALSE)</f>
        <v>Modern Wall Clock-Home</v>
      </c>
      <c r="J1793" t="s">
        <v>1589</v>
      </c>
      <c r="K1793" t="str">
        <f>VLOOKUP(Table1[[#This Row],[Store_ID]],Store_Dim!$A$3:$D$22,2,FALSE)</f>
        <v>Shelton PLC-North</v>
      </c>
      <c r="L1793" t="s">
        <v>1755</v>
      </c>
      <c r="M1793" t="s">
        <v>3957</v>
      </c>
      <c r="N1793" s="3">
        <v>161.16999999999999</v>
      </c>
      <c r="O1793" s="4">
        <v>0.05</v>
      </c>
      <c r="P1793" t="s">
        <v>1772</v>
      </c>
      <c r="Q1793" s="4">
        <v>153.11150000000001</v>
      </c>
    </row>
    <row r="1794" spans="1:17" x14ac:dyDescent="0.3">
      <c r="A1794" t="s">
        <v>3566</v>
      </c>
      <c r="B1794" t="str">
        <f t="shared" ref="B1794:B1857" si="28">"Q" &amp;ROUNDUP(MONTH(E1794)/3,0)</f>
        <v>Q2</v>
      </c>
      <c r="C1794" t="str">
        <f>TEXT(Table1[[#This Row],[Order_Date]],"mmmm")</f>
        <v>April</v>
      </c>
      <c r="D1794">
        <f>YEAR(Table1[[#This Row],[Order_Date]])</f>
        <v>2024</v>
      </c>
      <c r="E1794" s="7">
        <v>45387</v>
      </c>
      <c r="F1794" s="2" t="str">
        <f>VLOOKUP(Table1[[#This Row],[Customer_ID]],Customer_Dim!$A$2:$H$501,2,FALSE)</f>
        <v>Eric Todd</v>
      </c>
      <c r="G1794" s="2" t="str">
        <f>_xlfn.XLOOKUP(Table1[[#This Row],[Customer_ID]],Customer_Dim!$A$2:$A$501,Customer_Dim!$E$2:$E$501)</f>
        <v>Danielstad</v>
      </c>
      <c r="H1794" t="s">
        <v>690</v>
      </c>
      <c r="I1794" t="str">
        <f>VLOOKUP(Table1[[#This Row],[Product_ID]],Product_Dim!$A$2:$G$101,2,FALSE)</f>
        <v>Shin Guards – Adult-Sports</v>
      </c>
      <c r="J1794" t="s">
        <v>1669</v>
      </c>
      <c r="K1794" t="str">
        <f>VLOOKUP(Table1[[#This Row],[Store_ID]],Store_Dim!$A$3:$D$22,2,FALSE)</f>
        <v>Mcdonald Inc-South</v>
      </c>
      <c r="L1794" t="s">
        <v>1754</v>
      </c>
      <c r="M1794" t="s">
        <v>3960</v>
      </c>
      <c r="N1794" s="3">
        <v>720.15</v>
      </c>
      <c r="O1794" s="4">
        <v>0.22</v>
      </c>
      <c r="P1794" t="s">
        <v>1777</v>
      </c>
      <c r="Q1794" s="4">
        <v>1123.434</v>
      </c>
    </row>
    <row r="1795" spans="1:17" x14ac:dyDescent="0.3">
      <c r="A1795" t="s">
        <v>3567</v>
      </c>
      <c r="B1795" t="str">
        <f t="shared" si="28"/>
        <v>Q4</v>
      </c>
      <c r="C1795" t="str">
        <f>TEXT(Table1[[#This Row],[Order_Date]],"mmmm")</f>
        <v>October</v>
      </c>
      <c r="D1795">
        <f>YEAR(Table1[[#This Row],[Order_Date]])</f>
        <v>2023</v>
      </c>
      <c r="E1795" s="7">
        <v>45222</v>
      </c>
      <c r="F1795" s="2" t="str">
        <f>VLOOKUP(Table1[[#This Row],[Customer_ID]],Customer_Dim!$A$2:$H$501,2,FALSE)</f>
        <v>Justin Mason Dds</v>
      </c>
      <c r="G1795" s="2" t="str">
        <f>_xlfn.XLOOKUP(Table1[[#This Row],[Customer_ID]],Customer_Dim!$A$2:$A$501,Customer_Dim!$E$2:$E$501)</f>
        <v>Peggystad</v>
      </c>
      <c r="H1795" t="s">
        <v>1078</v>
      </c>
      <c r="I1795" t="str">
        <f>VLOOKUP(Table1[[#This Row],[Product_ID]],Product_Dim!$A$2:$G$101,2,FALSE)</f>
        <v>Wireless Bluetooth Speaker-Electronics</v>
      </c>
      <c r="J1795" t="s">
        <v>1575</v>
      </c>
      <c r="K1795" t="str">
        <f>VLOOKUP(Table1[[#This Row],[Store_ID]],Store_Dim!$A$3:$D$22,2,FALSE)</f>
        <v>Bean, Jones and Park-West</v>
      </c>
      <c r="L1795" t="s">
        <v>1744</v>
      </c>
      <c r="M1795" t="s">
        <v>3957</v>
      </c>
      <c r="N1795" s="3">
        <v>361.8</v>
      </c>
      <c r="O1795" s="4">
        <v>0.02</v>
      </c>
      <c r="P1795" t="s">
        <v>1777</v>
      </c>
      <c r="Q1795" s="4">
        <v>354.56400000000002</v>
      </c>
    </row>
    <row r="1796" spans="1:17" x14ac:dyDescent="0.3">
      <c r="A1796" t="s">
        <v>3568</v>
      </c>
      <c r="B1796" t="str">
        <f t="shared" si="28"/>
        <v>Q2</v>
      </c>
      <c r="C1796" t="str">
        <f>TEXT(Table1[[#This Row],[Order_Date]],"mmmm")</f>
        <v>April</v>
      </c>
      <c r="D1796">
        <f>YEAR(Table1[[#This Row],[Order_Date]])</f>
        <v>2024</v>
      </c>
      <c r="E1796" s="7">
        <v>45402</v>
      </c>
      <c r="F1796" s="2" t="str">
        <f>VLOOKUP(Table1[[#This Row],[Customer_ID]],Customer_Dim!$A$2:$H$501,2,FALSE)</f>
        <v>Timothy Sanders</v>
      </c>
      <c r="G1796" s="2" t="str">
        <f>_xlfn.XLOOKUP(Table1[[#This Row],[Customer_ID]],Customer_Dim!$A$2:$A$501,Customer_Dim!$E$2:$E$501)</f>
        <v>Aaronmouth</v>
      </c>
      <c r="H1796" t="s">
        <v>734</v>
      </c>
      <c r="I1796" t="str">
        <f>VLOOKUP(Table1[[#This Row],[Product_ID]],Product_Dim!$A$2:$G$101,2,FALSE)</f>
        <v>Sports Stopwatch Basic-Sports</v>
      </c>
      <c r="J1796" t="s">
        <v>1713</v>
      </c>
      <c r="K1796" t="str">
        <f>VLOOKUP(Table1[[#This Row],[Store_ID]],Store_Dim!$A$3:$D$22,2,FALSE)</f>
        <v>Benson-Elliott-East</v>
      </c>
      <c r="L1796" t="s">
        <v>1740</v>
      </c>
      <c r="M1796" t="s">
        <v>3957</v>
      </c>
      <c r="N1796" s="3">
        <v>779.84</v>
      </c>
      <c r="O1796" s="4">
        <v>0.28999999999999998</v>
      </c>
      <c r="P1796" t="s">
        <v>1774</v>
      </c>
      <c r="Q1796" s="4">
        <v>553.68640000000005</v>
      </c>
    </row>
    <row r="1797" spans="1:17" x14ac:dyDescent="0.3">
      <c r="A1797" t="s">
        <v>3569</v>
      </c>
      <c r="B1797" t="str">
        <f t="shared" si="28"/>
        <v>Q2</v>
      </c>
      <c r="C1797" t="str">
        <f>TEXT(Table1[[#This Row],[Order_Date]],"mmmm")</f>
        <v>June</v>
      </c>
      <c r="D1797">
        <f>YEAR(Table1[[#This Row],[Order_Date]])</f>
        <v>2024</v>
      </c>
      <c r="E1797" s="7">
        <v>45455</v>
      </c>
      <c r="F1797" s="2" t="str">
        <f>VLOOKUP(Table1[[#This Row],[Customer_ID]],Customer_Dim!$A$2:$H$501,2,FALSE)</f>
        <v>Caroline Collins</v>
      </c>
      <c r="G1797" s="2" t="str">
        <f>_xlfn.XLOOKUP(Table1[[#This Row],[Customer_ID]],Customer_Dim!$A$2:$A$501,Customer_Dim!$E$2:$E$501)</f>
        <v>Nicholasshire</v>
      </c>
      <c r="H1797" t="s">
        <v>27</v>
      </c>
      <c r="I1797" t="str">
        <f>VLOOKUP(Table1[[#This Row],[Product_ID]],Product_Dim!$A$2:$G$101,2,FALSE)</f>
        <v>Women's Formal Blazer-Clothing</v>
      </c>
      <c r="J1797" t="s">
        <v>1715</v>
      </c>
      <c r="K1797" t="str">
        <f>VLOOKUP(Table1[[#This Row],[Store_ID]],Store_Dim!$A$3:$D$22,2,FALSE)</f>
        <v>Alexander Group-South</v>
      </c>
      <c r="L1797" t="s">
        <v>1735</v>
      </c>
      <c r="M1797" t="s">
        <v>3960</v>
      </c>
      <c r="N1797" s="3">
        <v>649.89</v>
      </c>
      <c r="O1797" s="4">
        <v>0.17</v>
      </c>
      <c r="P1797" t="s">
        <v>1777</v>
      </c>
      <c r="Q1797" s="4">
        <v>1078.8173999999999</v>
      </c>
    </row>
    <row r="1798" spans="1:17" x14ac:dyDescent="0.3">
      <c r="A1798" t="s">
        <v>3570</v>
      </c>
      <c r="B1798" t="str">
        <f t="shared" si="28"/>
        <v>Q3</v>
      </c>
      <c r="C1798" t="str">
        <f>TEXT(Table1[[#This Row],[Order_Date]],"mmmm")</f>
        <v>August</v>
      </c>
      <c r="D1798">
        <f>YEAR(Table1[[#This Row],[Order_Date]])</f>
        <v>2025</v>
      </c>
      <c r="E1798" s="7">
        <v>45877</v>
      </c>
      <c r="F1798" s="2" t="str">
        <f>VLOOKUP(Table1[[#This Row],[Customer_ID]],Customer_Dim!$A$2:$H$501,2,FALSE)</f>
        <v>Tiffany Herrera</v>
      </c>
      <c r="G1798" s="2" t="str">
        <f>_xlfn.XLOOKUP(Table1[[#This Row],[Customer_ID]],Customer_Dim!$A$2:$A$501,Customer_Dim!$E$2:$E$501)</f>
        <v>New Dianebury</v>
      </c>
      <c r="H1798" t="s">
        <v>660</v>
      </c>
      <c r="I1798" t="str">
        <f>VLOOKUP(Table1[[#This Row],[Product_ID]],Product_Dim!$A$2:$G$101,2,FALSE)</f>
        <v>Men's Track Pants-Clothing</v>
      </c>
      <c r="J1798" t="s">
        <v>1629</v>
      </c>
      <c r="K1798" t="str">
        <f>VLOOKUP(Table1[[#This Row],[Store_ID]],Store_Dim!$A$3:$D$22,2,FALSE)</f>
        <v>Benson-Elliott-East</v>
      </c>
      <c r="L1798" t="s">
        <v>1740</v>
      </c>
      <c r="M1798" t="s">
        <v>3957</v>
      </c>
      <c r="N1798" s="3">
        <v>952.73</v>
      </c>
      <c r="O1798" s="4">
        <v>0.17</v>
      </c>
      <c r="P1798" t="s">
        <v>1772</v>
      </c>
      <c r="Q1798" s="4">
        <v>790.76589999999999</v>
      </c>
    </row>
    <row r="1799" spans="1:17" x14ac:dyDescent="0.3">
      <c r="A1799" t="s">
        <v>3571</v>
      </c>
      <c r="B1799" t="str">
        <f t="shared" si="28"/>
        <v>Q3</v>
      </c>
      <c r="C1799" t="str">
        <f>TEXT(Table1[[#This Row],[Order_Date]],"mmmm")</f>
        <v>August</v>
      </c>
      <c r="D1799">
        <f>YEAR(Table1[[#This Row],[Order_Date]])</f>
        <v>2025</v>
      </c>
      <c r="E1799" s="7">
        <v>45875</v>
      </c>
      <c r="F1799" s="2" t="str">
        <f>VLOOKUP(Table1[[#This Row],[Customer_ID]],Customer_Dim!$A$2:$H$501,2,FALSE)</f>
        <v>Christy Hoffman</v>
      </c>
      <c r="G1799" s="2" t="str">
        <f>_xlfn.XLOOKUP(Table1[[#This Row],[Customer_ID]],Customer_Dim!$A$2:$A$501,Customer_Dim!$E$2:$E$501)</f>
        <v>Garyberg</v>
      </c>
      <c r="H1799" t="s">
        <v>301</v>
      </c>
      <c r="I1799" t="str">
        <f>VLOOKUP(Table1[[#This Row],[Product_ID]],Product_Dim!$A$2:$G$101,2,FALSE)</f>
        <v>Stainless Steel Cookware Set-Home</v>
      </c>
      <c r="J1799" t="s">
        <v>1721</v>
      </c>
      <c r="K1799" t="str">
        <f>VLOOKUP(Table1[[#This Row],[Store_ID]],Store_Dim!$A$3:$D$22,2,FALSE)</f>
        <v>Frederick-Wright-West</v>
      </c>
      <c r="L1799" t="s">
        <v>1757</v>
      </c>
      <c r="M1799" t="s">
        <v>3959</v>
      </c>
      <c r="N1799" s="3">
        <v>820.78</v>
      </c>
      <c r="O1799" s="4">
        <v>0.25</v>
      </c>
      <c r="P1799" t="s">
        <v>1772</v>
      </c>
      <c r="Q1799" s="4">
        <v>2462.34</v>
      </c>
    </row>
    <row r="1800" spans="1:17" x14ac:dyDescent="0.3">
      <c r="A1800" t="s">
        <v>3572</v>
      </c>
      <c r="B1800" t="str">
        <f t="shared" si="28"/>
        <v>Q4</v>
      </c>
      <c r="C1800" t="str">
        <f>TEXT(Table1[[#This Row],[Order_Date]],"mmmm")</f>
        <v>October</v>
      </c>
      <c r="D1800">
        <f>YEAR(Table1[[#This Row],[Order_Date]])</f>
        <v>2024</v>
      </c>
      <c r="E1800" s="7">
        <v>45592</v>
      </c>
      <c r="F1800" s="2" t="str">
        <f>VLOOKUP(Table1[[#This Row],[Customer_ID]],Customer_Dim!$A$2:$H$501,2,FALSE)</f>
        <v>Michelle Cunningham</v>
      </c>
      <c r="G1800" s="2" t="str">
        <f>_xlfn.XLOOKUP(Table1[[#This Row],[Customer_ID]],Customer_Dim!$A$2:$A$501,Customer_Dim!$E$2:$E$501)</f>
        <v>Amandaborough</v>
      </c>
      <c r="H1800" t="s">
        <v>1063</v>
      </c>
      <c r="I1800" t="str">
        <f>VLOOKUP(Table1[[#This Row],[Product_ID]],Product_Dim!$A$2:$G$101,2,FALSE)</f>
        <v>Sports Water Hydration Pack-Sports</v>
      </c>
      <c r="J1800" t="s">
        <v>1599</v>
      </c>
      <c r="K1800" t="str">
        <f>VLOOKUP(Table1[[#This Row],[Store_ID]],Store_Dim!$A$3:$D$22,2,FALSE)</f>
        <v>Johnson-Wright-North</v>
      </c>
      <c r="L1800" t="s">
        <v>1733</v>
      </c>
      <c r="M1800" t="s">
        <v>3959</v>
      </c>
      <c r="N1800" s="3">
        <v>247.55</v>
      </c>
      <c r="O1800" s="4">
        <v>0.05</v>
      </c>
      <c r="P1800" t="s">
        <v>1772</v>
      </c>
      <c r="Q1800" s="4">
        <v>940.69</v>
      </c>
    </row>
    <row r="1801" spans="1:17" x14ac:dyDescent="0.3">
      <c r="A1801" t="s">
        <v>3573</v>
      </c>
      <c r="B1801" t="str">
        <f t="shared" si="28"/>
        <v>Q1</v>
      </c>
      <c r="C1801" t="str">
        <f>TEXT(Table1[[#This Row],[Order_Date]],"mmmm")</f>
        <v>March</v>
      </c>
      <c r="D1801">
        <f>YEAR(Table1[[#This Row],[Order_Date]])</f>
        <v>2024</v>
      </c>
      <c r="E1801" s="7">
        <v>45369</v>
      </c>
      <c r="F1801" s="2" t="str">
        <f>VLOOKUP(Table1[[#This Row],[Customer_ID]],Customer_Dim!$A$2:$H$501,2,FALSE)</f>
        <v>Gregory Pham</v>
      </c>
      <c r="G1801" s="2" t="str">
        <f>_xlfn.XLOOKUP(Table1[[#This Row],[Customer_ID]],Customer_Dim!$A$2:$A$501,Customer_Dim!$E$2:$E$501)</f>
        <v>Pollardton</v>
      </c>
      <c r="H1801" t="s">
        <v>726</v>
      </c>
      <c r="I1801" t="str">
        <f>VLOOKUP(Table1[[#This Row],[Product_ID]],Product_Dim!$A$2:$G$101,2,FALSE)</f>
        <v>Stainless Steel Cookware Set-Home</v>
      </c>
      <c r="J1801" t="s">
        <v>1721</v>
      </c>
      <c r="K1801" t="str">
        <f>VLOOKUP(Table1[[#This Row],[Store_ID]],Store_Dim!$A$3:$D$22,2,FALSE)</f>
        <v>Bean, Jones and Park-West</v>
      </c>
      <c r="L1801" t="s">
        <v>1744</v>
      </c>
      <c r="M1801" t="s">
        <v>3958</v>
      </c>
      <c r="N1801" s="3">
        <v>561.44000000000005</v>
      </c>
      <c r="O1801" s="4">
        <v>0.2</v>
      </c>
      <c r="P1801" t="s">
        <v>1777</v>
      </c>
      <c r="Q1801" s="4">
        <v>1347.4559999999999</v>
      </c>
    </row>
    <row r="1802" spans="1:17" x14ac:dyDescent="0.3">
      <c r="A1802" t="s">
        <v>3574</v>
      </c>
      <c r="B1802" t="str">
        <f t="shared" si="28"/>
        <v>Q4</v>
      </c>
      <c r="C1802" t="str">
        <f>TEXT(Table1[[#This Row],[Order_Date]],"mmmm")</f>
        <v>November</v>
      </c>
      <c r="D1802">
        <f>YEAR(Table1[[#This Row],[Order_Date]])</f>
        <v>2023</v>
      </c>
      <c r="E1802" s="7">
        <v>45249</v>
      </c>
      <c r="F1802" s="2" t="str">
        <f>VLOOKUP(Table1[[#This Row],[Customer_ID]],Customer_Dim!$A$2:$H$501,2,FALSE)</f>
        <v>Brittany Watson</v>
      </c>
      <c r="G1802" s="2" t="str">
        <f>_xlfn.XLOOKUP(Table1[[#This Row],[Customer_ID]],Customer_Dim!$A$2:$A$501,Customer_Dim!$E$2:$E$501)</f>
        <v>North Joshualand</v>
      </c>
      <c r="H1802" t="s">
        <v>885</v>
      </c>
      <c r="I1802" t="str">
        <f>VLOOKUP(Table1[[#This Row],[Product_ID]],Product_Dim!$A$2:$G$101,2,FALSE)</f>
        <v>Professional Jump Rope-Sports</v>
      </c>
      <c r="J1802" t="s">
        <v>1667</v>
      </c>
      <c r="K1802" t="str">
        <f>VLOOKUP(Table1[[#This Row],[Store_ID]],Store_Dim!$A$3:$D$22,2,FALSE)</f>
        <v>Bean, Jones and Park-West</v>
      </c>
      <c r="L1802" t="s">
        <v>1744</v>
      </c>
      <c r="M1802" t="s">
        <v>3959</v>
      </c>
      <c r="N1802" s="3">
        <v>214.37</v>
      </c>
      <c r="O1802" s="4">
        <v>0.11</v>
      </c>
      <c r="P1802" t="s">
        <v>1777</v>
      </c>
      <c r="Q1802" s="4">
        <v>763.15719999999999</v>
      </c>
    </row>
    <row r="1803" spans="1:17" x14ac:dyDescent="0.3">
      <c r="A1803" t="s">
        <v>3575</v>
      </c>
      <c r="B1803" t="str">
        <f t="shared" si="28"/>
        <v>Q1</v>
      </c>
      <c r="C1803" t="str">
        <f>TEXT(Table1[[#This Row],[Order_Date]],"mmmm")</f>
        <v>March</v>
      </c>
      <c r="D1803">
        <f>YEAR(Table1[[#This Row],[Order_Date]])</f>
        <v>2025</v>
      </c>
      <c r="E1803" s="7">
        <v>45741</v>
      </c>
      <c r="F1803" s="2" t="str">
        <f>VLOOKUP(Table1[[#This Row],[Customer_ID]],Customer_Dim!$A$2:$H$501,2,FALSE)</f>
        <v>Karen King</v>
      </c>
      <c r="G1803" s="2" t="str">
        <f>_xlfn.XLOOKUP(Table1[[#This Row],[Customer_ID]],Customer_Dim!$A$2:$A$501,Customer_Dim!$E$2:$E$501)</f>
        <v>Kimburgh</v>
      </c>
      <c r="H1803" t="s">
        <v>1281</v>
      </c>
      <c r="I1803" t="str">
        <f>VLOOKUP(Table1[[#This Row],[Product_ID]],Product_Dim!$A$2:$G$101,2,FALSE)</f>
        <v>Soccer Training Cone Set-Sports</v>
      </c>
      <c r="J1803" t="s">
        <v>1557</v>
      </c>
      <c r="K1803" t="str">
        <f>VLOOKUP(Table1[[#This Row],[Store_ID]],Store_Dim!$A$3:$D$22,2,FALSE)</f>
        <v>Frederick-Wright-West</v>
      </c>
      <c r="L1803" t="s">
        <v>1757</v>
      </c>
      <c r="M1803" t="s">
        <v>3958</v>
      </c>
      <c r="N1803" s="3">
        <v>123.74</v>
      </c>
      <c r="O1803" s="4">
        <v>0.23</v>
      </c>
      <c r="P1803" t="s">
        <v>1774</v>
      </c>
      <c r="Q1803" s="4">
        <v>285.83940000000001</v>
      </c>
    </row>
    <row r="1804" spans="1:17" x14ac:dyDescent="0.3">
      <c r="A1804" t="s">
        <v>3576</v>
      </c>
      <c r="B1804" t="str">
        <f t="shared" si="28"/>
        <v>Q2</v>
      </c>
      <c r="C1804" t="str">
        <f>TEXT(Table1[[#This Row],[Order_Date]],"mmmm")</f>
        <v>May</v>
      </c>
      <c r="D1804">
        <f>YEAR(Table1[[#This Row],[Order_Date]])</f>
        <v>2024</v>
      </c>
      <c r="E1804" s="7">
        <v>45427</v>
      </c>
      <c r="F1804" s="2" t="str">
        <f>VLOOKUP(Table1[[#This Row],[Customer_ID]],Customer_Dim!$A$2:$H$501,2,FALSE)</f>
        <v>Nathan Hernandez</v>
      </c>
      <c r="G1804" s="2" t="str">
        <f>_xlfn.XLOOKUP(Table1[[#This Row],[Customer_ID]],Customer_Dim!$A$2:$A$501,Customer_Dim!$E$2:$E$501)</f>
        <v>New Becky</v>
      </c>
      <c r="H1804" t="s">
        <v>63</v>
      </c>
      <c r="I1804" t="str">
        <f>VLOOKUP(Table1[[#This Row],[Product_ID]],Product_Dim!$A$2:$G$101,2,FALSE)</f>
        <v>Smart LED Light Strip-Electronics</v>
      </c>
      <c r="J1804" t="s">
        <v>1657</v>
      </c>
      <c r="K1804" t="str">
        <f>VLOOKUP(Table1[[#This Row],[Store_ID]],Store_Dim!$A$3:$D$22,2,FALSE)</f>
        <v>Aguirre-Keller-South</v>
      </c>
      <c r="L1804" t="s">
        <v>1750</v>
      </c>
      <c r="M1804" t="s">
        <v>3959</v>
      </c>
      <c r="N1804" s="3">
        <v>645.71</v>
      </c>
      <c r="O1804" s="4">
        <v>0.1</v>
      </c>
      <c r="P1804" t="s">
        <v>1774</v>
      </c>
      <c r="Q1804" s="4">
        <v>2324.556</v>
      </c>
    </row>
    <row r="1805" spans="1:17" x14ac:dyDescent="0.3">
      <c r="A1805" t="s">
        <v>3577</v>
      </c>
      <c r="B1805" t="str">
        <f t="shared" si="28"/>
        <v>Q1</v>
      </c>
      <c r="C1805" t="str">
        <f>TEXT(Table1[[#This Row],[Order_Date]],"mmmm")</f>
        <v>March</v>
      </c>
      <c r="D1805">
        <f>YEAR(Table1[[#This Row],[Order_Date]])</f>
        <v>2025</v>
      </c>
      <c r="E1805" s="7">
        <v>45736</v>
      </c>
      <c r="F1805" s="2" t="str">
        <f>VLOOKUP(Table1[[#This Row],[Customer_ID]],Customer_Dim!$A$2:$H$501,2,FALSE)</f>
        <v>Robert Jones Dds</v>
      </c>
      <c r="G1805" s="2" t="str">
        <f>_xlfn.XLOOKUP(Table1[[#This Row],[Customer_ID]],Customer_Dim!$A$2:$A$501,Customer_Dim!$E$2:$E$501)</f>
        <v>Tristanton</v>
      </c>
      <c r="H1805" t="s">
        <v>134</v>
      </c>
      <c r="I1805" t="str">
        <f>VLOOKUP(Table1[[#This Row],[Product_ID]],Product_Dim!$A$2:$G$101,2,FALSE)</f>
        <v>Multi-Purpose Storage Box-Home</v>
      </c>
      <c r="J1805" t="s">
        <v>1565</v>
      </c>
      <c r="K1805" t="str">
        <f>VLOOKUP(Table1[[#This Row],[Store_ID]],Store_Dim!$A$3:$D$22,2,FALSE)</f>
        <v>Thomas, Bridges and Harris-North</v>
      </c>
      <c r="L1805" t="s">
        <v>1751</v>
      </c>
      <c r="M1805" t="s">
        <v>3958</v>
      </c>
      <c r="N1805" s="3">
        <v>587.12</v>
      </c>
      <c r="O1805" s="4">
        <v>0.3</v>
      </c>
      <c r="P1805" t="s">
        <v>1772</v>
      </c>
      <c r="Q1805" s="4">
        <v>1232.952</v>
      </c>
    </row>
    <row r="1806" spans="1:17" x14ac:dyDescent="0.3">
      <c r="A1806" t="s">
        <v>3578</v>
      </c>
      <c r="B1806" t="str">
        <f t="shared" si="28"/>
        <v>Q4</v>
      </c>
      <c r="C1806" t="str">
        <f>TEXT(Table1[[#This Row],[Order_Date]],"mmmm")</f>
        <v>October</v>
      </c>
      <c r="D1806">
        <f>YEAR(Table1[[#This Row],[Order_Date]])</f>
        <v>2025</v>
      </c>
      <c r="E1806" s="7">
        <v>45941</v>
      </c>
      <c r="F1806" s="2" t="str">
        <f>VLOOKUP(Table1[[#This Row],[Customer_ID]],Customer_Dim!$A$2:$H$501,2,FALSE)</f>
        <v>Mr. William Horton</v>
      </c>
      <c r="G1806" s="2" t="str">
        <f>_xlfn.XLOOKUP(Table1[[#This Row],[Customer_ID]],Customer_Dim!$A$2:$A$501,Customer_Dim!$E$2:$E$501)</f>
        <v>Dawsonchester</v>
      </c>
      <c r="H1806" t="s">
        <v>767</v>
      </c>
      <c r="I1806" t="str">
        <f>VLOOKUP(Table1[[#This Row],[Product_ID]],Product_Dim!$A$2:$G$101,2,FALSE)</f>
        <v>Women's Scarf Set-Clothing</v>
      </c>
      <c r="J1806" t="s">
        <v>1573</v>
      </c>
      <c r="K1806" t="str">
        <f>VLOOKUP(Table1[[#This Row],[Store_ID]],Store_Dim!$A$3:$D$22,2,FALSE)</f>
        <v>Guerrero-Schmitt-East</v>
      </c>
      <c r="L1806" t="s">
        <v>1761</v>
      </c>
      <c r="M1806" t="s">
        <v>3957</v>
      </c>
      <c r="N1806" s="3">
        <v>401.18</v>
      </c>
      <c r="O1806" s="4">
        <v>0.15</v>
      </c>
      <c r="P1806" t="s">
        <v>1777</v>
      </c>
      <c r="Q1806" s="4">
        <v>341.00299999999999</v>
      </c>
    </row>
    <row r="1807" spans="1:17" x14ac:dyDescent="0.3">
      <c r="A1807" t="s">
        <v>3579</v>
      </c>
      <c r="B1807" t="str">
        <f t="shared" si="28"/>
        <v>Q3</v>
      </c>
      <c r="C1807" t="str">
        <f>TEXT(Table1[[#This Row],[Order_Date]],"mmmm")</f>
        <v>July</v>
      </c>
      <c r="D1807">
        <f>YEAR(Table1[[#This Row],[Order_Date]])</f>
        <v>2024</v>
      </c>
      <c r="E1807" s="7">
        <v>45486</v>
      </c>
      <c r="F1807" s="2" t="str">
        <f>VLOOKUP(Table1[[#This Row],[Customer_ID]],Customer_Dim!$A$2:$H$501,2,FALSE)</f>
        <v>Mallory Allen</v>
      </c>
      <c r="G1807" s="2" t="str">
        <f>_xlfn.XLOOKUP(Table1[[#This Row],[Customer_ID]],Customer_Dim!$A$2:$A$501,Customer_Dim!$E$2:$E$501)</f>
        <v>North Theresa</v>
      </c>
      <c r="H1807" t="s">
        <v>1132</v>
      </c>
      <c r="I1807" t="str">
        <f>VLOOKUP(Table1[[#This Row],[Product_ID]],Product_Dim!$A$2:$G$101,2,FALSE)</f>
        <v>Womens Cotton Scarf-Clothing</v>
      </c>
      <c r="J1807" t="s">
        <v>1639</v>
      </c>
      <c r="K1807" t="str">
        <f>VLOOKUP(Table1[[#This Row],[Store_ID]],Store_Dim!$A$3:$D$22,2,FALSE)</f>
        <v>Guerrero-Schmitt-East</v>
      </c>
      <c r="L1807" t="s">
        <v>1761</v>
      </c>
      <c r="M1807" t="s">
        <v>3958</v>
      </c>
      <c r="N1807" s="3">
        <v>658.33</v>
      </c>
      <c r="O1807" s="4">
        <v>0.12</v>
      </c>
      <c r="P1807" t="s">
        <v>1777</v>
      </c>
      <c r="Q1807" s="4">
        <v>1737.9911999999999</v>
      </c>
    </row>
    <row r="1808" spans="1:17" x14ac:dyDescent="0.3">
      <c r="A1808" t="s">
        <v>3580</v>
      </c>
      <c r="B1808" t="str">
        <f t="shared" si="28"/>
        <v>Q3</v>
      </c>
      <c r="C1808" t="str">
        <f>TEXT(Table1[[#This Row],[Order_Date]],"mmmm")</f>
        <v>July</v>
      </c>
      <c r="D1808">
        <f>YEAR(Table1[[#This Row],[Order_Date]])</f>
        <v>2024</v>
      </c>
      <c r="E1808" s="7">
        <v>45474</v>
      </c>
      <c r="F1808" s="2" t="str">
        <f>VLOOKUP(Table1[[#This Row],[Customer_ID]],Customer_Dim!$A$2:$H$501,2,FALSE)</f>
        <v>Mary Boyd</v>
      </c>
      <c r="G1808" s="2" t="str">
        <f>_xlfn.XLOOKUP(Table1[[#This Row],[Customer_ID]],Customer_Dim!$A$2:$A$501,Customer_Dim!$E$2:$E$501)</f>
        <v>New Logan</v>
      </c>
      <c r="H1808" t="s">
        <v>651</v>
      </c>
      <c r="I1808" t="str">
        <f>VLOOKUP(Table1[[#This Row],[Product_ID]],Product_Dim!$A$2:$G$101,2,FALSE)</f>
        <v>Men's Roll-On Perfume-Beauty</v>
      </c>
      <c r="J1808" t="s">
        <v>1621</v>
      </c>
      <c r="K1808" t="str">
        <f>VLOOKUP(Table1[[#This Row],[Store_ID]],Store_Dim!$A$3:$D$22,2,FALSE)</f>
        <v>Aguirre-Keller-South</v>
      </c>
      <c r="L1808" t="s">
        <v>1750</v>
      </c>
      <c r="M1808" t="s">
        <v>3959</v>
      </c>
      <c r="N1808" s="3">
        <v>450.3</v>
      </c>
      <c r="O1808" s="4">
        <v>0.02</v>
      </c>
      <c r="P1808" t="s">
        <v>1772</v>
      </c>
      <c r="Q1808" s="4">
        <v>1765.1759999999999</v>
      </c>
    </row>
    <row r="1809" spans="1:17" x14ac:dyDescent="0.3">
      <c r="A1809" t="s">
        <v>3581</v>
      </c>
      <c r="B1809" t="str">
        <f t="shared" si="28"/>
        <v>Q2</v>
      </c>
      <c r="C1809" t="str">
        <f>TEXT(Table1[[#This Row],[Order_Date]],"mmmm")</f>
        <v>April</v>
      </c>
      <c r="D1809">
        <f>YEAR(Table1[[#This Row],[Order_Date]])</f>
        <v>2025</v>
      </c>
      <c r="E1809" s="7">
        <v>45757</v>
      </c>
      <c r="F1809" s="2" t="str">
        <f>VLOOKUP(Table1[[#This Row],[Customer_ID]],Customer_Dim!$A$2:$H$501,2,FALSE)</f>
        <v>Cameron Simpson</v>
      </c>
      <c r="G1809" s="2" t="str">
        <f>_xlfn.XLOOKUP(Table1[[#This Row],[Customer_ID]],Customer_Dim!$A$2:$A$501,Customer_Dim!$E$2:$E$501)</f>
        <v>Michaelfort</v>
      </c>
      <c r="H1809" t="s">
        <v>485</v>
      </c>
      <c r="I1809" t="str">
        <f>VLOOKUP(Table1[[#This Row],[Product_ID]],Product_Dim!$A$2:$G$101,2,FALSE)</f>
        <v>Vitamin E Body Lotion-Beauty</v>
      </c>
      <c r="J1809" t="s">
        <v>1711</v>
      </c>
      <c r="K1809" t="str">
        <f>VLOOKUP(Table1[[#This Row],[Store_ID]],Store_Dim!$A$3:$D$22,2,FALSE)</f>
        <v>Hill, Wagner and Ballard-East</v>
      </c>
      <c r="L1809" t="s">
        <v>1748</v>
      </c>
      <c r="M1809" t="s">
        <v>3959</v>
      </c>
      <c r="N1809" s="3">
        <v>33.630000000000003</v>
      </c>
      <c r="O1809" s="4">
        <v>0.05</v>
      </c>
      <c r="P1809" t="s">
        <v>1772</v>
      </c>
      <c r="Q1809" s="4">
        <v>127.794</v>
      </c>
    </row>
    <row r="1810" spans="1:17" x14ac:dyDescent="0.3">
      <c r="A1810" t="s">
        <v>3582</v>
      </c>
      <c r="B1810" t="str">
        <f t="shared" si="28"/>
        <v>Q3</v>
      </c>
      <c r="C1810" t="str">
        <f>TEXT(Table1[[#This Row],[Order_Date]],"mmmm")</f>
        <v>July</v>
      </c>
      <c r="D1810">
        <f>YEAR(Table1[[#This Row],[Order_Date]])</f>
        <v>2024</v>
      </c>
      <c r="E1810" s="7">
        <v>45475</v>
      </c>
      <c r="F1810" s="2" t="str">
        <f>VLOOKUP(Table1[[#This Row],[Customer_ID]],Customer_Dim!$A$2:$H$501,2,FALSE)</f>
        <v>Rachel Myers</v>
      </c>
      <c r="G1810" s="2" t="str">
        <f>_xlfn.XLOOKUP(Table1[[#This Row],[Customer_ID]],Customer_Dim!$A$2:$A$501,Customer_Dim!$E$2:$E$501)</f>
        <v>Robertberg</v>
      </c>
      <c r="H1810" t="s">
        <v>140</v>
      </c>
      <c r="I1810" t="str">
        <f>VLOOKUP(Table1[[#This Row],[Product_ID]],Product_Dim!$A$2:$G$101,2,FALSE)</f>
        <v>Beard Grooming Kit-Beauty</v>
      </c>
      <c r="J1810" t="s">
        <v>1555</v>
      </c>
      <c r="K1810" t="str">
        <f>VLOOKUP(Table1[[#This Row],[Store_ID]],Store_Dim!$A$3:$D$22,2,FALSE)</f>
        <v>Rivera-Warner-East</v>
      </c>
      <c r="L1810" t="s">
        <v>1725</v>
      </c>
      <c r="M1810" t="s">
        <v>3958</v>
      </c>
      <c r="N1810" s="3">
        <v>168.89</v>
      </c>
      <c r="O1810" s="4">
        <v>0.03</v>
      </c>
      <c r="P1810" t="s">
        <v>1777</v>
      </c>
      <c r="Q1810" s="4">
        <v>491.46989999999988</v>
      </c>
    </row>
    <row r="1811" spans="1:17" x14ac:dyDescent="0.3">
      <c r="A1811" t="s">
        <v>3583</v>
      </c>
      <c r="B1811" t="str">
        <f t="shared" si="28"/>
        <v>Q3</v>
      </c>
      <c r="C1811" t="str">
        <f>TEXT(Table1[[#This Row],[Order_Date]],"mmmm")</f>
        <v>September</v>
      </c>
      <c r="D1811">
        <f>YEAR(Table1[[#This Row],[Order_Date]])</f>
        <v>2024</v>
      </c>
      <c r="E1811" s="7">
        <v>45546</v>
      </c>
      <c r="F1811" s="2" t="str">
        <f>VLOOKUP(Table1[[#This Row],[Customer_ID]],Customer_Dim!$A$2:$H$501,2,FALSE)</f>
        <v>Amy Fowler</v>
      </c>
      <c r="G1811" s="2" t="str">
        <f>_xlfn.XLOOKUP(Table1[[#This Row],[Customer_ID]],Customer_Dim!$A$2:$A$501,Customer_Dim!$E$2:$E$501)</f>
        <v>West Bobbyshire</v>
      </c>
      <c r="H1811" t="s">
        <v>336</v>
      </c>
      <c r="I1811" t="str">
        <f>VLOOKUP(Table1[[#This Row],[Product_ID]],Product_Dim!$A$2:$G$101,2,FALSE)</f>
        <v>Luxury Perfume Spray-Beauty</v>
      </c>
      <c r="J1811" t="s">
        <v>1643</v>
      </c>
      <c r="K1811" t="str">
        <f>VLOOKUP(Table1[[#This Row],[Store_ID]],Store_Dim!$A$3:$D$22,2,FALSE)</f>
        <v>Aguirre-Keller-South</v>
      </c>
      <c r="L1811" t="s">
        <v>1750</v>
      </c>
      <c r="M1811" t="s">
        <v>3957</v>
      </c>
      <c r="N1811" s="3">
        <v>141.85</v>
      </c>
      <c r="O1811" s="4">
        <v>0.06</v>
      </c>
      <c r="P1811" t="s">
        <v>1774</v>
      </c>
      <c r="Q1811" s="4">
        <v>133.339</v>
      </c>
    </row>
    <row r="1812" spans="1:17" x14ac:dyDescent="0.3">
      <c r="A1812" t="s">
        <v>3584</v>
      </c>
      <c r="B1812" t="str">
        <f t="shared" si="28"/>
        <v>Q3</v>
      </c>
      <c r="C1812" t="str">
        <f>TEXT(Table1[[#This Row],[Order_Date]],"mmmm")</f>
        <v>August</v>
      </c>
      <c r="D1812">
        <f>YEAR(Table1[[#This Row],[Order_Date]])</f>
        <v>2024</v>
      </c>
      <c r="E1812" s="7">
        <v>45520</v>
      </c>
      <c r="F1812" s="2" t="str">
        <f>VLOOKUP(Table1[[#This Row],[Customer_ID]],Customer_Dim!$A$2:$H$501,2,FALSE)</f>
        <v>Angela Robinson</v>
      </c>
      <c r="G1812" s="2" t="str">
        <f>_xlfn.XLOOKUP(Table1[[#This Row],[Customer_ID]],Customer_Dim!$A$2:$A$501,Customer_Dim!$E$2:$E$501)</f>
        <v>New Nicholasstad</v>
      </c>
      <c r="H1812" t="s">
        <v>956</v>
      </c>
      <c r="I1812" t="str">
        <f>VLOOKUP(Table1[[#This Row],[Product_ID]],Product_Dim!$A$2:$G$101,2,FALSE)</f>
        <v>Bedroom Table Lamp-Home</v>
      </c>
      <c r="J1812" t="s">
        <v>1593</v>
      </c>
      <c r="K1812" t="str">
        <f>VLOOKUP(Table1[[#This Row],[Store_ID]],Store_Dim!$A$3:$D$22,2,FALSE)</f>
        <v>Martinez-Mullins-South</v>
      </c>
      <c r="L1812" t="s">
        <v>1742</v>
      </c>
      <c r="M1812" t="s">
        <v>3957</v>
      </c>
      <c r="N1812" s="3">
        <v>617.4</v>
      </c>
      <c r="O1812" s="4">
        <v>0.21</v>
      </c>
      <c r="P1812" t="s">
        <v>1772</v>
      </c>
      <c r="Q1812" s="4">
        <v>487.74599999999998</v>
      </c>
    </row>
    <row r="1813" spans="1:17" x14ac:dyDescent="0.3">
      <c r="A1813" t="s">
        <v>3585</v>
      </c>
      <c r="B1813" t="str">
        <f t="shared" si="28"/>
        <v>Q3</v>
      </c>
      <c r="C1813" t="str">
        <f>TEXT(Table1[[#This Row],[Order_Date]],"mmmm")</f>
        <v>August</v>
      </c>
      <c r="D1813">
        <f>YEAR(Table1[[#This Row],[Order_Date]])</f>
        <v>2024</v>
      </c>
      <c r="E1813" s="7">
        <v>45534</v>
      </c>
      <c r="F1813" s="2" t="str">
        <f>VLOOKUP(Table1[[#This Row],[Customer_ID]],Customer_Dim!$A$2:$H$501,2,FALSE)</f>
        <v>Rhonda Young</v>
      </c>
      <c r="G1813" s="2" t="str">
        <f>_xlfn.XLOOKUP(Table1[[#This Row],[Customer_ID]],Customer_Dim!$A$2:$A$501,Customer_Dim!$E$2:$E$501)</f>
        <v>Lake Nathanfort</v>
      </c>
      <c r="H1813" t="s">
        <v>491</v>
      </c>
      <c r="I1813" t="str">
        <f>VLOOKUP(Table1[[#This Row],[Product_ID]],Product_Dim!$A$2:$G$101,2,FALSE)</f>
        <v>Men's Track Pants-Clothing</v>
      </c>
      <c r="J1813" t="s">
        <v>1629</v>
      </c>
      <c r="K1813" t="str">
        <f>VLOOKUP(Table1[[#This Row],[Store_ID]],Store_Dim!$A$3:$D$22,2,FALSE)</f>
        <v>Martinez, Adkins and Johnson-North</v>
      </c>
      <c r="L1813" t="s">
        <v>1728</v>
      </c>
      <c r="M1813" t="s">
        <v>3958</v>
      </c>
      <c r="N1813" s="3">
        <v>841.47</v>
      </c>
      <c r="O1813" s="4">
        <v>0.15</v>
      </c>
      <c r="P1813" t="s">
        <v>1777</v>
      </c>
      <c r="Q1813" s="4">
        <v>2145.7485000000001</v>
      </c>
    </row>
    <row r="1814" spans="1:17" x14ac:dyDescent="0.3">
      <c r="A1814" t="s">
        <v>3586</v>
      </c>
      <c r="B1814" t="str">
        <f t="shared" si="28"/>
        <v>Q1</v>
      </c>
      <c r="C1814" t="str">
        <f>TEXT(Table1[[#This Row],[Order_Date]],"mmmm")</f>
        <v>February</v>
      </c>
      <c r="D1814">
        <f>YEAR(Table1[[#This Row],[Order_Date]])</f>
        <v>2024</v>
      </c>
      <c r="E1814" s="7">
        <v>45334</v>
      </c>
      <c r="F1814" s="2" t="str">
        <f>VLOOKUP(Table1[[#This Row],[Customer_ID]],Customer_Dim!$A$2:$H$501,2,FALSE)</f>
        <v>Alyssa Vargas</v>
      </c>
      <c r="G1814" s="2" t="str">
        <f>_xlfn.XLOOKUP(Table1[[#This Row],[Customer_ID]],Customer_Dim!$A$2:$A$501,Customer_Dim!$E$2:$E$501)</f>
        <v>New Kathrynland</v>
      </c>
      <c r="H1814" t="s">
        <v>218</v>
      </c>
      <c r="I1814" t="str">
        <f>VLOOKUP(Table1[[#This Row],[Product_ID]],Product_Dim!$A$2:$G$101,2,FALSE)</f>
        <v>Multi-Purpose Storage Box-Home</v>
      </c>
      <c r="J1814" t="s">
        <v>1565</v>
      </c>
      <c r="K1814" t="str">
        <f>VLOOKUP(Table1[[#This Row],[Store_ID]],Store_Dim!$A$3:$D$22,2,FALSE)</f>
        <v>Gardner, Humphrey and Contreras-East</v>
      </c>
      <c r="L1814" t="s">
        <v>1753</v>
      </c>
      <c r="M1814" t="s">
        <v>3960</v>
      </c>
      <c r="N1814" s="3">
        <v>960.41</v>
      </c>
      <c r="O1814" s="4">
        <v>0.18</v>
      </c>
      <c r="P1814" t="s">
        <v>1772</v>
      </c>
      <c r="Q1814" s="4">
        <v>1575.0724</v>
      </c>
    </row>
    <row r="1815" spans="1:17" x14ac:dyDescent="0.3">
      <c r="A1815" t="s">
        <v>3587</v>
      </c>
      <c r="B1815" t="str">
        <f t="shared" si="28"/>
        <v>Q4</v>
      </c>
      <c r="C1815" t="str">
        <f>TEXT(Table1[[#This Row],[Order_Date]],"mmmm")</f>
        <v>December</v>
      </c>
      <c r="D1815">
        <f>YEAR(Table1[[#This Row],[Order_Date]])</f>
        <v>2023</v>
      </c>
      <c r="E1815" s="7">
        <v>45289</v>
      </c>
      <c r="F1815" s="2" t="str">
        <f>VLOOKUP(Table1[[#This Row],[Customer_ID]],Customer_Dim!$A$2:$H$501,2,FALSE)</f>
        <v>Ashley Roberts</v>
      </c>
      <c r="G1815" s="2" t="str">
        <f>_xlfn.XLOOKUP(Table1[[#This Row],[Customer_ID]],Customer_Dim!$A$2:$A$501,Customer_Dim!$E$2:$E$501)</f>
        <v>Josephmouth</v>
      </c>
      <c r="H1815" t="s">
        <v>1379</v>
      </c>
      <c r="I1815" t="str">
        <f>VLOOKUP(Table1[[#This Row],[Product_ID]],Product_Dim!$A$2:$G$101,2,FALSE)</f>
        <v>Women's Ankle Boots-Clothing</v>
      </c>
      <c r="J1815" t="s">
        <v>1673</v>
      </c>
      <c r="K1815" t="str">
        <f>VLOOKUP(Table1[[#This Row],[Store_ID]],Store_Dim!$A$3:$D$22,2,FALSE)</f>
        <v>Guerrero-Schmitt-East</v>
      </c>
      <c r="L1815" t="s">
        <v>1761</v>
      </c>
      <c r="M1815" t="s">
        <v>3958</v>
      </c>
      <c r="N1815" s="3">
        <v>717.22</v>
      </c>
      <c r="O1815" s="4">
        <v>0.24</v>
      </c>
      <c r="P1815" t="s">
        <v>1774</v>
      </c>
      <c r="Q1815" s="4">
        <v>1635.2616</v>
      </c>
    </row>
    <row r="1816" spans="1:17" x14ac:dyDescent="0.3">
      <c r="A1816" t="s">
        <v>3588</v>
      </c>
      <c r="B1816" t="str">
        <f t="shared" si="28"/>
        <v>Q2</v>
      </c>
      <c r="C1816" t="str">
        <f>TEXT(Table1[[#This Row],[Order_Date]],"mmmm")</f>
        <v>June</v>
      </c>
      <c r="D1816">
        <f>YEAR(Table1[[#This Row],[Order_Date]])</f>
        <v>2025</v>
      </c>
      <c r="E1816" s="7">
        <v>45832</v>
      </c>
      <c r="F1816" s="2" t="str">
        <f>VLOOKUP(Table1[[#This Row],[Customer_ID]],Customer_Dim!$A$2:$H$501,2,FALSE)</f>
        <v>Tyler Conrad</v>
      </c>
      <c r="G1816" s="2" t="str">
        <f>_xlfn.XLOOKUP(Table1[[#This Row],[Customer_ID]],Customer_Dim!$A$2:$A$501,Customer_Dim!$E$2:$E$501)</f>
        <v>North Curtischester</v>
      </c>
      <c r="H1816" t="s">
        <v>397</v>
      </c>
      <c r="I1816" t="str">
        <f>VLOOKUP(Table1[[#This Row],[Product_ID]],Product_Dim!$A$2:$G$101,2,FALSE)</f>
        <v>Hair Strengthening Shampoo-Beauty</v>
      </c>
      <c r="J1816" t="s">
        <v>1547</v>
      </c>
      <c r="K1816" t="str">
        <f>VLOOKUP(Table1[[#This Row],[Store_ID]],Store_Dim!$A$3:$D$22,2,FALSE)</f>
        <v>Rivera-Warner-East</v>
      </c>
      <c r="L1816" t="s">
        <v>1725</v>
      </c>
      <c r="M1816" t="s">
        <v>3957</v>
      </c>
      <c r="N1816" s="3">
        <v>281.83</v>
      </c>
      <c r="O1816" s="4">
        <v>0.16</v>
      </c>
      <c r="P1816" t="s">
        <v>1777</v>
      </c>
      <c r="Q1816" s="4">
        <v>236.7372</v>
      </c>
    </row>
    <row r="1817" spans="1:17" x14ac:dyDescent="0.3">
      <c r="A1817" t="s">
        <v>3589</v>
      </c>
      <c r="B1817" t="str">
        <f t="shared" si="28"/>
        <v>Q2</v>
      </c>
      <c r="C1817" t="str">
        <f>TEXT(Table1[[#This Row],[Order_Date]],"mmmm")</f>
        <v>April</v>
      </c>
      <c r="D1817">
        <f>YEAR(Table1[[#This Row],[Order_Date]])</f>
        <v>2024</v>
      </c>
      <c r="E1817" s="7">
        <v>45400</v>
      </c>
      <c r="F1817" s="2" t="str">
        <f>VLOOKUP(Table1[[#This Row],[Customer_ID]],Customer_Dim!$A$2:$H$501,2,FALSE)</f>
        <v>Tiffany Herrera</v>
      </c>
      <c r="G1817" s="2" t="str">
        <f>_xlfn.XLOOKUP(Table1[[#This Row],[Customer_ID]],Customer_Dim!$A$2:$A$501,Customer_Dim!$E$2:$E$501)</f>
        <v>New Dianebury</v>
      </c>
      <c r="H1817" t="s">
        <v>660</v>
      </c>
      <c r="I1817" t="str">
        <f>VLOOKUP(Table1[[#This Row],[Product_ID]],Product_Dim!$A$2:$G$101,2,FALSE)</f>
        <v>Men's Hair Styling Gel-Beauty</v>
      </c>
      <c r="J1817" t="s">
        <v>1641</v>
      </c>
      <c r="K1817" t="str">
        <f>VLOOKUP(Table1[[#This Row],[Store_ID]],Store_Dim!$A$3:$D$22,2,FALSE)</f>
        <v>Mcdonald Inc-South</v>
      </c>
      <c r="L1817" t="s">
        <v>1754</v>
      </c>
      <c r="M1817" t="s">
        <v>3957</v>
      </c>
      <c r="N1817" s="3">
        <v>509.08</v>
      </c>
      <c r="O1817" s="4">
        <v>0.04</v>
      </c>
      <c r="P1817" t="s">
        <v>1774</v>
      </c>
      <c r="Q1817" s="4">
        <v>488.71679999999998</v>
      </c>
    </row>
    <row r="1818" spans="1:17" x14ac:dyDescent="0.3">
      <c r="A1818" t="s">
        <v>3590</v>
      </c>
      <c r="B1818" t="str">
        <f t="shared" si="28"/>
        <v>Q3</v>
      </c>
      <c r="C1818" t="str">
        <f>TEXT(Table1[[#This Row],[Order_Date]],"mmmm")</f>
        <v>September</v>
      </c>
      <c r="D1818">
        <f>YEAR(Table1[[#This Row],[Order_Date]])</f>
        <v>2025</v>
      </c>
      <c r="E1818" s="7">
        <v>45930</v>
      </c>
      <c r="F1818" s="2" t="str">
        <f>VLOOKUP(Table1[[#This Row],[Customer_ID]],Customer_Dim!$A$2:$H$501,2,FALSE)</f>
        <v>Mark Rogers</v>
      </c>
      <c r="G1818" s="2" t="str">
        <f>_xlfn.XLOOKUP(Table1[[#This Row],[Customer_ID]],Customer_Dim!$A$2:$A$501,Customer_Dim!$E$2:$E$501)</f>
        <v>Bookertown</v>
      </c>
      <c r="H1818" t="s">
        <v>1232</v>
      </c>
      <c r="I1818" t="str">
        <f>VLOOKUP(Table1[[#This Row],[Product_ID]],Product_Dim!$A$2:$G$101,2,FALSE)</f>
        <v>Women's Formal Blazer-Clothing</v>
      </c>
      <c r="J1818" t="s">
        <v>1715</v>
      </c>
      <c r="K1818" t="str">
        <f>VLOOKUP(Table1[[#This Row],[Store_ID]],Store_Dim!$A$3:$D$22,2,FALSE)</f>
        <v>Black-Horn-South</v>
      </c>
      <c r="L1818" t="s">
        <v>1730</v>
      </c>
      <c r="M1818" t="s">
        <v>3959</v>
      </c>
      <c r="N1818" s="3">
        <v>827.09</v>
      </c>
      <c r="O1818" s="4">
        <v>0.3</v>
      </c>
      <c r="P1818" t="s">
        <v>1772</v>
      </c>
      <c r="Q1818" s="4">
        <v>2315.8519999999999</v>
      </c>
    </row>
    <row r="1819" spans="1:17" x14ac:dyDescent="0.3">
      <c r="A1819" t="s">
        <v>3591</v>
      </c>
      <c r="B1819" t="str">
        <f t="shared" si="28"/>
        <v>Q4</v>
      </c>
      <c r="C1819" t="str">
        <f>TEXT(Table1[[#This Row],[Order_Date]],"mmmm")</f>
        <v>October</v>
      </c>
      <c r="D1819">
        <f>YEAR(Table1[[#This Row],[Order_Date]])</f>
        <v>2025</v>
      </c>
      <c r="E1819" s="7">
        <v>45935</v>
      </c>
      <c r="F1819" s="2" t="str">
        <f>VLOOKUP(Table1[[#This Row],[Customer_ID]],Customer_Dim!$A$2:$H$501,2,FALSE)</f>
        <v>Antonio Jones</v>
      </c>
      <c r="G1819" s="2" t="str">
        <f>_xlfn.XLOOKUP(Table1[[#This Row],[Customer_ID]],Customer_Dim!$A$2:$A$501,Customer_Dim!$E$2:$E$501)</f>
        <v>Matthewborough</v>
      </c>
      <c r="H1819" t="s">
        <v>678</v>
      </c>
      <c r="I1819" t="str">
        <f>VLOOKUP(Table1[[#This Row],[Product_ID]],Product_Dim!$A$2:$G$101,2,FALSE)</f>
        <v>Fabric Sofa Throw Blanket-Home</v>
      </c>
      <c r="J1819" t="s">
        <v>1581</v>
      </c>
      <c r="K1819" t="str">
        <f>VLOOKUP(Table1[[#This Row],[Store_ID]],Store_Dim!$A$3:$D$22,2,FALSE)</f>
        <v>Alexander Group-South</v>
      </c>
      <c r="L1819" t="s">
        <v>1735</v>
      </c>
      <c r="M1819" t="s">
        <v>3960</v>
      </c>
      <c r="N1819" s="3">
        <v>823.36</v>
      </c>
      <c r="O1819" s="4">
        <v>0.23</v>
      </c>
      <c r="P1819" t="s">
        <v>1772</v>
      </c>
      <c r="Q1819" s="4">
        <v>1267.9744000000001</v>
      </c>
    </row>
    <row r="1820" spans="1:17" x14ac:dyDescent="0.3">
      <c r="A1820" t="s">
        <v>3592</v>
      </c>
      <c r="B1820" t="str">
        <f t="shared" si="28"/>
        <v>Q2</v>
      </c>
      <c r="C1820" t="str">
        <f>TEXT(Table1[[#This Row],[Order_Date]],"mmmm")</f>
        <v>June</v>
      </c>
      <c r="D1820">
        <f>YEAR(Table1[[#This Row],[Order_Date]])</f>
        <v>2025</v>
      </c>
      <c r="E1820" s="7">
        <v>45814</v>
      </c>
      <c r="F1820" s="2" t="str">
        <f>VLOOKUP(Table1[[#This Row],[Customer_ID]],Customer_Dim!$A$2:$H$501,2,FALSE)</f>
        <v>Rick Dominguez</v>
      </c>
      <c r="G1820" s="2" t="str">
        <f>_xlfn.XLOOKUP(Table1[[#This Row],[Customer_ID]],Customer_Dim!$A$2:$A$501,Customer_Dim!$E$2:$E$501)</f>
        <v>North Johnbury</v>
      </c>
      <c r="H1820" t="s">
        <v>462</v>
      </c>
      <c r="I1820" t="str">
        <f>VLOOKUP(Table1[[#This Row],[Product_ID]],Product_Dim!$A$2:$G$101,2,FALSE)</f>
        <v>Wireless Bluetooth Speaker-Electronics</v>
      </c>
      <c r="J1820" t="s">
        <v>1575</v>
      </c>
      <c r="K1820" t="str">
        <f>VLOOKUP(Table1[[#This Row],[Store_ID]],Store_Dim!$A$3:$D$22,2,FALSE)</f>
        <v>Gray Ltd-North</v>
      </c>
      <c r="L1820" t="s">
        <v>1738</v>
      </c>
      <c r="M1820" t="s">
        <v>3959</v>
      </c>
      <c r="N1820" s="3">
        <v>282.18</v>
      </c>
      <c r="O1820" s="4">
        <v>0.13</v>
      </c>
      <c r="P1820" t="s">
        <v>1777</v>
      </c>
      <c r="Q1820" s="4">
        <v>981.9864</v>
      </c>
    </row>
    <row r="1821" spans="1:17" x14ac:dyDescent="0.3">
      <c r="A1821" t="s">
        <v>3593</v>
      </c>
      <c r="B1821" t="str">
        <f t="shared" si="28"/>
        <v>Q1</v>
      </c>
      <c r="C1821" t="str">
        <f>TEXT(Table1[[#This Row],[Order_Date]],"mmmm")</f>
        <v>February</v>
      </c>
      <c r="D1821">
        <f>YEAR(Table1[[#This Row],[Order_Date]])</f>
        <v>2024</v>
      </c>
      <c r="E1821" s="7">
        <v>45323</v>
      </c>
      <c r="F1821" s="2" t="str">
        <f>VLOOKUP(Table1[[#This Row],[Customer_ID]],Customer_Dim!$A$2:$H$501,2,FALSE)</f>
        <v>Thomas Rhodes</v>
      </c>
      <c r="G1821" s="2" t="str">
        <f>_xlfn.XLOOKUP(Table1[[#This Row],[Customer_ID]],Customer_Dim!$A$2:$A$501,Customer_Dim!$E$2:$E$501)</f>
        <v>Port Richard</v>
      </c>
      <c r="H1821" t="s">
        <v>565</v>
      </c>
      <c r="I1821" t="str">
        <f>VLOOKUP(Table1[[#This Row],[Product_ID]],Product_Dim!$A$2:$G$101,2,FALSE)</f>
        <v>Multi-Purpose Storage Box-Home</v>
      </c>
      <c r="J1821" t="s">
        <v>1565</v>
      </c>
      <c r="K1821" t="str">
        <f>VLOOKUP(Table1[[#This Row],[Store_ID]],Store_Dim!$A$3:$D$22,2,FALSE)</f>
        <v>Martinez, Adkins and Johnson-North</v>
      </c>
      <c r="L1821" t="s">
        <v>1728</v>
      </c>
      <c r="M1821" t="s">
        <v>3957</v>
      </c>
      <c r="N1821" s="3">
        <v>486.39</v>
      </c>
      <c r="O1821" s="4">
        <v>0.09</v>
      </c>
      <c r="P1821" t="s">
        <v>1777</v>
      </c>
      <c r="Q1821" s="4">
        <v>442.61489999999998</v>
      </c>
    </row>
    <row r="1822" spans="1:17" x14ac:dyDescent="0.3">
      <c r="A1822" t="s">
        <v>3594</v>
      </c>
      <c r="B1822" t="str">
        <f t="shared" si="28"/>
        <v>Q1</v>
      </c>
      <c r="C1822" t="str">
        <f>TEXT(Table1[[#This Row],[Order_Date]],"mmmm")</f>
        <v>January</v>
      </c>
      <c r="D1822">
        <f>YEAR(Table1[[#This Row],[Order_Date]])</f>
        <v>2024</v>
      </c>
      <c r="E1822" s="7">
        <v>45312</v>
      </c>
      <c r="F1822" s="2" t="str">
        <f>VLOOKUP(Table1[[#This Row],[Customer_ID]],Customer_Dim!$A$2:$H$501,2,FALSE)</f>
        <v>Denise Williams</v>
      </c>
      <c r="G1822" s="2" t="str">
        <f>_xlfn.XLOOKUP(Table1[[#This Row],[Customer_ID]],Customer_Dim!$A$2:$A$501,Customer_Dim!$E$2:$E$501)</f>
        <v>Christianstad</v>
      </c>
      <c r="H1822" t="s">
        <v>171</v>
      </c>
      <c r="I1822" t="str">
        <f>VLOOKUP(Table1[[#This Row],[Product_ID]],Product_Dim!$A$2:$G$101,2,FALSE)</f>
        <v>Women's Denim Jeans-Clothing</v>
      </c>
      <c r="J1822" t="s">
        <v>1559</v>
      </c>
      <c r="K1822" t="str">
        <f>VLOOKUP(Table1[[#This Row],[Store_ID]],Store_Dim!$A$3:$D$22,2,FALSE)</f>
        <v>Johnson-Wright-North</v>
      </c>
      <c r="L1822" t="s">
        <v>1733</v>
      </c>
      <c r="M1822" t="s">
        <v>3960</v>
      </c>
      <c r="N1822" s="3">
        <v>603.62</v>
      </c>
      <c r="O1822" s="4">
        <v>0.18</v>
      </c>
      <c r="P1822" t="s">
        <v>1777</v>
      </c>
      <c r="Q1822" s="4">
        <v>989.93680000000006</v>
      </c>
    </row>
    <row r="1823" spans="1:17" x14ac:dyDescent="0.3">
      <c r="A1823" t="s">
        <v>3595</v>
      </c>
      <c r="B1823" t="str">
        <f t="shared" si="28"/>
        <v>Q3</v>
      </c>
      <c r="C1823" t="str">
        <f>TEXT(Table1[[#This Row],[Order_Date]],"mmmm")</f>
        <v>September</v>
      </c>
      <c r="D1823">
        <f>YEAR(Table1[[#This Row],[Order_Date]])</f>
        <v>2024</v>
      </c>
      <c r="E1823" s="7">
        <v>45554</v>
      </c>
      <c r="F1823" s="2" t="str">
        <f>VLOOKUP(Table1[[#This Row],[Customer_ID]],Customer_Dim!$A$2:$H$501,2,FALSE)</f>
        <v>Rhonda Young</v>
      </c>
      <c r="G1823" s="2" t="str">
        <f>_xlfn.XLOOKUP(Table1[[#This Row],[Customer_ID]],Customer_Dim!$A$2:$A$501,Customer_Dim!$E$2:$E$501)</f>
        <v>Lake Nathanfort</v>
      </c>
      <c r="H1823" t="s">
        <v>491</v>
      </c>
      <c r="I1823" t="str">
        <f>VLOOKUP(Table1[[#This Row],[Product_ID]],Product_Dim!$A$2:$G$101,2,FALSE)</f>
        <v>Men's Casual Sneakers-Clothing</v>
      </c>
      <c r="J1823" t="s">
        <v>1597</v>
      </c>
      <c r="K1823" t="str">
        <f>VLOOKUP(Table1[[#This Row],[Store_ID]],Store_Dim!$A$3:$D$22,2,FALSE)</f>
        <v>Bean, Jones and Park-West</v>
      </c>
      <c r="L1823" t="s">
        <v>1744</v>
      </c>
      <c r="M1823" t="s">
        <v>3958</v>
      </c>
      <c r="N1823" s="3">
        <v>204.17</v>
      </c>
      <c r="O1823" s="4">
        <v>0.1</v>
      </c>
      <c r="P1823" t="s">
        <v>1774</v>
      </c>
      <c r="Q1823" s="4">
        <v>551.25900000000001</v>
      </c>
    </row>
    <row r="1824" spans="1:17" x14ac:dyDescent="0.3">
      <c r="A1824" t="s">
        <v>3596</v>
      </c>
      <c r="B1824" t="str">
        <f t="shared" si="28"/>
        <v>Q1</v>
      </c>
      <c r="C1824" t="str">
        <f>TEXT(Table1[[#This Row],[Order_Date]],"mmmm")</f>
        <v>January</v>
      </c>
      <c r="D1824">
        <f>YEAR(Table1[[#This Row],[Order_Date]])</f>
        <v>2024</v>
      </c>
      <c r="E1824" s="7">
        <v>45310</v>
      </c>
      <c r="F1824" s="2" t="str">
        <f>VLOOKUP(Table1[[#This Row],[Customer_ID]],Customer_Dim!$A$2:$H$501,2,FALSE)</f>
        <v>Rick Dominguez</v>
      </c>
      <c r="G1824" s="2" t="str">
        <f>_xlfn.XLOOKUP(Table1[[#This Row],[Customer_ID]],Customer_Dim!$A$2:$A$501,Customer_Dim!$E$2:$E$501)</f>
        <v>North Johnbury</v>
      </c>
      <c r="H1824" t="s">
        <v>462</v>
      </c>
      <c r="I1824" t="str">
        <f>VLOOKUP(Table1[[#This Row],[Product_ID]],Product_Dim!$A$2:$G$101,2,FALSE)</f>
        <v>Wireless Bluetooth Earbuds-Electronics</v>
      </c>
      <c r="J1824" t="s">
        <v>1539</v>
      </c>
      <c r="K1824" t="str">
        <f>VLOOKUP(Table1[[#This Row],[Store_ID]],Store_Dim!$A$3:$D$22,2,FALSE)</f>
        <v>Shelton PLC-North</v>
      </c>
      <c r="L1824" t="s">
        <v>1755</v>
      </c>
      <c r="M1824" t="s">
        <v>3957</v>
      </c>
      <c r="N1824" s="3">
        <v>43.58</v>
      </c>
      <c r="O1824" s="4">
        <v>0.01</v>
      </c>
      <c r="P1824" t="s">
        <v>1777</v>
      </c>
      <c r="Q1824" s="4">
        <v>43.144199999999998</v>
      </c>
    </row>
    <row r="1825" spans="1:17" x14ac:dyDescent="0.3">
      <c r="A1825" t="s">
        <v>3597</v>
      </c>
      <c r="B1825" t="str">
        <f t="shared" si="28"/>
        <v>Q4</v>
      </c>
      <c r="C1825" t="str">
        <f>TEXT(Table1[[#This Row],[Order_Date]],"mmmm")</f>
        <v>October</v>
      </c>
      <c r="D1825">
        <f>YEAR(Table1[[#This Row],[Order_Date]])</f>
        <v>2024</v>
      </c>
      <c r="E1825" s="7">
        <v>45594</v>
      </c>
      <c r="F1825" s="2" t="str">
        <f>VLOOKUP(Table1[[#This Row],[Customer_ID]],Customer_Dim!$A$2:$H$501,2,FALSE)</f>
        <v>Dr. Lindsay Hanna</v>
      </c>
      <c r="G1825" s="2" t="str">
        <f>_xlfn.XLOOKUP(Table1[[#This Row],[Customer_ID]],Customer_Dim!$A$2:$A$501,Customer_Dim!$E$2:$E$501)</f>
        <v>New Paulstad</v>
      </c>
      <c r="H1825" t="s">
        <v>1033</v>
      </c>
      <c r="I1825" t="str">
        <f>VLOOKUP(Table1[[#This Row],[Product_ID]],Product_Dim!$A$2:$G$101,2,FALSE)</f>
        <v>Makeup Brush Set-Beauty</v>
      </c>
      <c r="J1825" t="s">
        <v>1617</v>
      </c>
      <c r="K1825" t="str">
        <f>VLOOKUP(Table1[[#This Row],[Store_ID]],Store_Dim!$A$3:$D$22,2,FALSE)</f>
        <v>Black-Horn-South</v>
      </c>
      <c r="L1825" t="s">
        <v>1730</v>
      </c>
      <c r="M1825" t="s">
        <v>3958</v>
      </c>
      <c r="N1825" s="3">
        <v>469.33</v>
      </c>
      <c r="O1825" s="4">
        <v>0.14000000000000001</v>
      </c>
      <c r="P1825" t="s">
        <v>1774</v>
      </c>
      <c r="Q1825" s="4">
        <v>1210.8714</v>
      </c>
    </row>
    <row r="1826" spans="1:17" x14ac:dyDescent="0.3">
      <c r="A1826" t="s">
        <v>3598</v>
      </c>
      <c r="B1826" t="str">
        <f t="shared" si="28"/>
        <v>Q3</v>
      </c>
      <c r="C1826" t="str">
        <f>TEXT(Table1[[#This Row],[Order_Date]],"mmmm")</f>
        <v>July</v>
      </c>
      <c r="D1826">
        <f>YEAR(Table1[[#This Row],[Order_Date]])</f>
        <v>2025</v>
      </c>
      <c r="E1826" s="7">
        <v>45840</v>
      </c>
      <c r="F1826" s="2" t="str">
        <f>VLOOKUP(Table1[[#This Row],[Customer_ID]],Customer_Dim!$A$2:$H$501,2,FALSE)</f>
        <v>Joan Johnson</v>
      </c>
      <c r="G1826" s="2" t="str">
        <f>_xlfn.XLOOKUP(Table1[[#This Row],[Customer_ID]],Customer_Dim!$A$2:$A$501,Customer_Dim!$E$2:$E$501)</f>
        <v>Lake Josephport</v>
      </c>
      <c r="H1826" t="s">
        <v>675</v>
      </c>
      <c r="I1826" t="str">
        <f>VLOOKUP(Table1[[#This Row],[Product_ID]],Product_Dim!$A$2:$G$101,2,FALSE)</f>
        <v>Wireless Bluetooth Earbuds-Electronics</v>
      </c>
      <c r="J1826" t="s">
        <v>1539</v>
      </c>
      <c r="K1826" t="str">
        <f>VLOOKUP(Table1[[#This Row],[Store_ID]],Store_Dim!$A$3:$D$22,2,FALSE)</f>
        <v>Bean, Jones and Park-West</v>
      </c>
      <c r="L1826" t="s">
        <v>1744</v>
      </c>
      <c r="M1826" t="s">
        <v>3959</v>
      </c>
      <c r="N1826" s="3">
        <v>836.23</v>
      </c>
      <c r="O1826" s="4">
        <v>0.12</v>
      </c>
      <c r="P1826" t="s">
        <v>1772</v>
      </c>
      <c r="Q1826" s="4">
        <v>2943.5295999999998</v>
      </c>
    </row>
    <row r="1827" spans="1:17" x14ac:dyDescent="0.3">
      <c r="A1827" t="s">
        <v>3599</v>
      </c>
      <c r="B1827" t="str">
        <f t="shared" si="28"/>
        <v>Q3</v>
      </c>
      <c r="C1827" t="str">
        <f>TEXT(Table1[[#This Row],[Order_Date]],"mmmm")</f>
        <v>September</v>
      </c>
      <c r="D1827">
        <f>YEAR(Table1[[#This Row],[Order_Date]])</f>
        <v>2024</v>
      </c>
      <c r="E1827" s="7">
        <v>45549</v>
      </c>
      <c r="F1827" s="2" t="str">
        <f>VLOOKUP(Table1[[#This Row],[Customer_ID]],Customer_Dim!$A$2:$H$501,2,FALSE)</f>
        <v>Michelle Myers</v>
      </c>
      <c r="G1827" s="2" t="str">
        <f>_xlfn.XLOOKUP(Table1[[#This Row],[Customer_ID]],Customer_Dim!$A$2:$A$501,Customer_Dim!$E$2:$E$501)</f>
        <v>West Daniel</v>
      </c>
      <c r="H1827" t="s">
        <v>583</v>
      </c>
      <c r="I1827" t="str">
        <f>VLOOKUP(Table1[[#This Row],[Product_ID]],Product_Dim!$A$2:$G$101,2,FALSE)</f>
        <v>Smart LED Light Strip-Electronics</v>
      </c>
      <c r="J1827" t="s">
        <v>1657</v>
      </c>
      <c r="K1827" t="str">
        <f>VLOOKUP(Table1[[#This Row],[Store_ID]],Store_Dim!$A$3:$D$22,2,FALSE)</f>
        <v>Mann-Austin-East</v>
      </c>
      <c r="L1827" t="s">
        <v>1763</v>
      </c>
      <c r="M1827" t="s">
        <v>3960</v>
      </c>
      <c r="N1827" s="3">
        <v>661.53</v>
      </c>
      <c r="O1827" s="4">
        <v>0.2</v>
      </c>
      <c r="P1827" t="s">
        <v>1774</v>
      </c>
      <c r="Q1827" s="4">
        <v>1058.4480000000001</v>
      </c>
    </row>
    <row r="1828" spans="1:17" x14ac:dyDescent="0.3">
      <c r="A1828" t="s">
        <v>3600</v>
      </c>
      <c r="B1828" t="str">
        <f t="shared" si="28"/>
        <v>Q3</v>
      </c>
      <c r="C1828" t="str">
        <f>TEXT(Table1[[#This Row],[Order_Date]],"mmmm")</f>
        <v>September</v>
      </c>
      <c r="D1828">
        <f>YEAR(Table1[[#This Row],[Order_Date]])</f>
        <v>2025</v>
      </c>
      <c r="E1828" s="7">
        <v>45903</v>
      </c>
      <c r="F1828" s="2" t="str">
        <f>VLOOKUP(Table1[[#This Row],[Customer_ID]],Customer_Dim!$A$2:$H$501,2,FALSE)</f>
        <v>Earl Allen</v>
      </c>
      <c r="G1828" s="2" t="str">
        <f>_xlfn.XLOOKUP(Table1[[#This Row],[Customer_ID]],Customer_Dim!$A$2:$A$501,Customer_Dim!$E$2:$E$501)</f>
        <v>New Jenniferburgh</v>
      </c>
      <c r="H1828" t="s">
        <v>406</v>
      </c>
      <c r="I1828" t="str">
        <f>VLOOKUP(Table1[[#This Row],[Product_ID]],Product_Dim!$A$2:$G$101,2,FALSE)</f>
        <v>Premium Blanket Throw-Home</v>
      </c>
      <c r="J1828" t="s">
        <v>1635</v>
      </c>
      <c r="K1828" t="str">
        <f>VLOOKUP(Table1[[#This Row],[Store_ID]],Store_Dim!$A$3:$D$22,2,FALSE)</f>
        <v>Frederick-Wright-West</v>
      </c>
      <c r="L1828" t="s">
        <v>1757</v>
      </c>
      <c r="M1828" t="s">
        <v>3958</v>
      </c>
      <c r="N1828" s="3">
        <v>753.47</v>
      </c>
      <c r="O1828" s="4">
        <v>0.25</v>
      </c>
      <c r="P1828" t="s">
        <v>1774</v>
      </c>
      <c r="Q1828" s="4">
        <v>1695.3074999999999</v>
      </c>
    </row>
    <row r="1829" spans="1:17" x14ac:dyDescent="0.3">
      <c r="A1829" t="s">
        <v>3601</v>
      </c>
      <c r="B1829" t="str">
        <f t="shared" si="28"/>
        <v>Q1</v>
      </c>
      <c r="C1829" t="str">
        <f>TEXT(Table1[[#This Row],[Order_Date]],"mmmm")</f>
        <v>January</v>
      </c>
      <c r="D1829">
        <f>YEAR(Table1[[#This Row],[Order_Date]])</f>
        <v>2025</v>
      </c>
      <c r="E1829" s="7">
        <v>45673</v>
      </c>
      <c r="F1829" s="2" t="str">
        <f>VLOOKUP(Table1[[#This Row],[Customer_ID]],Customer_Dim!$A$2:$H$501,2,FALSE)</f>
        <v>Maria Sanchez</v>
      </c>
      <c r="G1829" s="2" t="str">
        <f>_xlfn.XLOOKUP(Table1[[#This Row],[Customer_ID]],Customer_Dim!$A$2:$A$501,Customer_Dim!$E$2:$E$501)</f>
        <v>East Peterbury</v>
      </c>
      <c r="H1829" t="s">
        <v>518</v>
      </c>
      <c r="I1829" t="str">
        <f>VLOOKUP(Table1[[#This Row],[Product_ID]],Product_Dim!$A$2:$G$101,2,FALSE)</f>
        <v>Matte Lipstick Set-Beauty</v>
      </c>
      <c r="J1829" t="s">
        <v>1651</v>
      </c>
      <c r="K1829" t="str">
        <f>VLOOKUP(Table1[[#This Row],[Store_ID]],Store_Dim!$A$3:$D$22,2,FALSE)</f>
        <v>Rivera-Warner-East</v>
      </c>
      <c r="L1829" t="s">
        <v>1725</v>
      </c>
      <c r="M1829" t="s">
        <v>3958</v>
      </c>
      <c r="N1829" s="3">
        <v>713.95</v>
      </c>
      <c r="O1829" s="4">
        <v>0.14994047619047621</v>
      </c>
      <c r="P1829" t="s">
        <v>1772</v>
      </c>
      <c r="Q1829" s="4">
        <v>2141.85</v>
      </c>
    </row>
    <row r="1830" spans="1:17" x14ac:dyDescent="0.3">
      <c r="A1830" t="s">
        <v>3602</v>
      </c>
      <c r="B1830" t="str">
        <f t="shared" si="28"/>
        <v>Q2</v>
      </c>
      <c r="C1830" t="str">
        <f>TEXT(Table1[[#This Row],[Order_Date]],"mmmm")</f>
        <v>April</v>
      </c>
      <c r="D1830">
        <f>YEAR(Table1[[#This Row],[Order_Date]])</f>
        <v>2024</v>
      </c>
      <c r="E1830" s="7">
        <v>45395</v>
      </c>
      <c r="F1830" s="2" t="str">
        <f>VLOOKUP(Table1[[#This Row],[Customer_ID]],Customer_Dim!$A$2:$H$501,2,FALSE)</f>
        <v>Sheila Wilson</v>
      </c>
      <c r="G1830" s="2" t="str">
        <f>_xlfn.XLOOKUP(Table1[[#This Row],[Customer_ID]],Customer_Dim!$A$2:$A$501,Customer_Dim!$E$2:$E$501)</f>
        <v>South Dustin</v>
      </c>
      <c r="H1830" t="s">
        <v>348</v>
      </c>
      <c r="I1830" t="str">
        <f>VLOOKUP(Table1[[#This Row],[Product_ID]],Product_Dim!$A$2:$G$101,2,FALSE)</f>
        <v>HD Smart TV Stick-Electronics</v>
      </c>
      <c r="J1830" t="s">
        <v>1545</v>
      </c>
      <c r="K1830" t="str">
        <f>VLOOKUP(Table1[[#This Row],[Store_ID]],Store_Dim!$A$3:$D$22,2,FALSE)</f>
        <v>Gray Ltd-North</v>
      </c>
      <c r="L1830" t="s">
        <v>1738</v>
      </c>
      <c r="M1830" t="s">
        <v>3958</v>
      </c>
      <c r="N1830" s="3">
        <v>596</v>
      </c>
      <c r="O1830" s="4">
        <v>0.28000000000000003</v>
      </c>
      <c r="P1830" t="s">
        <v>1777</v>
      </c>
      <c r="Q1830" s="4">
        <v>1287.3599999999999</v>
      </c>
    </row>
    <row r="1831" spans="1:17" x14ac:dyDescent="0.3">
      <c r="A1831" t="s">
        <v>3603</v>
      </c>
      <c r="B1831" t="str">
        <f t="shared" si="28"/>
        <v>Q1</v>
      </c>
      <c r="C1831" t="str">
        <f>TEXT(Table1[[#This Row],[Order_Date]],"mmmm")</f>
        <v>March</v>
      </c>
      <c r="D1831">
        <f>YEAR(Table1[[#This Row],[Order_Date]])</f>
        <v>2024</v>
      </c>
      <c r="E1831" s="7">
        <v>45379</v>
      </c>
      <c r="F1831" s="2" t="str">
        <f>VLOOKUP(Table1[[#This Row],[Customer_ID]],Customer_Dim!$A$2:$H$501,2,FALSE)</f>
        <v>Mr. Christopher Sims</v>
      </c>
      <c r="G1831" s="2" t="str">
        <f>_xlfn.XLOOKUP(Table1[[#This Row],[Customer_ID]],Customer_Dim!$A$2:$A$501,Customer_Dim!$E$2:$E$501)</f>
        <v>Donaldsontown</v>
      </c>
      <c r="H1831" t="s">
        <v>1039</v>
      </c>
      <c r="I1831" t="str">
        <f>VLOOKUP(Table1[[#This Row],[Product_ID]],Product_Dim!$A$2:$G$101,2,FALSE)</f>
        <v>Adjustable Dumbbell Set-Sports</v>
      </c>
      <c r="J1831" t="s">
        <v>1541</v>
      </c>
      <c r="K1831" t="str">
        <f>VLOOKUP(Table1[[#This Row],[Store_ID]],Store_Dim!$A$3:$D$22,2,FALSE)</f>
        <v>Moore, Padilla and Butler-South</v>
      </c>
      <c r="L1831" t="s">
        <v>1746</v>
      </c>
      <c r="M1831" t="s">
        <v>3960</v>
      </c>
      <c r="N1831" s="3">
        <v>169.46</v>
      </c>
      <c r="O1831" s="4">
        <v>0.03</v>
      </c>
      <c r="P1831" t="s">
        <v>1774</v>
      </c>
      <c r="Q1831" s="4">
        <v>328.75240000000002</v>
      </c>
    </row>
    <row r="1832" spans="1:17" x14ac:dyDescent="0.3">
      <c r="A1832" t="s">
        <v>3604</v>
      </c>
      <c r="B1832" t="str">
        <f t="shared" si="28"/>
        <v>Q3</v>
      </c>
      <c r="C1832" t="str">
        <f>TEXT(Table1[[#This Row],[Order_Date]],"mmmm")</f>
        <v>July</v>
      </c>
      <c r="D1832">
        <f>YEAR(Table1[[#This Row],[Order_Date]])</f>
        <v>2025</v>
      </c>
      <c r="E1832" s="7">
        <v>45860</v>
      </c>
      <c r="F1832" s="2" t="str">
        <f>VLOOKUP(Table1[[#This Row],[Customer_ID]],Customer_Dim!$A$2:$H$501,2,FALSE)</f>
        <v>Matthew Avery</v>
      </c>
      <c r="G1832" s="2" t="str">
        <f>_xlfn.XLOOKUP(Table1[[#This Row],[Customer_ID]],Customer_Dim!$A$2:$A$501,Customer_Dim!$E$2:$E$501)</f>
        <v>Lake Melissashire</v>
      </c>
      <c r="H1832" t="s">
        <v>939</v>
      </c>
      <c r="I1832" t="str">
        <f>VLOOKUP(Table1[[#This Row],[Product_ID]],Product_Dim!$A$2:$G$101,2,FALSE)</f>
        <v>Adjustable Dumbbells 20kg-Sports</v>
      </c>
      <c r="J1832" t="s">
        <v>1653</v>
      </c>
      <c r="K1832" t="str">
        <f>VLOOKUP(Table1[[#This Row],[Store_ID]],Store_Dim!$A$3:$D$22,2,FALSE)</f>
        <v>Mcdonald Inc-South</v>
      </c>
      <c r="L1832" t="s">
        <v>1754</v>
      </c>
      <c r="M1832" t="s">
        <v>3959</v>
      </c>
      <c r="N1832" s="3">
        <v>611.91999999999996</v>
      </c>
      <c r="O1832" s="4">
        <v>0.2</v>
      </c>
      <c r="P1832" t="s">
        <v>1774</v>
      </c>
      <c r="Q1832" s="4">
        <v>1958.144</v>
      </c>
    </row>
    <row r="1833" spans="1:17" x14ac:dyDescent="0.3">
      <c r="A1833" t="s">
        <v>3605</v>
      </c>
      <c r="B1833" t="str">
        <f t="shared" si="28"/>
        <v>Q1</v>
      </c>
      <c r="C1833" t="str">
        <f>TEXT(Table1[[#This Row],[Order_Date]],"mmmm")</f>
        <v>February</v>
      </c>
      <c r="D1833">
        <f>YEAR(Table1[[#This Row],[Order_Date]])</f>
        <v>2025</v>
      </c>
      <c r="E1833" s="7">
        <v>45704</v>
      </c>
      <c r="F1833" s="2" t="str">
        <f>VLOOKUP(Table1[[#This Row],[Customer_ID]],Customer_Dim!$A$2:$H$501,2,FALSE)</f>
        <v>Jeremy Harris</v>
      </c>
      <c r="G1833" s="2" t="str">
        <f>_xlfn.XLOOKUP(Table1[[#This Row],[Customer_ID]],Customer_Dim!$A$2:$A$501,Customer_Dim!$E$2:$E$501)</f>
        <v>Thomastown</v>
      </c>
      <c r="H1833" t="s">
        <v>23</v>
      </c>
      <c r="I1833" t="str">
        <f>VLOOKUP(Table1[[#This Row],[Product_ID]],Product_Dim!$A$2:$G$101,2,FALSE)</f>
        <v>Bluetooth Car Audio System-Electronics</v>
      </c>
      <c r="J1833" t="s">
        <v>1671</v>
      </c>
      <c r="K1833" t="str">
        <f>VLOOKUP(Table1[[#This Row],[Store_ID]],Store_Dim!$A$3:$D$22,2,FALSE)</f>
        <v>Shelton PLC-North</v>
      </c>
      <c r="L1833" t="s">
        <v>1755</v>
      </c>
      <c r="M1833" t="s">
        <v>3960</v>
      </c>
      <c r="N1833" s="3">
        <v>25.3</v>
      </c>
      <c r="O1833" s="4">
        <v>0.21</v>
      </c>
      <c r="P1833" t="s">
        <v>1772</v>
      </c>
      <c r="Q1833" s="4">
        <v>39.973999999999997</v>
      </c>
    </row>
    <row r="1834" spans="1:17" x14ac:dyDescent="0.3">
      <c r="A1834" t="s">
        <v>3606</v>
      </c>
      <c r="B1834" t="str">
        <f t="shared" si="28"/>
        <v>Q1</v>
      </c>
      <c r="C1834" t="str">
        <f>TEXT(Table1[[#This Row],[Order_Date]],"mmmm")</f>
        <v>February</v>
      </c>
      <c r="D1834">
        <f>YEAR(Table1[[#This Row],[Order_Date]])</f>
        <v>2024</v>
      </c>
      <c r="E1834" s="7">
        <v>45327</v>
      </c>
      <c r="F1834" s="2" t="str">
        <f>VLOOKUP(Table1[[#This Row],[Customer_ID]],Customer_Dim!$A$2:$H$501,2,FALSE)</f>
        <v>Thomas Moore</v>
      </c>
      <c r="G1834" s="2" t="str">
        <f>_xlfn.XLOOKUP(Table1[[#This Row],[Customer_ID]],Customer_Dim!$A$2:$A$501,Customer_Dim!$E$2:$E$501)</f>
        <v>Williamsberg</v>
      </c>
      <c r="H1834" t="s">
        <v>1327</v>
      </c>
      <c r="I1834" t="str">
        <f>VLOOKUP(Table1[[#This Row],[Product_ID]],Product_Dim!$A$2:$G$101,2,FALSE)</f>
        <v>Shin Guards – Adult-Sports</v>
      </c>
      <c r="J1834" t="s">
        <v>1669</v>
      </c>
      <c r="K1834" t="str">
        <f>VLOOKUP(Table1[[#This Row],[Store_ID]],Store_Dim!$A$3:$D$22,2,FALSE)</f>
        <v>Hill, Wagner and Ballard-East</v>
      </c>
      <c r="L1834" t="s">
        <v>1748</v>
      </c>
      <c r="M1834" t="s">
        <v>3959</v>
      </c>
      <c r="N1834" s="3">
        <v>166.93</v>
      </c>
      <c r="O1834" s="4">
        <v>0.02</v>
      </c>
      <c r="P1834" t="s">
        <v>1774</v>
      </c>
      <c r="Q1834" s="4">
        <v>654.36559999999997</v>
      </c>
    </row>
    <row r="1835" spans="1:17" x14ac:dyDescent="0.3">
      <c r="A1835" t="s">
        <v>3607</v>
      </c>
      <c r="B1835" t="str">
        <f t="shared" si="28"/>
        <v>Q1</v>
      </c>
      <c r="C1835" t="str">
        <f>TEXT(Table1[[#This Row],[Order_Date]],"mmmm")</f>
        <v>March</v>
      </c>
      <c r="D1835">
        <f>YEAR(Table1[[#This Row],[Order_Date]])</f>
        <v>2025</v>
      </c>
      <c r="E1835" s="7">
        <v>45721</v>
      </c>
      <c r="F1835" s="2" t="str">
        <f>VLOOKUP(Table1[[#This Row],[Customer_ID]],Customer_Dim!$A$2:$H$501,2,FALSE)</f>
        <v>Antonio Leon</v>
      </c>
      <c r="G1835" s="2" t="str">
        <f>_xlfn.XLOOKUP(Table1[[#This Row],[Customer_ID]],Customer_Dim!$A$2:$A$501,Customer_Dim!$E$2:$E$501)</f>
        <v>Morrisville</v>
      </c>
      <c r="H1835" t="s">
        <v>882</v>
      </c>
      <c r="I1835" t="str">
        <f>VLOOKUP(Table1[[#This Row],[Product_ID]],Product_Dim!$A$2:$G$101,2,FALSE)</f>
        <v>Luxury Perfume Spray-Beauty</v>
      </c>
      <c r="J1835" t="s">
        <v>1643</v>
      </c>
      <c r="K1835" t="str">
        <f>VLOOKUP(Table1[[#This Row],[Store_ID]],Store_Dim!$A$3:$D$22,2,FALSE)</f>
        <v>Aguirre-Keller-South</v>
      </c>
      <c r="L1835" t="s">
        <v>1750</v>
      </c>
      <c r="M1835" t="s">
        <v>3959</v>
      </c>
      <c r="N1835" s="3">
        <v>861.55</v>
      </c>
      <c r="O1835" s="4">
        <v>0.12</v>
      </c>
      <c r="P1835" t="s">
        <v>1772</v>
      </c>
      <c r="Q1835" s="4">
        <v>3032.6559999999999</v>
      </c>
    </row>
    <row r="1836" spans="1:17" x14ac:dyDescent="0.3">
      <c r="A1836" t="s">
        <v>3608</v>
      </c>
      <c r="B1836" t="str">
        <f t="shared" si="28"/>
        <v>Q3</v>
      </c>
      <c r="C1836" t="str">
        <f>TEXT(Table1[[#This Row],[Order_Date]],"mmmm")</f>
        <v>July</v>
      </c>
      <c r="D1836">
        <f>YEAR(Table1[[#This Row],[Order_Date]])</f>
        <v>2025</v>
      </c>
      <c r="E1836" s="7">
        <v>45842</v>
      </c>
      <c r="F1836" s="2" t="str">
        <f>VLOOKUP(Table1[[#This Row],[Customer_ID]],Customer_Dim!$A$2:$H$501,2,FALSE)</f>
        <v>Denise Tate</v>
      </c>
      <c r="G1836" s="2" t="str">
        <f>_xlfn.XLOOKUP(Table1[[#This Row],[Customer_ID]],Customer_Dim!$A$2:$A$501,Customer_Dim!$E$2:$E$501)</f>
        <v>Andersonside</v>
      </c>
      <c r="H1836" t="s">
        <v>1115</v>
      </c>
      <c r="I1836" t="str">
        <f>VLOOKUP(Table1[[#This Row],[Product_ID]],Product_Dim!$A$2:$G$101,2,FALSE)</f>
        <v>USB External Hard Drive-Electronics</v>
      </c>
      <c r="J1836" t="s">
        <v>1609</v>
      </c>
      <c r="K1836" t="str">
        <f>VLOOKUP(Table1[[#This Row],[Store_ID]],Store_Dim!$A$3:$D$22,2,FALSE)</f>
        <v>Gray Ltd-North</v>
      </c>
      <c r="L1836" t="s">
        <v>1738</v>
      </c>
      <c r="M1836" t="s">
        <v>3958</v>
      </c>
      <c r="N1836" s="3">
        <v>56.17</v>
      </c>
      <c r="O1836" s="4">
        <v>0.01</v>
      </c>
      <c r="P1836" t="s">
        <v>1777</v>
      </c>
      <c r="Q1836" s="4">
        <v>166.82490000000001</v>
      </c>
    </row>
    <row r="1837" spans="1:17" x14ac:dyDescent="0.3">
      <c r="A1837" t="s">
        <v>3609</v>
      </c>
      <c r="B1837" t="str">
        <f t="shared" si="28"/>
        <v>Q3</v>
      </c>
      <c r="C1837" t="str">
        <f>TEXT(Table1[[#This Row],[Order_Date]],"mmmm")</f>
        <v>July</v>
      </c>
      <c r="D1837">
        <f>YEAR(Table1[[#This Row],[Order_Date]])</f>
        <v>2025</v>
      </c>
      <c r="E1837" s="7">
        <v>45862</v>
      </c>
      <c r="F1837" s="2" t="str">
        <f>VLOOKUP(Table1[[#This Row],[Customer_ID]],Customer_Dim!$A$2:$H$501,2,FALSE)</f>
        <v>Cynthia Payne</v>
      </c>
      <c r="G1837" s="2" t="str">
        <f>_xlfn.XLOOKUP(Table1[[#This Row],[Customer_ID]],Customer_Dim!$A$2:$A$501,Customer_Dim!$E$2:$E$501)</f>
        <v>South Gina</v>
      </c>
      <c r="H1837" t="s">
        <v>842</v>
      </c>
      <c r="I1837" t="str">
        <f>VLOOKUP(Table1[[#This Row],[Product_ID]],Product_Dim!$A$2:$G$101,2,FALSE)</f>
        <v>4K Home Projector-Electronics</v>
      </c>
      <c r="J1837" t="s">
        <v>1553</v>
      </c>
      <c r="K1837" t="str">
        <f>VLOOKUP(Table1[[#This Row],[Store_ID]],Store_Dim!$A$3:$D$22,2,FALSE)</f>
        <v>Mann-Austin-East</v>
      </c>
      <c r="L1837" t="s">
        <v>1763</v>
      </c>
      <c r="M1837" t="s">
        <v>3957</v>
      </c>
      <c r="N1837" s="3">
        <v>582.29</v>
      </c>
      <c r="O1837" s="4">
        <v>0.2</v>
      </c>
      <c r="P1837" t="s">
        <v>1772</v>
      </c>
      <c r="Q1837" s="4">
        <v>465.83199999999999</v>
      </c>
    </row>
    <row r="1838" spans="1:17" x14ac:dyDescent="0.3">
      <c r="A1838" t="s">
        <v>3610</v>
      </c>
      <c r="B1838" t="str">
        <f t="shared" si="28"/>
        <v>Q1</v>
      </c>
      <c r="C1838" t="str">
        <f>TEXT(Table1[[#This Row],[Order_Date]],"mmmm")</f>
        <v>January</v>
      </c>
      <c r="D1838">
        <f>YEAR(Table1[[#This Row],[Order_Date]])</f>
        <v>2025</v>
      </c>
      <c r="E1838" s="7">
        <v>45681</v>
      </c>
      <c r="F1838" s="2" t="str">
        <f>VLOOKUP(Table1[[#This Row],[Customer_ID]],Customer_Dim!$A$2:$H$501,2,FALSE)</f>
        <v>Carol Bishop</v>
      </c>
      <c r="G1838" s="2" t="str">
        <f>_xlfn.XLOOKUP(Table1[[#This Row],[Customer_ID]],Customer_Dim!$A$2:$A$501,Customer_Dim!$E$2:$E$501)</f>
        <v>Lake Saramouth</v>
      </c>
      <c r="H1838" t="s">
        <v>826</v>
      </c>
      <c r="I1838" t="str">
        <f>VLOOKUP(Table1[[#This Row],[Product_ID]],Product_Dim!$A$2:$G$101,2,FALSE)</f>
        <v>Hydrating Face Cleanser-Beauty</v>
      </c>
      <c r="J1838" t="s">
        <v>1689</v>
      </c>
      <c r="K1838" t="str">
        <f>VLOOKUP(Table1[[#This Row],[Store_ID]],Store_Dim!$A$3:$D$22,2,FALSE)</f>
        <v>Rivera-Warner-East</v>
      </c>
      <c r="L1838" t="s">
        <v>1725</v>
      </c>
      <c r="M1838" t="s">
        <v>3958</v>
      </c>
      <c r="N1838" s="3">
        <v>63.96</v>
      </c>
      <c r="O1838" s="4">
        <v>0.02</v>
      </c>
      <c r="P1838" t="s">
        <v>1772</v>
      </c>
      <c r="Q1838" s="4">
        <v>188.04239999999999</v>
      </c>
    </row>
    <row r="1839" spans="1:17" x14ac:dyDescent="0.3">
      <c r="A1839" t="s">
        <v>3611</v>
      </c>
      <c r="B1839" t="str">
        <f t="shared" si="28"/>
        <v>Q2</v>
      </c>
      <c r="C1839" t="str">
        <f>TEXT(Table1[[#This Row],[Order_Date]],"mmmm")</f>
        <v>April</v>
      </c>
      <c r="D1839">
        <f>YEAR(Table1[[#This Row],[Order_Date]])</f>
        <v>2024</v>
      </c>
      <c r="E1839" s="7">
        <v>45392</v>
      </c>
      <c r="F1839" s="2" t="str">
        <f>VLOOKUP(Table1[[#This Row],[Customer_ID]],Customer_Dim!$A$2:$H$501,2,FALSE)</f>
        <v>Michael Thomas</v>
      </c>
      <c r="G1839" s="2" t="str">
        <f>_xlfn.XLOOKUP(Table1[[#This Row],[Customer_ID]],Customer_Dim!$A$2:$A$501,Customer_Dim!$E$2:$E$501)</f>
        <v>Woodmouth</v>
      </c>
      <c r="H1839" t="s">
        <v>238</v>
      </c>
      <c r="I1839" t="str">
        <f>VLOOKUP(Table1[[#This Row],[Product_ID]],Product_Dim!$A$2:$G$101,2,FALSE)</f>
        <v>Adjustable Dumbbell Set-Sports</v>
      </c>
      <c r="J1839" t="s">
        <v>1541</v>
      </c>
      <c r="K1839" t="str">
        <f>VLOOKUP(Table1[[#This Row],[Store_ID]],Store_Dim!$A$3:$D$22,2,FALSE)</f>
        <v>Thomas, Bridges and Harris-North</v>
      </c>
      <c r="L1839" t="s">
        <v>1751</v>
      </c>
      <c r="M1839" t="s">
        <v>3957</v>
      </c>
      <c r="N1839" s="3">
        <v>829.83</v>
      </c>
      <c r="O1839" s="4">
        <v>0.26</v>
      </c>
      <c r="P1839" t="s">
        <v>1777</v>
      </c>
      <c r="Q1839" s="4">
        <v>614.07420000000002</v>
      </c>
    </row>
    <row r="1840" spans="1:17" x14ac:dyDescent="0.3">
      <c r="A1840" t="s">
        <v>3612</v>
      </c>
      <c r="B1840" t="str">
        <f t="shared" si="28"/>
        <v>Q4</v>
      </c>
      <c r="C1840" t="str">
        <f>TEXT(Table1[[#This Row],[Order_Date]],"mmmm")</f>
        <v>October</v>
      </c>
      <c r="D1840">
        <f>YEAR(Table1[[#This Row],[Order_Date]])</f>
        <v>2024</v>
      </c>
      <c r="E1840" s="7">
        <v>45586</v>
      </c>
      <c r="F1840" s="2" t="str">
        <f>VLOOKUP(Table1[[#This Row],[Customer_ID]],Customer_Dim!$A$2:$H$501,2,FALSE)</f>
        <v>James Holloway Jr.</v>
      </c>
      <c r="G1840" s="2" t="str">
        <f>_xlfn.XLOOKUP(Table1[[#This Row],[Customer_ID]],Customer_Dim!$A$2:$A$501,Customer_Dim!$E$2:$E$501)</f>
        <v>Millston</v>
      </c>
      <c r="H1840" t="s">
        <v>1144</v>
      </c>
      <c r="I1840" t="str">
        <f>VLOOKUP(Table1[[#This Row],[Product_ID]],Product_Dim!$A$2:$G$101,2,FALSE)</f>
        <v>Gaming Mechanical Keyboard-Electronics</v>
      </c>
      <c r="J1840" t="s">
        <v>1591</v>
      </c>
      <c r="K1840" t="str">
        <f>VLOOKUP(Table1[[#This Row],[Store_ID]],Store_Dim!$A$3:$D$22,2,FALSE)</f>
        <v>Frederick-Wright-West</v>
      </c>
      <c r="L1840" t="s">
        <v>1757</v>
      </c>
      <c r="M1840" t="s">
        <v>3960</v>
      </c>
      <c r="N1840" s="3">
        <v>858.15</v>
      </c>
      <c r="O1840" s="4">
        <v>0.03</v>
      </c>
      <c r="P1840" t="s">
        <v>1772</v>
      </c>
      <c r="Q1840" s="4">
        <v>1664.8109999999999</v>
      </c>
    </row>
    <row r="1841" spans="1:17" x14ac:dyDescent="0.3">
      <c r="A1841" t="s">
        <v>3613</v>
      </c>
      <c r="B1841" t="str">
        <f t="shared" si="28"/>
        <v>Q1</v>
      </c>
      <c r="C1841" t="str">
        <f>TEXT(Table1[[#This Row],[Order_Date]],"mmmm")</f>
        <v>February</v>
      </c>
      <c r="D1841">
        <f>YEAR(Table1[[#This Row],[Order_Date]])</f>
        <v>2024</v>
      </c>
      <c r="E1841" s="7">
        <v>45340</v>
      </c>
      <c r="F1841" s="2" t="str">
        <f>VLOOKUP(Table1[[#This Row],[Customer_ID]],Customer_Dim!$A$2:$H$501,2,FALSE)</f>
        <v>Melanie Lam</v>
      </c>
      <c r="G1841" s="2" t="str">
        <f>_xlfn.XLOOKUP(Table1[[#This Row],[Customer_ID]],Customer_Dim!$A$2:$A$501,Customer_Dim!$E$2:$E$501)</f>
        <v>East Michaelton</v>
      </c>
      <c r="H1841" t="s">
        <v>1112</v>
      </c>
      <c r="I1841" t="str">
        <f>VLOOKUP(Table1[[#This Row],[Product_ID]],Product_Dim!$A$2:$G$101,2,FALSE)</f>
        <v>Shin Guards – Adult-Sports</v>
      </c>
      <c r="J1841" t="s">
        <v>1669</v>
      </c>
      <c r="K1841" t="str">
        <f>VLOOKUP(Table1[[#This Row],[Store_ID]],Store_Dim!$A$3:$D$22,2,FALSE)</f>
        <v>Gardner, Humphrey and Contreras-East</v>
      </c>
      <c r="L1841" t="s">
        <v>1753</v>
      </c>
      <c r="M1841" t="s">
        <v>3958</v>
      </c>
      <c r="N1841" s="3">
        <v>717.32</v>
      </c>
      <c r="O1841" s="4">
        <v>0.23</v>
      </c>
      <c r="P1841" t="s">
        <v>1777</v>
      </c>
      <c r="Q1841" s="4">
        <v>1657.0092</v>
      </c>
    </row>
    <row r="1842" spans="1:17" x14ac:dyDescent="0.3">
      <c r="A1842" t="s">
        <v>3614</v>
      </c>
      <c r="B1842" t="str">
        <f t="shared" si="28"/>
        <v>Q3</v>
      </c>
      <c r="C1842" t="str">
        <f>TEXT(Table1[[#This Row],[Order_Date]],"mmmm")</f>
        <v>July</v>
      </c>
      <c r="D1842">
        <f>YEAR(Table1[[#This Row],[Order_Date]])</f>
        <v>2025</v>
      </c>
      <c r="E1842" s="7">
        <v>45853</v>
      </c>
      <c r="F1842" s="2" t="str">
        <f>VLOOKUP(Table1[[#This Row],[Customer_ID]],Customer_Dim!$A$2:$H$501,2,FALSE)</f>
        <v>Samuel Mullins</v>
      </c>
      <c r="G1842" s="2" t="str">
        <f>_xlfn.XLOOKUP(Table1[[#This Row],[Customer_ID]],Customer_Dim!$A$2:$A$501,Customer_Dim!$E$2:$E$501)</f>
        <v>Hartmouth</v>
      </c>
      <c r="H1842" t="s">
        <v>1312</v>
      </c>
      <c r="I1842" t="str">
        <f>VLOOKUP(Table1[[#This Row],[Product_ID]],Product_Dim!$A$2:$G$101,2,FALSE)</f>
        <v>Hydrating Face Cleanser-Beauty</v>
      </c>
      <c r="J1842" t="s">
        <v>1689</v>
      </c>
      <c r="K1842" t="str">
        <f>VLOOKUP(Table1[[#This Row],[Store_ID]],Store_Dim!$A$3:$D$22,2,FALSE)</f>
        <v>Thomas, Bridges and Harris-North</v>
      </c>
      <c r="L1842" t="s">
        <v>1751</v>
      </c>
      <c r="M1842" t="s">
        <v>3957</v>
      </c>
      <c r="N1842" s="3">
        <v>163.19999999999999</v>
      </c>
      <c r="O1842" s="4">
        <v>0.22</v>
      </c>
      <c r="P1842" t="s">
        <v>1774</v>
      </c>
      <c r="Q1842" s="4">
        <v>127.29600000000001</v>
      </c>
    </row>
    <row r="1843" spans="1:17" x14ac:dyDescent="0.3">
      <c r="A1843" t="s">
        <v>3615</v>
      </c>
      <c r="B1843" t="str">
        <f t="shared" si="28"/>
        <v>Q3</v>
      </c>
      <c r="C1843" t="str">
        <f>TEXT(Table1[[#This Row],[Order_Date]],"mmmm")</f>
        <v>July</v>
      </c>
      <c r="D1843">
        <f>YEAR(Table1[[#This Row],[Order_Date]])</f>
        <v>2024</v>
      </c>
      <c r="E1843" s="7">
        <v>45489</v>
      </c>
      <c r="F1843" s="2" t="str">
        <f>VLOOKUP(Table1[[#This Row],[Customer_ID]],Customer_Dim!$A$2:$H$501,2,FALSE)</f>
        <v>James Wolfe</v>
      </c>
      <c r="G1843" s="2" t="str">
        <f>_xlfn.XLOOKUP(Table1[[#This Row],[Customer_ID]],Customer_Dim!$A$2:$A$501,Customer_Dim!$E$2:$E$501)</f>
        <v>Benjaminton</v>
      </c>
      <c r="H1843" t="s">
        <v>430</v>
      </c>
      <c r="I1843" t="str">
        <f>VLOOKUP(Table1[[#This Row],[Product_ID]],Product_Dim!$A$2:$G$101,2,FALSE)</f>
        <v>Badminton Racket Set-Sports</v>
      </c>
      <c r="J1843" t="s">
        <v>1685</v>
      </c>
      <c r="K1843" t="str">
        <f>VLOOKUP(Table1[[#This Row],[Store_ID]],Store_Dim!$A$3:$D$22,2,FALSE)</f>
        <v>Thomas, Bridges and Harris-North</v>
      </c>
      <c r="L1843" t="s">
        <v>1751</v>
      </c>
      <c r="M1843" t="s">
        <v>3960</v>
      </c>
      <c r="N1843" s="3">
        <v>966.71</v>
      </c>
      <c r="O1843" s="4">
        <v>0.11</v>
      </c>
      <c r="P1843" t="s">
        <v>1772</v>
      </c>
      <c r="Q1843" s="4">
        <v>1720.7438</v>
      </c>
    </row>
    <row r="1844" spans="1:17" x14ac:dyDescent="0.3">
      <c r="A1844" t="s">
        <v>3616</v>
      </c>
      <c r="B1844" t="str">
        <f t="shared" si="28"/>
        <v>Q2</v>
      </c>
      <c r="C1844" t="str">
        <f>TEXT(Table1[[#This Row],[Order_Date]],"mmmm")</f>
        <v>April</v>
      </c>
      <c r="D1844">
        <f>YEAR(Table1[[#This Row],[Order_Date]])</f>
        <v>2025</v>
      </c>
      <c r="E1844" s="7">
        <v>45761</v>
      </c>
      <c r="F1844" s="2" t="str">
        <f>VLOOKUP(Table1[[#This Row],[Customer_ID]],Customer_Dim!$A$2:$H$501,2,FALSE)</f>
        <v>Sherry Cabrera</v>
      </c>
      <c r="G1844" s="2" t="str">
        <f>_xlfn.XLOOKUP(Table1[[#This Row],[Customer_ID]],Customer_Dim!$A$2:$A$501,Customer_Dim!$E$2:$E$501)</f>
        <v>Shannonview</v>
      </c>
      <c r="H1844" t="s">
        <v>1080</v>
      </c>
      <c r="I1844" t="str">
        <f>VLOOKUP(Table1[[#This Row],[Product_ID]],Product_Dim!$A$2:$G$101,2,FALSE)</f>
        <v>Bedroom Table Lamp-Home</v>
      </c>
      <c r="J1844" t="s">
        <v>1593</v>
      </c>
      <c r="K1844" t="str">
        <f>VLOOKUP(Table1[[#This Row],[Store_ID]],Store_Dim!$A$3:$D$22,2,FALSE)</f>
        <v>Gardner, Humphrey and Contreras-East</v>
      </c>
      <c r="L1844" t="s">
        <v>1753</v>
      </c>
      <c r="M1844" t="s">
        <v>3960</v>
      </c>
      <c r="N1844" s="3">
        <v>873.94</v>
      </c>
      <c r="O1844" s="4">
        <v>0.14000000000000001</v>
      </c>
      <c r="P1844" t="s">
        <v>1777</v>
      </c>
      <c r="Q1844" s="4">
        <v>1503.1768</v>
      </c>
    </row>
    <row r="1845" spans="1:17" x14ac:dyDescent="0.3">
      <c r="A1845" t="s">
        <v>3617</v>
      </c>
      <c r="B1845" t="str">
        <f t="shared" si="28"/>
        <v>Q1</v>
      </c>
      <c r="C1845" t="str">
        <f>TEXT(Table1[[#This Row],[Order_Date]],"mmmm")</f>
        <v>March</v>
      </c>
      <c r="D1845">
        <f>YEAR(Table1[[#This Row],[Order_Date]])</f>
        <v>2024</v>
      </c>
      <c r="E1845" s="7">
        <v>45379</v>
      </c>
      <c r="F1845" s="2" t="str">
        <f>VLOOKUP(Table1[[#This Row],[Customer_ID]],Customer_Dim!$A$2:$H$501,2,FALSE)</f>
        <v>Denise Griffin</v>
      </c>
      <c r="G1845" s="2" t="str">
        <f>_xlfn.XLOOKUP(Table1[[#This Row],[Customer_ID]],Customer_Dim!$A$2:$A$501,Customer_Dim!$E$2:$E$501)</f>
        <v>West Markhaven</v>
      </c>
      <c r="H1845" t="s">
        <v>497</v>
      </c>
      <c r="I1845" t="str">
        <f>VLOOKUP(Table1[[#This Row],[Product_ID]],Product_Dim!$A$2:$G$101,2,FALSE)</f>
        <v>Brother Laser Printer-Electronics</v>
      </c>
      <c r="J1845" t="s">
        <v>1523</v>
      </c>
      <c r="K1845" t="str">
        <f>VLOOKUP(Table1[[#This Row],[Store_ID]],Store_Dim!$A$3:$D$22,2,FALSE)</f>
        <v>Johnson-Wright-North</v>
      </c>
      <c r="L1845" t="s">
        <v>1733</v>
      </c>
      <c r="M1845" t="s">
        <v>3957</v>
      </c>
      <c r="N1845" s="3">
        <v>140.24</v>
      </c>
      <c r="O1845" s="4">
        <v>0.27</v>
      </c>
      <c r="P1845" t="s">
        <v>1772</v>
      </c>
      <c r="Q1845" s="4">
        <v>102.37520000000001</v>
      </c>
    </row>
    <row r="1846" spans="1:17" x14ac:dyDescent="0.3">
      <c r="A1846" t="s">
        <v>3618</v>
      </c>
      <c r="B1846" t="str">
        <f t="shared" si="28"/>
        <v>Q1</v>
      </c>
      <c r="C1846" t="str">
        <f>TEXT(Table1[[#This Row],[Order_Date]],"mmmm")</f>
        <v>February</v>
      </c>
      <c r="D1846">
        <f>YEAR(Table1[[#This Row],[Order_Date]])</f>
        <v>2025</v>
      </c>
      <c r="E1846" s="7">
        <v>45716</v>
      </c>
      <c r="F1846" s="2" t="str">
        <f>VLOOKUP(Table1[[#This Row],[Customer_ID]],Customer_Dim!$A$2:$H$501,2,FALSE)</f>
        <v>Mary Boyd</v>
      </c>
      <c r="G1846" s="2" t="str">
        <f>_xlfn.XLOOKUP(Table1[[#This Row],[Customer_ID]],Customer_Dim!$A$2:$A$501,Customer_Dim!$E$2:$E$501)</f>
        <v>New Logan</v>
      </c>
      <c r="H1846" t="s">
        <v>651</v>
      </c>
      <c r="I1846" t="str">
        <f>VLOOKUP(Table1[[#This Row],[Product_ID]],Product_Dim!$A$2:$G$101,2,FALSE)</f>
        <v>USB External Hard Drive-Electronics</v>
      </c>
      <c r="J1846" t="s">
        <v>1609</v>
      </c>
      <c r="K1846" t="str">
        <f>VLOOKUP(Table1[[#This Row],[Store_ID]],Store_Dim!$A$3:$D$22,2,FALSE)</f>
        <v>Gray Ltd-North</v>
      </c>
      <c r="L1846" t="s">
        <v>1738</v>
      </c>
      <c r="M1846" t="s">
        <v>3960</v>
      </c>
      <c r="N1846" s="3">
        <v>549.91999999999996</v>
      </c>
      <c r="O1846" s="4">
        <v>0.28000000000000003</v>
      </c>
      <c r="P1846" t="s">
        <v>1772</v>
      </c>
      <c r="Q1846" s="4">
        <v>791.88479999999993</v>
      </c>
    </row>
    <row r="1847" spans="1:17" x14ac:dyDescent="0.3">
      <c r="A1847" t="s">
        <v>3619</v>
      </c>
      <c r="B1847" t="str">
        <f t="shared" si="28"/>
        <v>Q1</v>
      </c>
      <c r="C1847" t="str">
        <f>TEXT(Table1[[#This Row],[Order_Date]],"mmmm")</f>
        <v>March</v>
      </c>
      <c r="D1847">
        <f>YEAR(Table1[[#This Row],[Order_Date]])</f>
        <v>2024</v>
      </c>
      <c r="E1847" s="7">
        <v>45364</v>
      </c>
      <c r="F1847" s="2" t="str">
        <f>VLOOKUP(Table1[[#This Row],[Customer_ID]],Customer_Dim!$A$2:$H$501,2,FALSE)</f>
        <v>Julie Farmer</v>
      </c>
      <c r="G1847" s="2" t="str">
        <f>_xlfn.XLOOKUP(Table1[[#This Row],[Customer_ID]],Customer_Dim!$A$2:$A$501,Customer_Dim!$E$2:$E$501)</f>
        <v>Rodriguezmouth</v>
      </c>
      <c r="H1847" t="s">
        <v>385</v>
      </c>
      <c r="I1847" t="str">
        <f>VLOOKUP(Table1[[#This Row],[Product_ID]],Product_Dim!$A$2:$G$101,2,FALSE)</f>
        <v>Soccer Training Cone Set-Sports</v>
      </c>
      <c r="J1847" t="s">
        <v>1557</v>
      </c>
      <c r="K1847" t="str">
        <f>VLOOKUP(Table1[[#This Row],[Store_ID]],Store_Dim!$A$3:$D$22,2,FALSE)</f>
        <v>Gray Ltd-North</v>
      </c>
      <c r="L1847" t="s">
        <v>1738</v>
      </c>
      <c r="M1847" t="s">
        <v>3959</v>
      </c>
      <c r="N1847" s="3">
        <v>715.88</v>
      </c>
      <c r="O1847" s="4">
        <v>0.19</v>
      </c>
      <c r="P1847" t="s">
        <v>1774</v>
      </c>
      <c r="Q1847" s="4">
        <v>2319.4512</v>
      </c>
    </row>
    <row r="1848" spans="1:17" x14ac:dyDescent="0.3">
      <c r="A1848" t="s">
        <v>3620</v>
      </c>
      <c r="B1848" t="str">
        <f t="shared" si="28"/>
        <v>Q2</v>
      </c>
      <c r="C1848" t="str">
        <f>TEXT(Table1[[#This Row],[Order_Date]],"mmmm")</f>
        <v>April</v>
      </c>
      <c r="D1848">
        <f>YEAR(Table1[[#This Row],[Order_Date]])</f>
        <v>2025</v>
      </c>
      <c r="E1848" s="7">
        <v>45752</v>
      </c>
      <c r="F1848" s="2" t="str">
        <f>VLOOKUP(Table1[[#This Row],[Customer_ID]],Customer_Dim!$A$2:$H$501,2,FALSE)</f>
        <v>Michael Garner</v>
      </c>
      <c r="G1848" s="2" t="str">
        <f>_xlfn.XLOOKUP(Table1[[#This Row],[Customer_ID]],Customer_Dim!$A$2:$A$501,Customer_Dim!$E$2:$E$501)</f>
        <v>Port Crystal</v>
      </c>
      <c r="H1848" t="s">
        <v>1147</v>
      </c>
      <c r="I1848" t="str">
        <f>VLOOKUP(Table1[[#This Row],[Product_ID]],Product_Dim!$A$2:$G$101,2,FALSE)</f>
        <v>Women's Casual Hoodie-Clothing</v>
      </c>
      <c r="J1848" t="s">
        <v>1527</v>
      </c>
      <c r="K1848" t="str">
        <f>VLOOKUP(Table1[[#This Row],[Store_ID]],Store_Dim!$A$3:$D$22,2,FALSE)</f>
        <v>Bean, Jones and Park-West</v>
      </c>
      <c r="L1848" t="s">
        <v>1744</v>
      </c>
      <c r="M1848" t="s">
        <v>3958</v>
      </c>
      <c r="N1848" s="3">
        <v>591.9</v>
      </c>
      <c r="O1848" s="4">
        <v>0.27</v>
      </c>
      <c r="P1848" t="s">
        <v>1772</v>
      </c>
      <c r="Q1848" s="4">
        <v>1296.261</v>
      </c>
    </row>
    <row r="1849" spans="1:17" x14ac:dyDescent="0.3">
      <c r="A1849" t="s">
        <v>3621</v>
      </c>
      <c r="B1849" t="str">
        <f t="shared" si="28"/>
        <v>Q3</v>
      </c>
      <c r="C1849" t="str">
        <f>TEXT(Table1[[#This Row],[Order_Date]],"mmmm")</f>
        <v>August</v>
      </c>
      <c r="D1849">
        <f>YEAR(Table1[[#This Row],[Order_Date]])</f>
        <v>2025</v>
      </c>
      <c r="E1849" s="7">
        <v>45883</v>
      </c>
      <c r="F1849" s="2" t="str">
        <f>VLOOKUP(Table1[[#This Row],[Customer_ID]],Customer_Dim!$A$2:$H$501,2,FALSE)</f>
        <v>Joshua Bell</v>
      </c>
      <c r="G1849" s="2" t="str">
        <f>_xlfn.XLOOKUP(Table1[[#This Row],[Customer_ID]],Customer_Dim!$A$2:$A$501,Customer_Dim!$E$2:$E$501)</f>
        <v>Port Richardshire</v>
      </c>
      <c r="H1849" t="s">
        <v>1159</v>
      </c>
      <c r="I1849" t="str">
        <f>VLOOKUP(Table1[[#This Row],[Product_ID]],Product_Dim!$A$2:$G$101,2,FALSE)</f>
        <v>Carbon Fiber Tennis Racket-Sports</v>
      </c>
      <c r="J1849" t="s">
        <v>1567</v>
      </c>
      <c r="K1849" t="str">
        <f>VLOOKUP(Table1[[#This Row],[Store_ID]],Store_Dim!$A$3:$D$22,2,FALSE)</f>
        <v>Hill, Wagner and Ballard-East</v>
      </c>
      <c r="L1849" t="s">
        <v>1748</v>
      </c>
      <c r="M1849" t="s">
        <v>3960</v>
      </c>
      <c r="N1849" s="3">
        <v>523.14</v>
      </c>
      <c r="O1849" s="4">
        <v>0.13</v>
      </c>
      <c r="P1849" t="s">
        <v>1774</v>
      </c>
      <c r="Q1849" s="4">
        <v>910.2636</v>
      </c>
    </row>
    <row r="1850" spans="1:17" x14ac:dyDescent="0.3">
      <c r="A1850" t="s">
        <v>3622</v>
      </c>
      <c r="B1850" t="str">
        <f t="shared" si="28"/>
        <v>Q3</v>
      </c>
      <c r="C1850" t="str">
        <f>TEXT(Table1[[#This Row],[Order_Date]],"mmmm")</f>
        <v>July</v>
      </c>
      <c r="D1850">
        <f>YEAR(Table1[[#This Row],[Order_Date]])</f>
        <v>2024</v>
      </c>
      <c r="E1850" s="7">
        <v>45477</v>
      </c>
      <c r="F1850" s="2" t="str">
        <f>VLOOKUP(Table1[[#This Row],[Customer_ID]],Customer_Dim!$A$2:$H$501,2,FALSE)</f>
        <v>Alexis Castaneda</v>
      </c>
      <c r="G1850" s="2" t="str">
        <f>_xlfn.XLOOKUP(Table1[[#This Row],[Customer_ID]],Customer_Dim!$A$2:$A$501,Customer_Dim!$E$2:$E$501)</f>
        <v>Morrisbury</v>
      </c>
      <c r="H1850" t="s">
        <v>724</v>
      </c>
      <c r="I1850" t="str">
        <f>VLOOKUP(Table1[[#This Row],[Product_ID]],Product_Dim!$A$2:$G$101,2,FALSE)</f>
        <v>Men's Sports Shorts-Clothing</v>
      </c>
      <c r="J1850" t="s">
        <v>1661</v>
      </c>
      <c r="K1850" t="str">
        <f>VLOOKUP(Table1[[#This Row],[Store_ID]],Store_Dim!$A$3:$D$22,2,FALSE)</f>
        <v>Mcdonald Inc-South</v>
      </c>
      <c r="L1850" t="s">
        <v>1754</v>
      </c>
      <c r="M1850" t="s">
        <v>3960</v>
      </c>
      <c r="N1850" s="3">
        <v>478.62</v>
      </c>
      <c r="O1850" s="4">
        <v>0.17</v>
      </c>
      <c r="P1850" t="s">
        <v>1777</v>
      </c>
      <c r="Q1850" s="4">
        <v>794.50919999999996</v>
      </c>
    </row>
    <row r="1851" spans="1:17" x14ac:dyDescent="0.3">
      <c r="A1851" t="s">
        <v>3623</v>
      </c>
      <c r="B1851" t="str">
        <f t="shared" si="28"/>
        <v>Q3</v>
      </c>
      <c r="C1851" t="str">
        <f>TEXT(Table1[[#This Row],[Order_Date]],"mmmm")</f>
        <v>September</v>
      </c>
      <c r="D1851">
        <f>YEAR(Table1[[#This Row],[Order_Date]])</f>
        <v>2024</v>
      </c>
      <c r="E1851" s="7">
        <v>45556</v>
      </c>
      <c r="F1851" s="2" t="str">
        <f>VLOOKUP(Table1[[#This Row],[Customer_ID]],Customer_Dim!$A$2:$H$501,2,FALSE)</f>
        <v>Stephanie Jacobs</v>
      </c>
      <c r="G1851" s="2" t="str">
        <f>_xlfn.XLOOKUP(Table1[[#This Row],[Customer_ID]],Customer_Dim!$A$2:$A$501,Customer_Dim!$E$2:$E$501)</f>
        <v>West Robinmouth</v>
      </c>
      <c r="H1851" t="s">
        <v>936</v>
      </c>
      <c r="I1851" t="str">
        <f>VLOOKUP(Table1[[#This Row],[Product_ID]],Product_Dim!$A$2:$G$101,2,FALSE)</f>
        <v>Fitness Resistance Bands-Sports</v>
      </c>
      <c r="J1851" t="s">
        <v>1687</v>
      </c>
      <c r="K1851" t="str">
        <f>VLOOKUP(Table1[[#This Row],[Store_ID]],Store_Dim!$A$3:$D$22,2,FALSE)</f>
        <v>Martinez, Adkins and Johnson-North</v>
      </c>
      <c r="L1851" t="s">
        <v>1728</v>
      </c>
      <c r="M1851" t="s">
        <v>3959</v>
      </c>
      <c r="N1851" s="3">
        <v>740.5</v>
      </c>
      <c r="O1851" s="4">
        <v>0.17</v>
      </c>
      <c r="P1851" t="s">
        <v>1774</v>
      </c>
      <c r="Q1851" s="4">
        <v>2458.46</v>
      </c>
    </row>
    <row r="1852" spans="1:17" x14ac:dyDescent="0.3">
      <c r="A1852" t="s">
        <v>3624</v>
      </c>
      <c r="B1852" t="str">
        <f t="shared" si="28"/>
        <v>Q2</v>
      </c>
      <c r="C1852" t="str">
        <f>TEXT(Table1[[#This Row],[Order_Date]],"mmmm")</f>
        <v>June</v>
      </c>
      <c r="D1852">
        <f>YEAR(Table1[[#This Row],[Order_Date]])</f>
        <v>2024</v>
      </c>
      <c r="E1852" s="7">
        <v>45465</v>
      </c>
      <c r="F1852" s="2" t="str">
        <f>VLOOKUP(Table1[[#This Row],[Customer_ID]],Customer_Dim!$A$2:$H$501,2,FALSE)</f>
        <v>David Cole</v>
      </c>
      <c r="G1852" s="2" t="str">
        <f>_xlfn.XLOOKUP(Table1[[#This Row],[Customer_ID]],Customer_Dim!$A$2:$A$501,Customer_Dim!$E$2:$E$501)</f>
        <v>Lake Michael</v>
      </c>
      <c r="H1852" t="s">
        <v>388</v>
      </c>
      <c r="I1852" t="str">
        <f>VLOOKUP(Table1[[#This Row],[Product_ID]],Product_Dim!$A$2:$G$101,2,FALSE)</f>
        <v>Men's Winter Jacket-Clothing</v>
      </c>
      <c r="J1852" t="s">
        <v>1615</v>
      </c>
      <c r="K1852" t="str">
        <f>VLOOKUP(Table1[[#This Row],[Store_ID]],Store_Dim!$A$3:$D$22,2,FALSE)</f>
        <v>Black-Horn-South</v>
      </c>
      <c r="L1852" t="s">
        <v>1730</v>
      </c>
      <c r="M1852" t="s">
        <v>3957</v>
      </c>
      <c r="N1852" s="3">
        <v>780.24</v>
      </c>
      <c r="O1852" s="4">
        <v>0.04</v>
      </c>
      <c r="P1852" t="s">
        <v>1777</v>
      </c>
      <c r="Q1852" s="4">
        <v>749.03039999999999</v>
      </c>
    </row>
    <row r="1853" spans="1:17" x14ac:dyDescent="0.3">
      <c r="A1853" t="s">
        <v>3625</v>
      </c>
      <c r="B1853" t="str">
        <f t="shared" si="28"/>
        <v>Q3</v>
      </c>
      <c r="C1853" t="str">
        <f>TEXT(Table1[[#This Row],[Order_Date]],"mmmm")</f>
        <v>September</v>
      </c>
      <c r="D1853">
        <f>YEAR(Table1[[#This Row],[Order_Date]])</f>
        <v>2024</v>
      </c>
      <c r="E1853" s="7">
        <v>45552</v>
      </c>
      <c r="F1853" s="2" t="str">
        <f>VLOOKUP(Table1[[#This Row],[Customer_ID]],Customer_Dim!$A$2:$H$501,2,FALSE)</f>
        <v>Erica Carney</v>
      </c>
      <c r="G1853" s="2" t="str">
        <f>_xlfn.XLOOKUP(Table1[[#This Row],[Customer_ID]],Customer_Dim!$A$2:$A$501,Customer_Dim!$E$2:$E$501)</f>
        <v>North Justin</v>
      </c>
      <c r="H1853" t="s">
        <v>373</v>
      </c>
      <c r="I1853" t="str">
        <f>VLOOKUP(Table1[[#This Row],[Product_ID]],Product_Dim!$A$2:$G$101,2,FALSE)</f>
        <v>Kitchen Storage Rack-Home</v>
      </c>
      <c r="J1853" t="s">
        <v>1663</v>
      </c>
      <c r="K1853" t="str">
        <f>VLOOKUP(Table1[[#This Row],[Store_ID]],Store_Dim!$A$3:$D$22,2,FALSE)</f>
        <v>Frederick-Wright-West</v>
      </c>
      <c r="L1853" t="s">
        <v>1757</v>
      </c>
      <c r="M1853" t="s">
        <v>3959</v>
      </c>
      <c r="N1853" s="3">
        <v>579.24</v>
      </c>
      <c r="O1853" s="4">
        <v>0.04</v>
      </c>
      <c r="P1853" t="s">
        <v>1777</v>
      </c>
      <c r="Q1853" s="4">
        <v>2224.2815999999998</v>
      </c>
    </row>
    <row r="1854" spans="1:17" x14ac:dyDescent="0.3">
      <c r="A1854" t="s">
        <v>3626</v>
      </c>
      <c r="B1854" t="str">
        <f t="shared" si="28"/>
        <v>Q4</v>
      </c>
      <c r="C1854" t="str">
        <f>TEXT(Table1[[#This Row],[Order_Date]],"mmmm")</f>
        <v>December</v>
      </c>
      <c r="D1854">
        <f>YEAR(Table1[[#This Row],[Order_Date]])</f>
        <v>2024</v>
      </c>
      <c r="E1854" s="7">
        <v>45635</v>
      </c>
      <c r="F1854" s="2" t="str">
        <f>VLOOKUP(Table1[[#This Row],[Customer_ID]],Customer_Dim!$A$2:$H$501,2,FALSE)</f>
        <v>Michael Garner</v>
      </c>
      <c r="G1854" s="2" t="str">
        <f>_xlfn.XLOOKUP(Table1[[#This Row],[Customer_ID]],Customer_Dim!$A$2:$A$501,Customer_Dim!$E$2:$E$501)</f>
        <v>Port Crystal</v>
      </c>
      <c r="H1854" t="s">
        <v>1147</v>
      </c>
      <c r="I1854" t="str">
        <f>VLOOKUP(Table1[[#This Row],[Product_ID]],Product_Dim!$A$2:$G$101,2,FALSE)</f>
        <v>Men's Graphic T-Shirt-Clothing</v>
      </c>
      <c r="J1854" t="s">
        <v>1525</v>
      </c>
      <c r="K1854" t="str">
        <f>VLOOKUP(Table1[[#This Row],[Store_ID]],Store_Dim!$A$3:$D$22,2,FALSE)</f>
        <v>Black-Horn-South</v>
      </c>
      <c r="L1854" t="s">
        <v>1730</v>
      </c>
      <c r="M1854" t="s">
        <v>3958</v>
      </c>
      <c r="N1854" s="3">
        <v>268.95</v>
      </c>
      <c r="O1854" s="4">
        <v>0.04</v>
      </c>
      <c r="P1854" t="s">
        <v>1774</v>
      </c>
      <c r="Q1854" s="4">
        <v>774.57599999999991</v>
      </c>
    </row>
    <row r="1855" spans="1:17" x14ac:dyDescent="0.3">
      <c r="A1855" t="s">
        <v>3627</v>
      </c>
      <c r="B1855" t="str">
        <f t="shared" si="28"/>
        <v>Q1</v>
      </c>
      <c r="C1855" t="str">
        <f>TEXT(Table1[[#This Row],[Order_Date]],"mmmm")</f>
        <v>March</v>
      </c>
      <c r="D1855">
        <f>YEAR(Table1[[#This Row],[Order_Date]])</f>
        <v>2025</v>
      </c>
      <c r="E1855" s="7">
        <v>45740</v>
      </c>
      <c r="F1855" s="2" t="str">
        <f>VLOOKUP(Table1[[#This Row],[Customer_ID]],Customer_Dim!$A$2:$H$501,2,FALSE)</f>
        <v>Roberta Green</v>
      </c>
      <c r="G1855" s="2" t="str">
        <f>_xlfn.XLOOKUP(Table1[[#This Row],[Customer_ID]],Customer_Dim!$A$2:$A$501,Customer_Dim!$E$2:$E$501)</f>
        <v>West Joseph</v>
      </c>
      <c r="H1855" t="s">
        <v>953</v>
      </c>
      <c r="I1855" t="str">
        <f>VLOOKUP(Table1[[#This Row],[Product_ID]],Product_Dim!$A$2:$G$101,2,FALSE)</f>
        <v>Men's Leather Belt-Clothing</v>
      </c>
      <c r="J1855" t="s">
        <v>1533</v>
      </c>
      <c r="K1855" t="str">
        <f>VLOOKUP(Table1[[#This Row],[Store_ID]],Store_Dim!$A$3:$D$22,2,FALSE)</f>
        <v>Alexander Group-South</v>
      </c>
      <c r="L1855" t="s">
        <v>1735</v>
      </c>
      <c r="M1855" t="s">
        <v>3957</v>
      </c>
      <c r="N1855" s="3">
        <v>47.47</v>
      </c>
      <c r="O1855" s="4">
        <v>0.28000000000000003</v>
      </c>
      <c r="P1855" t="s">
        <v>1772</v>
      </c>
      <c r="Q1855" s="4">
        <v>34.178400000000003</v>
      </c>
    </row>
    <row r="1856" spans="1:17" x14ac:dyDescent="0.3">
      <c r="A1856" t="s">
        <v>3628</v>
      </c>
      <c r="B1856" t="str">
        <f t="shared" si="28"/>
        <v>Q2</v>
      </c>
      <c r="C1856" t="str">
        <f>TEXT(Table1[[#This Row],[Order_Date]],"mmmm")</f>
        <v>May</v>
      </c>
      <c r="D1856">
        <f>YEAR(Table1[[#This Row],[Order_Date]])</f>
        <v>2025</v>
      </c>
      <c r="E1856" s="7">
        <v>45796</v>
      </c>
      <c r="F1856" s="2" t="str">
        <f>VLOOKUP(Table1[[#This Row],[Customer_ID]],Customer_Dim!$A$2:$H$501,2,FALSE)</f>
        <v>Christopher David</v>
      </c>
      <c r="G1856" s="2" t="str">
        <f>_xlfn.XLOOKUP(Table1[[#This Row],[Customer_ID]],Customer_Dim!$A$2:$A$501,Customer_Dim!$E$2:$E$501)</f>
        <v>Karenmouth</v>
      </c>
      <c r="H1856" t="s">
        <v>814</v>
      </c>
      <c r="I1856" t="str">
        <f>VLOOKUP(Table1[[#This Row],[Product_ID]],Product_Dim!$A$2:$G$101,2,FALSE)</f>
        <v>Modern Wall Clock-Home</v>
      </c>
      <c r="J1856" t="s">
        <v>1589</v>
      </c>
      <c r="K1856" t="str">
        <f>VLOOKUP(Table1[[#This Row],[Store_ID]],Store_Dim!$A$3:$D$22,2,FALSE)</f>
        <v>Holloway Ltd-North</v>
      </c>
      <c r="L1856" t="s">
        <v>1759</v>
      </c>
      <c r="M1856" t="s">
        <v>3958</v>
      </c>
      <c r="N1856" s="3">
        <v>858.81</v>
      </c>
      <c r="O1856" s="4">
        <v>7.0000000000000007E-2</v>
      </c>
      <c r="P1856" t="s">
        <v>1772</v>
      </c>
      <c r="Q1856" s="4">
        <v>2396.0799000000002</v>
      </c>
    </row>
    <row r="1857" spans="1:17" x14ac:dyDescent="0.3">
      <c r="A1857" t="s">
        <v>3629</v>
      </c>
      <c r="B1857" t="str">
        <f t="shared" si="28"/>
        <v>Q1</v>
      </c>
      <c r="C1857" t="str">
        <f>TEXT(Table1[[#This Row],[Order_Date]],"mmmm")</f>
        <v>February</v>
      </c>
      <c r="D1857">
        <f>YEAR(Table1[[#This Row],[Order_Date]])</f>
        <v>2025</v>
      </c>
      <c r="E1857" s="7">
        <v>45710</v>
      </c>
      <c r="F1857" s="2" t="str">
        <f>VLOOKUP(Table1[[#This Row],[Customer_ID]],Customer_Dim!$A$2:$H$501,2,FALSE)</f>
        <v>Kara Dodson</v>
      </c>
      <c r="G1857" s="2" t="str">
        <f>_xlfn.XLOOKUP(Table1[[#This Row],[Customer_ID]],Customer_Dim!$A$2:$A$501,Customer_Dim!$E$2:$E$501)</f>
        <v>Joelside</v>
      </c>
      <c r="H1857" t="s">
        <v>968</v>
      </c>
      <c r="I1857" t="str">
        <f>VLOOKUP(Table1[[#This Row],[Product_ID]],Product_Dim!$A$2:$G$101,2,FALSE)</f>
        <v>Knee Support Brace-Sports</v>
      </c>
      <c r="J1857" t="s">
        <v>1561</v>
      </c>
      <c r="K1857" t="str">
        <f>VLOOKUP(Table1[[#This Row],[Store_ID]],Store_Dim!$A$3:$D$22,2,FALSE)</f>
        <v>Hill, Wagner and Ballard-East</v>
      </c>
      <c r="L1857" t="s">
        <v>1748</v>
      </c>
      <c r="M1857" t="s">
        <v>3958</v>
      </c>
      <c r="N1857" s="3">
        <v>569.98</v>
      </c>
      <c r="O1857" s="4">
        <v>0.05</v>
      </c>
      <c r="P1857" t="s">
        <v>1772</v>
      </c>
      <c r="Q1857" s="4">
        <v>1624.443</v>
      </c>
    </row>
    <row r="1858" spans="1:17" x14ac:dyDescent="0.3">
      <c r="A1858" t="s">
        <v>3630</v>
      </c>
      <c r="B1858" t="str">
        <f t="shared" ref="B1858:B1921" si="29">"Q" &amp;ROUNDUP(MONTH(E1858)/3,0)</f>
        <v>Q4</v>
      </c>
      <c r="C1858" t="str">
        <f>TEXT(Table1[[#This Row],[Order_Date]],"mmmm")</f>
        <v>October</v>
      </c>
      <c r="D1858">
        <f>YEAR(Table1[[#This Row],[Order_Date]])</f>
        <v>2024</v>
      </c>
      <c r="E1858" s="7">
        <v>45596</v>
      </c>
      <c r="F1858" s="2" t="str">
        <f>VLOOKUP(Table1[[#This Row],[Customer_ID]],Customer_Dim!$A$2:$H$501,2,FALSE)</f>
        <v>Reginald Willis</v>
      </c>
      <c r="G1858" s="2" t="str">
        <f>_xlfn.XLOOKUP(Table1[[#This Row],[Customer_ID]],Customer_Dim!$A$2:$A$501,Customer_Dim!$E$2:$E$501)</f>
        <v>Kellybury</v>
      </c>
      <c r="H1858" t="s">
        <v>1018</v>
      </c>
      <c r="I1858" t="str">
        <f>VLOOKUP(Table1[[#This Row],[Product_ID]],Product_Dim!$A$2:$G$101,2,FALSE)</f>
        <v>Bluetooth Car Audio System-Electronics</v>
      </c>
      <c r="J1858" t="s">
        <v>1671</v>
      </c>
      <c r="K1858" t="str">
        <f>VLOOKUP(Table1[[#This Row],[Store_ID]],Store_Dim!$A$3:$D$22,2,FALSE)</f>
        <v>Thomas, Bridges and Harris-North</v>
      </c>
      <c r="L1858" t="s">
        <v>1751</v>
      </c>
      <c r="M1858" t="s">
        <v>3958</v>
      </c>
      <c r="N1858" s="3">
        <v>306.52</v>
      </c>
      <c r="O1858" s="4">
        <v>0.01</v>
      </c>
      <c r="P1858" t="s">
        <v>1777</v>
      </c>
      <c r="Q1858" s="4">
        <v>910.36439999999993</v>
      </c>
    </row>
    <row r="1859" spans="1:17" x14ac:dyDescent="0.3">
      <c r="A1859" t="s">
        <v>3631</v>
      </c>
      <c r="B1859" t="str">
        <f t="shared" si="29"/>
        <v>Q1</v>
      </c>
      <c r="C1859" t="str">
        <f>TEXT(Table1[[#This Row],[Order_Date]],"mmmm")</f>
        <v>March</v>
      </c>
      <c r="D1859">
        <f>YEAR(Table1[[#This Row],[Order_Date]])</f>
        <v>2024</v>
      </c>
      <c r="E1859" s="7">
        <v>45354</v>
      </c>
      <c r="F1859" s="2" t="str">
        <f>VLOOKUP(Table1[[#This Row],[Customer_ID]],Customer_Dim!$A$2:$H$501,2,FALSE)</f>
        <v>Mr. Mason Butler</v>
      </c>
      <c r="G1859" s="2" t="str">
        <f>_xlfn.XLOOKUP(Table1[[#This Row],[Customer_ID]],Customer_Dim!$A$2:$A$501,Customer_Dim!$E$2:$E$501)</f>
        <v>Port Kathrynhaven</v>
      </c>
      <c r="H1859" t="s">
        <v>235</v>
      </c>
      <c r="I1859" t="str">
        <f>VLOOKUP(Table1[[#This Row],[Product_ID]],Product_Dim!$A$2:$G$101,2,FALSE)</f>
        <v>Premium Blanket Throw-Home</v>
      </c>
      <c r="J1859" t="s">
        <v>1635</v>
      </c>
      <c r="K1859" t="str">
        <f>VLOOKUP(Table1[[#This Row],[Store_ID]],Store_Dim!$A$3:$D$22,2,FALSE)</f>
        <v>Gardner, Humphrey and Contreras-East</v>
      </c>
      <c r="L1859" t="s">
        <v>1753</v>
      </c>
      <c r="M1859" t="s">
        <v>3958</v>
      </c>
      <c r="N1859" s="3">
        <v>184.67</v>
      </c>
      <c r="O1859" s="4">
        <v>0.03</v>
      </c>
      <c r="P1859" t="s">
        <v>1777</v>
      </c>
      <c r="Q1859" s="4">
        <v>537.38969999999995</v>
      </c>
    </row>
    <row r="1860" spans="1:17" x14ac:dyDescent="0.3">
      <c r="A1860" t="s">
        <v>3632</v>
      </c>
      <c r="B1860" t="str">
        <f t="shared" si="29"/>
        <v>Q2</v>
      </c>
      <c r="C1860" t="str">
        <f>TEXT(Table1[[#This Row],[Order_Date]],"mmmm")</f>
        <v>May</v>
      </c>
      <c r="D1860">
        <f>YEAR(Table1[[#This Row],[Order_Date]])</f>
        <v>2024</v>
      </c>
      <c r="E1860" s="7">
        <v>45428</v>
      </c>
      <c r="F1860" s="2" t="str">
        <f>VLOOKUP(Table1[[#This Row],[Customer_ID]],Customer_Dim!$A$2:$H$501,2,FALSE)</f>
        <v>Sheri Joyce</v>
      </c>
      <c r="G1860" s="2" t="str">
        <f>_xlfn.XLOOKUP(Table1[[#This Row],[Customer_ID]],Customer_Dim!$A$2:$A$501,Customer_Dim!$E$2:$E$501)</f>
        <v>West Tylerfort</v>
      </c>
      <c r="H1860" t="s">
        <v>1467</v>
      </c>
      <c r="I1860" t="str">
        <f>VLOOKUP(Table1[[#This Row],[Product_ID]],Product_Dim!$A$2:$G$101,2,FALSE)</f>
        <v>Wireless Bluetooth Speaker-Electronics</v>
      </c>
      <c r="J1860" t="s">
        <v>1575</v>
      </c>
      <c r="K1860" t="str">
        <f>VLOOKUP(Table1[[#This Row],[Store_ID]],Store_Dim!$A$3:$D$22,2,FALSE)</f>
        <v>Gray Ltd-North</v>
      </c>
      <c r="L1860" t="s">
        <v>1738</v>
      </c>
      <c r="M1860" t="s">
        <v>3959</v>
      </c>
      <c r="N1860" s="3">
        <v>189.56</v>
      </c>
      <c r="O1860" s="4">
        <v>0.15268115942028984</v>
      </c>
      <c r="P1860" t="s">
        <v>1777</v>
      </c>
      <c r="Q1860" s="4">
        <v>758.24</v>
      </c>
    </row>
    <row r="1861" spans="1:17" x14ac:dyDescent="0.3">
      <c r="A1861" t="s">
        <v>3633</v>
      </c>
      <c r="B1861" t="str">
        <f t="shared" si="29"/>
        <v>Q3</v>
      </c>
      <c r="C1861" t="str">
        <f>TEXT(Table1[[#This Row],[Order_Date]],"mmmm")</f>
        <v>August</v>
      </c>
      <c r="D1861">
        <f>YEAR(Table1[[#This Row],[Order_Date]])</f>
        <v>2024</v>
      </c>
      <c r="E1861" s="7">
        <v>45511</v>
      </c>
      <c r="F1861" s="2" t="str">
        <f>VLOOKUP(Table1[[#This Row],[Customer_ID]],Customer_Dim!$A$2:$H$501,2,FALSE)</f>
        <v>John Perez</v>
      </c>
      <c r="G1861" s="2" t="str">
        <f>_xlfn.XLOOKUP(Table1[[#This Row],[Customer_ID]],Customer_Dim!$A$2:$A$501,Customer_Dim!$E$2:$E$501)</f>
        <v>Kathrynview</v>
      </c>
      <c r="H1861" t="s">
        <v>672</v>
      </c>
      <c r="I1861" t="str">
        <f>VLOOKUP(Table1[[#This Row],[Product_ID]],Product_Dim!$A$2:$G$101,2,FALSE)</f>
        <v>Women's Ankle Boots-Clothing</v>
      </c>
      <c r="J1861" t="s">
        <v>1673</v>
      </c>
      <c r="K1861" t="str">
        <f>VLOOKUP(Table1[[#This Row],[Store_ID]],Store_Dim!$A$3:$D$22,2,FALSE)</f>
        <v>Gray Ltd-North</v>
      </c>
      <c r="L1861" t="s">
        <v>1738</v>
      </c>
      <c r="M1861" t="s">
        <v>3957</v>
      </c>
      <c r="N1861" s="3">
        <v>805.24</v>
      </c>
      <c r="O1861" s="4">
        <v>0.04</v>
      </c>
      <c r="P1861" t="s">
        <v>1774</v>
      </c>
      <c r="Q1861" s="4">
        <v>773.03039999999999</v>
      </c>
    </row>
    <row r="1862" spans="1:17" x14ac:dyDescent="0.3">
      <c r="A1862" t="s">
        <v>3634</v>
      </c>
      <c r="B1862" t="str">
        <f t="shared" si="29"/>
        <v>Q3</v>
      </c>
      <c r="C1862" t="str">
        <f>TEXT(Table1[[#This Row],[Order_Date]],"mmmm")</f>
        <v>September</v>
      </c>
      <c r="D1862">
        <f>YEAR(Table1[[#This Row],[Order_Date]])</f>
        <v>2024</v>
      </c>
      <c r="E1862" s="7">
        <v>45549</v>
      </c>
      <c r="F1862" s="2" t="str">
        <f>VLOOKUP(Table1[[#This Row],[Customer_ID]],Customer_Dim!$A$2:$H$501,2,FALSE)</f>
        <v>Kimberly Brooks</v>
      </c>
      <c r="G1862" s="2" t="str">
        <f>_xlfn.XLOOKUP(Table1[[#This Row],[Customer_ID]],Customer_Dim!$A$2:$A$501,Customer_Dim!$E$2:$E$501)</f>
        <v>Kingfort</v>
      </c>
      <c r="H1862" t="s">
        <v>613</v>
      </c>
      <c r="I1862" t="str">
        <f>VLOOKUP(Table1[[#This Row],[Product_ID]],Product_Dim!$A$2:$G$101,2,FALSE)</f>
        <v>Sports Stopwatch Pro-Sports</v>
      </c>
      <c r="J1862" t="s">
        <v>1631</v>
      </c>
      <c r="K1862" t="str">
        <f>VLOOKUP(Table1[[#This Row],[Store_ID]],Store_Dim!$A$3:$D$22,2,FALSE)</f>
        <v>Holloway Ltd-North</v>
      </c>
      <c r="L1862" t="s">
        <v>1759</v>
      </c>
      <c r="M1862" t="s">
        <v>3958</v>
      </c>
      <c r="N1862" s="3">
        <v>683.74</v>
      </c>
      <c r="O1862" s="4">
        <v>0.24</v>
      </c>
      <c r="P1862" t="s">
        <v>1772</v>
      </c>
      <c r="Q1862" s="4">
        <v>1558.9272000000001</v>
      </c>
    </row>
    <row r="1863" spans="1:17" x14ac:dyDescent="0.3">
      <c r="A1863" t="s">
        <v>3635</v>
      </c>
      <c r="B1863" t="str">
        <f t="shared" si="29"/>
        <v>Q4</v>
      </c>
      <c r="C1863" t="str">
        <f>TEXT(Table1[[#This Row],[Order_Date]],"mmmm")</f>
        <v>October</v>
      </c>
      <c r="D1863">
        <f>YEAR(Table1[[#This Row],[Order_Date]])</f>
        <v>2024</v>
      </c>
      <c r="E1863" s="7">
        <v>45573</v>
      </c>
      <c r="F1863" s="2" t="str">
        <f>VLOOKUP(Table1[[#This Row],[Customer_ID]],Customer_Dim!$A$2:$H$501,2,FALSE)</f>
        <v>Antonio Jones</v>
      </c>
      <c r="G1863" s="2" t="str">
        <f>_xlfn.XLOOKUP(Table1[[#This Row],[Customer_ID]],Customer_Dim!$A$2:$A$501,Customer_Dim!$E$2:$E$501)</f>
        <v>Matthewborough</v>
      </c>
      <c r="H1863" t="s">
        <v>678</v>
      </c>
      <c r="I1863" t="str">
        <f>VLOOKUP(Table1[[#This Row],[Product_ID]],Product_Dim!$A$2:$G$101,2,FALSE)</f>
        <v>Premium Blanket Throw-Home</v>
      </c>
      <c r="J1863" t="s">
        <v>1635</v>
      </c>
      <c r="K1863" t="str">
        <f>VLOOKUP(Table1[[#This Row],[Store_ID]],Store_Dim!$A$3:$D$22,2,FALSE)</f>
        <v>Guerrero-Schmitt-East</v>
      </c>
      <c r="L1863" t="s">
        <v>1761</v>
      </c>
      <c r="M1863" t="s">
        <v>3958</v>
      </c>
      <c r="N1863" s="3">
        <v>439.21</v>
      </c>
      <c r="O1863" s="4">
        <v>0.28000000000000003</v>
      </c>
      <c r="P1863" t="s">
        <v>1777</v>
      </c>
      <c r="Q1863" s="4">
        <v>948.69359999999983</v>
      </c>
    </row>
    <row r="1864" spans="1:17" x14ac:dyDescent="0.3">
      <c r="A1864" t="s">
        <v>3636</v>
      </c>
      <c r="B1864" t="str">
        <f t="shared" si="29"/>
        <v>Q3</v>
      </c>
      <c r="C1864" t="str">
        <f>TEXT(Table1[[#This Row],[Order_Date]],"mmmm")</f>
        <v>September</v>
      </c>
      <c r="D1864">
        <f>YEAR(Table1[[#This Row],[Order_Date]])</f>
        <v>2025</v>
      </c>
      <c r="E1864" s="7">
        <v>45904</v>
      </c>
      <c r="F1864" s="2" t="str">
        <f>VLOOKUP(Table1[[#This Row],[Customer_ID]],Customer_Dim!$A$2:$H$501,2,FALSE)</f>
        <v>Michael Jones</v>
      </c>
      <c r="G1864" s="2" t="str">
        <f>_xlfn.XLOOKUP(Table1[[#This Row],[Customer_ID]],Customer_Dim!$A$2:$A$501,Customer_Dim!$E$2:$E$501)</f>
        <v>North Edwardton</v>
      </c>
      <c r="H1864" t="s">
        <v>409</v>
      </c>
      <c r="I1864" t="str">
        <f>VLOOKUP(Table1[[#This Row],[Product_ID]],Product_Dim!$A$2:$G$101,2,FALSE)</f>
        <v>Women's Hair Dryer Brush-Beauty</v>
      </c>
      <c r="J1864" t="s">
        <v>1655</v>
      </c>
      <c r="K1864" t="str">
        <f>VLOOKUP(Table1[[#This Row],[Store_ID]],Store_Dim!$A$3:$D$22,2,FALSE)</f>
        <v>Benson-Elliott-East</v>
      </c>
      <c r="L1864" t="s">
        <v>1740</v>
      </c>
      <c r="M1864" t="s">
        <v>3957</v>
      </c>
      <c r="N1864" s="3">
        <v>126.92</v>
      </c>
      <c r="O1864" s="4">
        <v>0.24</v>
      </c>
      <c r="P1864" t="s">
        <v>1777</v>
      </c>
      <c r="Q1864" s="4">
        <v>96.459199999999996</v>
      </c>
    </row>
    <row r="1865" spans="1:17" x14ac:dyDescent="0.3">
      <c r="A1865" t="s">
        <v>3637</v>
      </c>
      <c r="B1865" t="str">
        <f t="shared" si="29"/>
        <v>Q3</v>
      </c>
      <c r="C1865" t="str">
        <f>TEXT(Table1[[#This Row],[Order_Date]],"mmmm")</f>
        <v>July</v>
      </c>
      <c r="D1865">
        <f>YEAR(Table1[[#This Row],[Order_Date]])</f>
        <v>2024</v>
      </c>
      <c r="E1865" s="7">
        <v>45489</v>
      </c>
      <c r="F1865" s="2" t="str">
        <f>VLOOKUP(Table1[[#This Row],[Customer_ID]],Customer_Dim!$A$2:$H$501,2,FALSE)</f>
        <v>Caroline Collins</v>
      </c>
      <c r="G1865" s="2" t="str">
        <f>_xlfn.XLOOKUP(Table1[[#This Row],[Customer_ID]],Customer_Dim!$A$2:$A$501,Customer_Dim!$E$2:$E$501)</f>
        <v>Nicholasshire</v>
      </c>
      <c r="H1865" t="s">
        <v>27</v>
      </c>
      <c r="I1865" t="str">
        <f>VLOOKUP(Table1[[#This Row],[Product_ID]],Product_Dim!$A$2:$G$101,2,FALSE)</f>
        <v>Shin Guards – Adult-Sports</v>
      </c>
      <c r="J1865" t="s">
        <v>1669</v>
      </c>
      <c r="K1865" t="str">
        <f>VLOOKUP(Table1[[#This Row],[Store_ID]],Store_Dim!$A$3:$D$22,2,FALSE)</f>
        <v>Alexander Group-South</v>
      </c>
      <c r="L1865" t="s">
        <v>1735</v>
      </c>
      <c r="M1865" t="s">
        <v>3959</v>
      </c>
      <c r="N1865" s="3">
        <v>834.7</v>
      </c>
      <c r="O1865" s="4">
        <v>0.14000000000000001</v>
      </c>
      <c r="P1865" t="s">
        <v>1772</v>
      </c>
      <c r="Q1865" s="4">
        <v>2871.3679999999999</v>
      </c>
    </row>
    <row r="1866" spans="1:17" x14ac:dyDescent="0.3">
      <c r="A1866" t="s">
        <v>3638</v>
      </c>
      <c r="B1866" t="str">
        <f t="shared" si="29"/>
        <v>Q3</v>
      </c>
      <c r="C1866" t="str">
        <f>TEXT(Table1[[#This Row],[Order_Date]],"mmmm")</f>
        <v>September</v>
      </c>
      <c r="D1866">
        <f>YEAR(Table1[[#This Row],[Order_Date]])</f>
        <v>2025</v>
      </c>
      <c r="E1866" s="7">
        <v>45909</v>
      </c>
      <c r="F1866" s="2" t="str">
        <f>VLOOKUP(Table1[[#This Row],[Customer_ID]],Customer_Dim!$A$2:$H$501,2,FALSE)</f>
        <v>Angela Williams</v>
      </c>
      <c r="G1866" s="2" t="str">
        <f>_xlfn.XLOOKUP(Table1[[#This Row],[Customer_ID]],Customer_Dim!$A$2:$A$501,Customer_Dim!$E$2:$E$501)</f>
        <v>Lake Alyssaburgh</v>
      </c>
      <c r="H1866" t="s">
        <v>1060</v>
      </c>
      <c r="I1866" t="str">
        <f>VLOOKUP(Table1[[#This Row],[Product_ID]],Product_Dim!$A$2:$G$101,2,FALSE)</f>
        <v>Smart Home WiFi Camera-Electronics</v>
      </c>
      <c r="J1866" t="s">
        <v>1607</v>
      </c>
      <c r="K1866" t="str">
        <f>VLOOKUP(Table1[[#This Row],[Store_ID]],Store_Dim!$A$3:$D$22,2,FALSE)</f>
        <v>Aguirre-Keller-South</v>
      </c>
      <c r="L1866" t="s">
        <v>1750</v>
      </c>
      <c r="M1866" t="s">
        <v>3960</v>
      </c>
      <c r="N1866" s="3">
        <v>271.88</v>
      </c>
      <c r="O1866" s="4">
        <v>0.11</v>
      </c>
      <c r="P1866" t="s">
        <v>1777</v>
      </c>
      <c r="Q1866" s="4">
        <v>483.94639999999998</v>
      </c>
    </row>
    <row r="1867" spans="1:17" x14ac:dyDescent="0.3">
      <c r="A1867" t="s">
        <v>3639</v>
      </c>
      <c r="B1867" t="str">
        <f t="shared" si="29"/>
        <v>Q1</v>
      </c>
      <c r="C1867" t="str">
        <f>TEXT(Table1[[#This Row],[Order_Date]],"mmmm")</f>
        <v>March</v>
      </c>
      <c r="D1867">
        <f>YEAR(Table1[[#This Row],[Order_Date]])</f>
        <v>2025</v>
      </c>
      <c r="E1867" s="7">
        <v>45720</v>
      </c>
      <c r="F1867" s="2" t="str">
        <f>VLOOKUP(Table1[[#This Row],[Customer_ID]],Customer_Dim!$A$2:$H$501,2,FALSE)</f>
        <v>Jordan Medina</v>
      </c>
      <c r="G1867" s="2" t="str">
        <f>_xlfn.XLOOKUP(Table1[[#This Row],[Customer_ID]],Customer_Dim!$A$2:$A$501,Customer_Dim!$E$2:$E$501)</f>
        <v>Robinchester</v>
      </c>
      <c r="H1867" t="s">
        <v>1461</v>
      </c>
      <c r="I1867" t="str">
        <f>VLOOKUP(Table1[[#This Row],[Product_ID]],Product_Dim!$A$2:$G$101,2,FALSE)</f>
        <v>HD Smart TV Stick-Electronics</v>
      </c>
      <c r="J1867" t="s">
        <v>1545</v>
      </c>
      <c r="K1867" t="str">
        <f>VLOOKUP(Table1[[#This Row],[Store_ID]],Store_Dim!$A$3:$D$22,2,FALSE)</f>
        <v>Martinez, Adkins and Johnson-North</v>
      </c>
      <c r="L1867" t="s">
        <v>1728</v>
      </c>
      <c r="M1867" t="s">
        <v>3959</v>
      </c>
      <c r="N1867" s="3">
        <v>972.14</v>
      </c>
      <c r="O1867" s="4">
        <v>0.25</v>
      </c>
      <c r="P1867" t="s">
        <v>1772</v>
      </c>
      <c r="Q1867" s="4">
        <v>2916.42</v>
      </c>
    </row>
    <row r="1868" spans="1:17" x14ac:dyDescent="0.3">
      <c r="A1868" t="s">
        <v>3640</v>
      </c>
      <c r="B1868" t="str">
        <f t="shared" si="29"/>
        <v>Q2</v>
      </c>
      <c r="C1868" t="str">
        <f>TEXT(Table1[[#This Row],[Order_Date]],"mmmm")</f>
        <v>June</v>
      </c>
      <c r="D1868">
        <f>YEAR(Table1[[#This Row],[Order_Date]])</f>
        <v>2025</v>
      </c>
      <c r="E1868" s="7">
        <v>45831</v>
      </c>
      <c r="F1868" s="2" t="str">
        <f>VLOOKUP(Table1[[#This Row],[Customer_ID]],Customer_Dim!$A$2:$H$501,2,FALSE)</f>
        <v>Christy Vasquez</v>
      </c>
      <c r="G1868" s="2" t="str">
        <f>_xlfn.XLOOKUP(Table1[[#This Row],[Customer_ID]],Customer_Dim!$A$2:$A$501,Customer_Dim!$E$2:$E$501)</f>
        <v>Port Travisstad</v>
      </c>
      <c r="H1868" t="s">
        <v>330</v>
      </c>
      <c r="I1868" t="str">
        <f>VLOOKUP(Table1[[#This Row],[Product_ID]],Product_Dim!$A$2:$G$101,2,FALSE)</f>
        <v>USB External Hard Drive-Electronics</v>
      </c>
      <c r="J1868" t="s">
        <v>1609</v>
      </c>
      <c r="K1868" t="str">
        <f>VLOOKUP(Table1[[#This Row],[Store_ID]],Store_Dim!$A$3:$D$22,2,FALSE)</f>
        <v>Alexander Group-South</v>
      </c>
      <c r="L1868" t="s">
        <v>1735</v>
      </c>
      <c r="M1868" t="s">
        <v>3958</v>
      </c>
      <c r="N1868" s="3">
        <v>523.66</v>
      </c>
      <c r="O1868" s="4">
        <v>0.27</v>
      </c>
      <c r="P1868" t="s">
        <v>1774</v>
      </c>
      <c r="Q1868" s="4">
        <v>1146.8154</v>
      </c>
    </row>
    <row r="1869" spans="1:17" x14ac:dyDescent="0.3">
      <c r="A1869" t="s">
        <v>3641</v>
      </c>
      <c r="B1869" t="str">
        <f t="shared" si="29"/>
        <v>Q4</v>
      </c>
      <c r="C1869" t="str">
        <f>TEXT(Table1[[#This Row],[Order_Date]],"mmmm")</f>
        <v>November</v>
      </c>
      <c r="D1869">
        <f>YEAR(Table1[[#This Row],[Order_Date]])</f>
        <v>2024</v>
      </c>
      <c r="E1869" s="7">
        <v>45602</v>
      </c>
      <c r="F1869" s="2" t="str">
        <f>VLOOKUP(Table1[[#This Row],[Customer_ID]],Customer_Dim!$A$2:$H$501,2,FALSE)</f>
        <v>Theresa Campbell</v>
      </c>
      <c r="G1869" s="2" t="str">
        <f>_xlfn.XLOOKUP(Table1[[#This Row],[Customer_ID]],Customer_Dim!$A$2:$A$501,Customer_Dim!$E$2:$E$501)</f>
        <v>New Brian</v>
      </c>
      <c r="H1869" t="s">
        <v>494</v>
      </c>
      <c r="I1869" t="str">
        <f>VLOOKUP(Table1[[#This Row],[Product_ID]],Product_Dim!$A$2:$G$101,2,FALSE)</f>
        <v>Matte Lipstick Set-Beauty</v>
      </c>
      <c r="J1869" t="s">
        <v>1651</v>
      </c>
      <c r="K1869" t="str">
        <f>VLOOKUP(Table1[[#This Row],[Store_ID]],Store_Dim!$A$3:$D$22,2,FALSE)</f>
        <v>Black-Horn-South</v>
      </c>
      <c r="L1869" t="s">
        <v>1730</v>
      </c>
      <c r="M1869" t="s">
        <v>3959</v>
      </c>
      <c r="N1869" s="3">
        <v>838.99</v>
      </c>
      <c r="O1869" s="4">
        <v>0.16</v>
      </c>
      <c r="P1869" t="s">
        <v>1772</v>
      </c>
      <c r="Q1869" s="4">
        <v>2819.0064000000002</v>
      </c>
    </row>
    <row r="1870" spans="1:17" x14ac:dyDescent="0.3">
      <c r="A1870" t="s">
        <v>3642</v>
      </c>
      <c r="B1870" t="str">
        <f t="shared" si="29"/>
        <v>Q1</v>
      </c>
      <c r="C1870" t="str">
        <f>TEXT(Table1[[#This Row],[Order_Date]],"mmmm")</f>
        <v>March</v>
      </c>
      <c r="D1870">
        <f>YEAR(Table1[[#This Row],[Order_Date]])</f>
        <v>2025</v>
      </c>
      <c r="E1870" s="7">
        <v>45722</v>
      </c>
      <c r="F1870" s="2" t="str">
        <f>VLOOKUP(Table1[[#This Row],[Customer_ID]],Customer_Dim!$A$2:$H$501,2,FALSE)</f>
        <v>Matthew Hanna</v>
      </c>
      <c r="G1870" s="2" t="str">
        <f>_xlfn.XLOOKUP(Table1[[#This Row],[Customer_ID]],Customer_Dim!$A$2:$A$501,Customer_Dim!$E$2:$E$501)</f>
        <v>Gonzalezbury</v>
      </c>
      <c r="H1870" t="s">
        <v>456</v>
      </c>
      <c r="I1870" t="str">
        <f>VLOOKUP(Table1[[#This Row],[Product_ID]],Product_Dim!$A$2:$G$101,2,FALSE)</f>
        <v>HD Smart TV Stick-Electronics</v>
      </c>
      <c r="J1870" t="s">
        <v>1545</v>
      </c>
      <c r="K1870" t="str">
        <f>VLOOKUP(Table1[[#This Row],[Store_ID]],Store_Dim!$A$3:$D$22,2,FALSE)</f>
        <v>Holloway Ltd-North</v>
      </c>
      <c r="L1870" t="s">
        <v>1759</v>
      </c>
      <c r="M1870" t="s">
        <v>3959</v>
      </c>
      <c r="N1870" s="3">
        <v>838.7</v>
      </c>
      <c r="O1870" s="4">
        <v>0.21</v>
      </c>
      <c r="P1870" t="s">
        <v>1777</v>
      </c>
      <c r="Q1870" s="4">
        <v>2650.2919999999999</v>
      </c>
    </row>
    <row r="1871" spans="1:17" x14ac:dyDescent="0.3">
      <c r="A1871" t="s">
        <v>3643</v>
      </c>
      <c r="B1871" t="str">
        <f t="shared" si="29"/>
        <v>Q2</v>
      </c>
      <c r="C1871" t="str">
        <f>TEXT(Table1[[#This Row],[Order_Date]],"mmmm")</f>
        <v>May</v>
      </c>
      <c r="D1871">
        <f>YEAR(Table1[[#This Row],[Order_Date]])</f>
        <v>2025</v>
      </c>
      <c r="E1871" s="7">
        <v>45794</v>
      </c>
      <c r="F1871" s="2" t="str">
        <f>VLOOKUP(Table1[[#This Row],[Customer_ID]],Customer_Dim!$A$2:$H$501,2,FALSE)</f>
        <v>Dr. Tamara White Md</v>
      </c>
      <c r="G1871" s="2" t="str">
        <f>_xlfn.XLOOKUP(Table1[[#This Row],[Customer_ID]],Customer_Dim!$A$2:$A$501,Customer_Dim!$E$2:$E$501)</f>
        <v>New Benjamin</v>
      </c>
      <c r="H1871" t="s">
        <v>1290</v>
      </c>
      <c r="I1871" t="str">
        <f>VLOOKUP(Table1[[#This Row],[Product_ID]],Product_Dim!$A$2:$G$101,2,FALSE)</f>
        <v>Bluetooth Car Audio System-Electronics</v>
      </c>
      <c r="J1871" t="s">
        <v>1671</v>
      </c>
      <c r="K1871" t="str">
        <f>VLOOKUP(Table1[[#This Row],[Store_ID]],Store_Dim!$A$3:$D$22,2,FALSE)</f>
        <v>Bean, Jones and Park-West</v>
      </c>
      <c r="L1871" t="s">
        <v>1744</v>
      </c>
      <c r="M1871" t="s">
        <v>3958</v>
      </c>
      <c r="N1871" s="3">
        <v>943.24</v>
      </c>
      <c r="O1871" s="4">
        <v>0.21</v>
      </c>
      <c r="P1871" t="s">
        <v>1772</v>
      </c>
      <c r="Q1871" s="4">
        <v>2235.4787999999999</v>
      </c>
    </row>
    <row r="1872" spans="1:17" x14ac:dyDescent="0.3">
      <c r="A1872" t="s">
        <v>3644</v>
      </c>
      <c r="B1872" t="str">
        <f t="shared" si="29"/>
        <v>Q1</v>
      </c>
      <c r="C1872" t="str">
        <f>TEXT(Table1[[#This Row],[Order_Date]],"mmmm")</f>
        <v>January</v>
      </c>
      <c r="D1872">
        <f>YEAR(Table1[[#This Row],[Order_Date]])</f>
        <v>2025</v>
      </c>
      <c r="E1872" s="7">
        <v>45659</v>
      </c>
      <c r="F1872" s="2" t="str">
        <f>VLOOKUP(Table1[[#This Row],[Customer_ID]],Customer_Dim!$A$2:$H$501,2,FALSE)</f>
        <v>Stephanie Jacobs</v>
      </c>
      <c r="G1872" s="2" t="str">
        <f>_xlfn.XLOOKUP(Table1[[#This Row],[Customer_ID]],Customer_Dim!$A$2:$A$501,Customer_Dim!$E$2:$E$501)</f>
        <v>West Robinmouth</v>
      </c>
      <c r="H1872" t="s">
        <v>936</v>
      </c>
      <c r="I1872" t="str">
        <f>VLOOKUP(Table1[[#This Row],[Product_ID]],Product_Dim!$A$2:$G$101,2,FALSE)</f>
        <v>Brother Laser Printer-Electronics</v>
      </c>
      <c r="J1872" t="s">
        <v>1523</v>
      </c>
      <c r="K1872" t="str">
        <f>VLOOKUP(Table1[[#This Row],[Store_ID]],Store_Dim!$A$3:$D$22,2,FALSE)</f>
        <v>Holloway Ltd-North</v>
      </c>
      <c r="L1872" t="s">
        <v>1759</v>
      </c>
      <c r="M1872" t="s">
        <v>3960</v>
      </c>
      <c r="N1872" s="3">
        <v>310.33</v>
      </c>
      <c r="O1872" s="4">
        <v>0.26</v>
      </c>
      <c r="P1872" t="s">
        <v>1772</v>
      </c>
      <c r="Q1872" s="4">
        <v>459.28840000000002</v>
      </c>
    </row>
    <row r="1873" spans="1:17" x14ac:dyDescent="0.3">
      <c r="A1873" t="s">
        <v>3645</v>
      </c>
      <c r="B1873" t="str">
        <f t="shared" si="29"/>
        <v>Q3</v>
      </c>
      <c r="C1873" t="str">
        <f>TEXT(Table1[[#This Row],[Order_Date]],"mmmm")</f>
        <v>July</v>
      </c>
      <c r="D1873">
        <f>YEAR(Table1[[#This Row],[Order_Date]])</f>
        <v>2024</v>
      </c>
      <c r="E1873" s="7">
        <v>45501</v>
      </c>
      <c r="F1873" s="2" t="str">
        <f>VLOOKUP(Table1[[#This Row],[Customer_ID]],Customer_Dim!$A$2:$H$501,2,FALSE)</f>
        <v>John Jordan</v>
      </c>
      <c r="G1873" s="2" t="str">
        <f>_xlfn.XLOOKUP(Table1[[#This Row],[Customer_ID]],Customer_Dim!$A$2:$A$501,Customer_Dim!$E$2:$E$501)</f>
        <v>Port Crystalberg</v>
      </c>
      <c r="H1873" t="s">
        <v>1075</v>
      </c>
      <c r="I1873" t="str">
        <f>VLOOKUP(Table1[[#This Row],[Product_ID]],Product_Dim!$A$2:$G$101,2,FALSE)</f>
        <v>High-Grip Football-Sports</v>
      </c>
      <c r="J1873" t="s">
        <v>1613</v>
      </c>
      <c r="K1873" t="str">
        <f>VLOOKUP(Table1[[#This Row],[Store_ID]],Store_Dim!$A$3:$D$22,2,FALSE)</f>
        <v>Rivera-Warner-East</v>
      </c>
      <c r="L1873" t="s">
        <v>1725</v>
      </c>
      <c r="M1873" t="s">
        <v>3958</v>
      </c>
      <c r="N1873" s="3">
        <v>201.05</v>
      </c>
      <c r="O1873" s="4">
        <v>0.23</v>
      </c>
      <c r="P1873" t="s">
        <v>1774</v>
      </c>
      <c r="Q1873" s="4">
        <v>464.42550000000011</v>
      </c>
    </row>
    <row r="1874" spans="1:17" x14ac:dyDescent="0.3">
      <c r="A1874" t="s">
        <v>3646</v>
      </c>
      <c r="B1874" t="str">
        <f t="shared" si="29"/>
        <v>Q2</v>
      </c>
      <c r="C1874" t="str">
        <f>TEXT(Table1[[#This Row],[Order_Date]],"mmmm")</f>
        <v>April</v>
      </c>
      <c r="D1874">
        <f>YEAR(Table1[[#This Row],[Order_Date]])</f>
        <v>2024</v>
      </c>
      <c r="E1874" s="7">
        <v>45408</v>
      </c>
      <c r="F1874" s="2" t="str">
        <f>VLOOKUP(Table1[[#This Row],[Customer_ID]],Customer_Dim!$A$2:$H$501,2,FALSE)</f>
        <v>John Mccoy</v>
      </c>
      <c r="G1874" s="2" t="str">
        <f>_xlfn.XLOOKUP(Table1[[#This Row],[Customer_ID]],Customer_Dim!$A$2:$A$501,Customer_Dim!$E$2:$E$501)</f>
        <v>Robinborough</v>
      </c>
      <c r="H1874" t="s">
        <v>800</v>
      </c>
      <c r="I1874" t="str">
        <f>VLOOKUP(Table1[[#This Row],[Product_ID]],Product_Dim!$A$2:$G$101,2,FALSE)</f>
        <v>Womens Cotton Scarf-Clothing</v>
      </c>
      <c r="J1874" t="s">
        <v>1639</v>
      </c>
      <c r="K1874" t="str">
        <f>VLOOKUP(Table1[[#This Row],[Store_ID]],Store_Dim!$A$3:$D$22,2,FALSE)</f>
        <v>Holloway Ltd-North</v>
      </c>
      <c r="L1874" t="s">
        <v>1759</v>
      </c>
      <c r="M1874" t="s">
        <v>3957</v>
      </c>
      <c r="N1874" s="3">
        <v>803.37</v>
      </c>
      <c r="O1874" s="4">
        <v>0.3</v>
      </c>
      <c r="P1874" t="s">
        <v>1774</v>
      </c>
      <c r="Q1874" s="4">
        <v>562.35899999999992</v>
      </c>
    </row>
    <row r="1875" spans="1:17" x14ac:dyDescent="0.3">
      <c r="A1875" t="s">
        <v>3647</v>
      </c>
      <c r="B1875" t="str">
        <f t="shared" si="29"/>
        <v>Q3</v>
      </c>
      <c r="C1875" t="str">
        <f>TEXT(Table1[[#This Row],[Order_Date]],"mmmm")</f>
        <v>August</v>
      </c>
      <c r="D1875">
        <f>YEAR(Table1[[#This Row],[Order_Date]])</f>
        <v>2025</v>
      </c>
      <c r="E1875" s="7">
        <v>45886</v>
      </c>
      <c r="F1875" s="2" t="str">
        <f>VLOOKUP(Table1[[#This Row],[Customer_ID]],Customer_Dim!$A$2:$H$501,2,FALSE)</f>
        <v>Thomas Phillips</v>
      </c>
      <c r="G1875" s="2" t="str">
        <f>_xlfn.XLOOKUP(Table1[[#This Row],[Customer_ID]],Customer_Dim!$A$2:$A$501,Customer_Dim!$E$2:$E$501)</f>
        <v>Luisfurt</v>
      </c>
      <c r="H1875" t="s">
        <v>143</v>
      </c>
      <c r="I1875" t="str">
        <f>VLOOKUP(Table1[[#This Row],[Product_ID]],Product_Dim!$A$2:$G$101,2,FALSE)</f>
        <v>Tennis Ball 3-Pack-Sports</v>
      </c>
      <c r="J1875" t="s">
        <v>1645</v>
      </c>
      <c r="K1875" t="str">
        <f>VLOOKUP(Table1[[#This Row],[Store_ID]],Store_Dim!$A$3:$D$22,2,FALSE)</f>
        <v>Shelton PLC-North</v>
      </c>
      <c r="L1875" t="s">
        <v>1755</v>
      </c>
      <c r="M1875" t="s">
        <v>3958</v>
      </c>
      <c r="N1875" s="3">
        <v>259.98</v>
      </c>
      <c r="O1875" s="4">
        <v>7.0000000000000007E-2</v>
      </c>
      <c r="P1875" t="s">
        <v>1777</v>
      </c>
      <c r="Q1875" s="4">
        <v>725.3442</v>
      </c>
    </row>
    <row r="1876" spans="1:17" x14ac:dyDescent="0.3">
      <c r="A1876" t="s">
        <v>3648</v>
      </c>
      <c r="B1876" t="str">
        <f t="shared" si="29"/>
        <v>Q2</v>
      </c>
      <c r="C1876" t="str">
        <f>TEXT(Table1[[#This Row],[Order_Date]],"mmmm")</f>
        <v>May</v>
      </c>
      <c r="D1876">
        <f>YEAR(Table1[[#This Row],[Order_Date]])</f>
        <v>2024</v>
      </c>
      <c r="E1876" s="7">
        <v>45426</v>
      </c>
      <c r="F1876" s="2" t="str">
        <f>VLOOKUP(Table1[[#This Row],[Customer_ID]],Customer_Dim!$A$2:$H$501,2,FALSE)</f>
        <v>Donald Lee</v>
      </c>
      <c r="G1876" s="2" t="str">
        <f>_xlfn.XLOOKUP(Table1[[#This Row],[Customer_ID]],Customer_Dim!$A$2:$A$501,Customer_Dim!$E$2:$E$501)</f>
        <v>Wongberg</v>
      </c>
      <c r="H1876" t="s">
        <v>423</v>
      </c>
      <c r="I1876" t="str">
        <f>VLOOKUP(Table1[[#This Row],[Product_ID]],Product_Dim!$A$2:$G$101,2,FALSE)</f>
        <v>Women's Casual Hoodie-Clothing</v>
      </c>
      <c r="J1876" t="s">
        <v>1527</v>
      </c>
      <c r="K1876" t="str">
        <f>VLOOKUP(Table1[[#This Row],[Store_ID]],Store_Dim!$A$3:$D$22,2,FALSE)</f>
        <v>Johnson-Wright-North</v>
      </c>
      <c r="L1876" t="s">
        <v>1733</v>
      </c>
      <c r="M1876" t="s">
        <v>3959</v>
      </c>
      <c r="N1876" s="3">
        <v>591.9</v>
      </c>
      <c r="O1876" s="4">
        <v>0.2</v>
      </c>
      <c r="P1876" t="s">
        <v>1774</v>
      </c>
      <c r="Q1876" s="4">
        <v>1894.08</v>
      </c>
    </row>
    <row r="1877" spans="1:17" x14ac:dyDescent="0.3">
      <c r="A1877" t="s">
        <v>3649</v>
      </c>
      <c r="B1877" t="str">
        <f t="shared" si="29"/>
        <v>Q1</v>
      </c>
      <c r="C1877" t="str">
        <f>TEXT(Table1[[#This Row],[Order_Date]],"mmmm")</f>
        <v>March</v>
      </c>
      <c r="D1877">
        <f>YEAR(Table1[[#This Row],[Order_Date]])</f>
        <v>2025</v>
      </c>
      <c r="E1877" s="7">
        <v>45730</v>
      </c>
      <c r="F1877" s="2" t="str">
        <f>VLOOKUP(Table1[[#This Row],[Customer_ID]],Customer_Dim!$A$2:$H$501,2,FALSE)</f>
        <v>Sarah Vance</v>
      </c>
      <c r="G1877" s="2" t="str">
        <f>_xlfn.XLOOKUP(Table1[[#This Row],[Customer_ID]],Customer_Dim!$A$2:$A$501,Customer_Dim!$E$2:$E$501)</f>
        <v>Johnsonville</v>
      </c>
      <c r="H1877" t="s">
        <v>127</v>
      </c>
      <c r="I1877" t="str">
        <f>VLOOKUP(Table1[[#This Row],[Product_ID]],Product_Dim!$A$2:$G$101,2,FALSE)</f>
        <v>Luxury Perfume Spray-Beauty</v>
      </c>
      <c r="J1877" t="s">
        <v>1643</v>
      </c>
      <c r="K1877" t="str">
        <f>VLOOKUP(Table1[[#This Row],[Store_ID]],Store_Dim!$A$3:$D$22,2,FALSE)</f>
        <v>Thomas, Bridges and Harris-North</v>
      </c>
      <c r="L1877" t="s">
        <v>1751</v>
      </c>
      <c r="M1877" t="s">
        <v>3960</v>
      </c>
      <c r="N1877" s="3">
        <v>396.9</v>
      </c>
      <c r="O1877" s="4">
        <v>0.18</v>
      </c>
      <c r="P1877" t="s">
        <v>1774</v>
      </c>
      <c r="Q1877" s="4">
        <v>650.91600000000005</v>
      </c>
    </row>
    <row r="1878" spans="1:17" x14ac:dyDescent="0.3">
      <c r="A1878" t="s">
        <v>3650</v>
      </c>
      <c r="B1878" t="str">
        <f t="shared" si="29"/>
        <v>Q1</v>
      </c>
      <c r="C1878" t="str">
        <f>TEXT(Table1[[#This Row],[Order_Date]],"mmmm")</f>
        <v>March</v>
      </c>
      <c r="D1878">
        <f>YEAR(Table1[[#This Row],[Order_Date]])</f>
        <v>2025</v>
      </c>
      <c r="E1878" s="7">
        <v>45731</v>
      </c>
      <c r="F1878" s="2" t="str">
        <f>VLOOKUP(Table1[[#This Row],[Customer_ID]],Customer_Dim!$A$2:$H$501,2,FALSE)</f>
        <v>April Phillips</v>
      </c>
      <c r="G1878" s="2" t="str">
        <f>_xlfn.XLOOKUP(Table1[[#This Row],[Customer_ID]],Customer_Dim!$A$2:$A$501,Customer_Dim!$E$2:$E$501)</f>
        <v>Lake Carolyn</v>
      </c>
      <c r="H1878" t="s">
        <v>1384</v>
      </c>
      <c r="I1878" t="str">
        <f>VLOOKUP(Table1[[#This Row],[Product_ID]],Product_Dim!$A$2:$G$101,2,FALSE)</f>
        <v>Portable Bluetooth Speaker-Electronics</v>
      </c>
      <c r="J1878" t="s">
        <v>1719</v>
      </c>
      <c r="K1878" t="str">
        <f>VLOOKUP(Table1[[#This Row],[Store_ID]],Store_Dim!$A$3:$D$22,2,FALSE)</f>
        <v>Black-Horn-South</v>
      </c>
      <c r="L1878" t="s">
        <v>1730</v>
      </c>
      <c r="M1878" t="s">
        <v>3957</v>
      </c>
      <c r="N1878" s="3">
        <v>176.84</v>
      </c>
      <c r="O1878" s="4">
        <v>0.19</v>
      </c>
      <c r="P1878" t="s">
        <v>1772</v>
      </c>
      <c r="Q1878" s="4">
        <v>143.24039999999999</v>
      </c>
    </row>
    <row r="1879" spans="1:17" x14ac:dyDescent="0.3">
      <c r="A1879" t="s">
        <v>3651</v>
      </c>
      <c r="B1879" t="str">
        <f t="shared" si="29"/>
        <v>Q4</v>
      </c>
      <c r="C1879" t="str">
        <f>TEXT(Table1[[#This Row],[Order_Date]],"mmmm")</f>
        <v>December</v>
      </c>
      <c r="D1879">
        <f>YEAR(Table1[[#This Row],[Order_Date]])</f>
        <v>2023</v>
      </c>
      <c r="E1879" s="7">
        <v>45272</v>
      </c>
      <c r="F1879" s="2" t="str">
        <f>VLOOKUP(Table1[[#This Row],[Customer_ID]],Customer_Dim!$A$2:$H$501,2,FALSE)</f>
        <v>Linda Kline</v>
      </c>
      <c r="G1879" s="2" t="str">
        <f>_xlfn.XLOOKUP(Table1[[#This Row],[Customer_ID]],Customer_Dim!$A$2:$A$501,Customer_Dim!$E$2:$E$501)</f>
        <v>Masseyland</v>
      </c>
      <c r="H1879" t="s">
        <v>805</v>
      </c>
      <c r="I1879" t="str">
        <f>VLOOKUP(Table1[[#This Row],[Product_ID]],Product_Dim!$A$2:$G$101,2,FALSE)</f>
        <v>Wireless Bluetooth Speaker-Electronics</v>
      </c>
      <c r="J1879" t="s">
        <v>1575</v>
      </c>
      <c r="K1879" t="str">
        <f>VLOOKUP(Table1[[#This Row],[Store_ID]],Store_Dim!$A$3:$D$22,2,FALSE)</f>
        <v>Rivera-Warner-East</v>
      </c>
      <c r="L1879" t="s">
        <v>1725</v>
      </c>
      <c r="M1879" t="s">
        <v>3960</v>
      </c>
      <c r="N1879" s="3">
        <v>614.21</v>
      </c>
      <c r="O1879" s="4">
        <v>0.11</v>
      </c>
      <c r="P1879" t="s">
        <v>1774</v>
      </c>
      <c r="Q1879" s="4">
        <v>1093.2937999999999</v>
      </c>
    </row>
    <row r="1880" spans="1:17" x14ac:dyDescent="0.3">
      <c r="A1880" t="s">
        <v>3652</v>
      </c>
      <c r="B1880" t="str">
        <f t="shared" si="29"/>
        <v>Q4</v>
      </c>
      <c r="C1880" t="str">
        <f>TEXT(Table1[[#This Row],[Order_Date]],"mmmm")</f>
        <v>October</v>
      </c>
      <c r="D1880">
        <f>YEAR(Table1[[#This Row],[Order_Date]])</f>
        <v>2024</v>
      </c>
      <c r="E1880" s="7">
        <v>45584</v>
      </c>
      <c r="F1880" s="2" t="str">
        <f>VLOOKUP(Table1[[#This Row],[Customer_ID]],Customer_Dim!$A$2:$H$501,2,FALSE)</f>
        <v>Travis Holland</v>
      </c>
      <c r="G1880" s="2" t="str">
        <f>_xlfn.XLOOKUP(Table1[[#This Row],[Customer_ID]],Customer_Dim!$A$2:$A$501,Customer_Dim!$E$2:$E$501)</f>
        <v>Webstermouth</v>
      </c>
      <c r="H1880" t="s">
        <v>376</v>
      </c>
      <c r="I1880" t="str">
        <f>VLOOKUP(Table1[[#This Row],[Product_ID]],Product_Dim!$A$2:$G$101,2,FALSE)</f>
        <v>Men's Running Jacket-Clothing</v>
      </c>
      <c r="J1880" t="s">
        <v>1529</v>
      </c>
      <c r="K1880" t="str">
        <f>VLOOKUP(Table1[[#This Row],[Store_ID]],Store_Dim!$A$3:$D$22,2,FALSE)</f>
        <v>Martinez-Mullins-South</v>
      </c>
      <c r="L1880" t="s">
        <v>1742</v>
      </c>
      <c r="M1880" t="s">
        <v>3958</v>
      </c>
      <c r="N1880" s="3">
        <v>604.66</v>
      </c>
      <c r="O1880" s="4">
        <v>0.18</v>
      </c>
      <c r="P1880" t="s">
        <v>1777</v>
      </c>
      <c r="Q1880" s="4">
        <v>1487.4636</v>
      </c>
    </row>
    <row r="1881" spans="1:17" x14ac:dyDescent="0.3">
      <c r="A1881" t="s">
        <v>3653</v>
      </c>
      <c r="B1881" t="str">
        <f t="shared" si="29"/>
        <v>Q3</v>
      </c>
      <c r="C1881" t="str">
        <f>TEXT(Table1[[#This Row],[Order_Date]],"mmmm")</f>
        <v>August</v>
      </c>
      <c r="D1881">
        <f>YEAR(Table1[[#This Row],[Order_Date]])</f>
        <v>2024</v>
      </c>
      <c r="E1881" s="7">
        <v>45534</v>
      </c>
      <c r="F1881" s="2" t="str">
        <f>VLOOKUP(Table1[[#This Row],[Customer_ID]],Customer_Dim!$A$2:$H$501,2,FALSE)</f>
        <v>Traci Gonzalez</v>
      </c>
      <c r="G1881" s="2" t="str">
        <f>_xlfn.XLOOKUP(Table1[[#This Row],[Customer_ID]],Customer_Dim!$A$2:$A$501,Customer_Dim!$E$2:$E$501)</f>
        <v>Snyderfurt</v>
      </c>
      <c r="H1881" t="s">
        <v>1513</v>
      </c>
      <c r="I1881" t="str">
        <f>VLOOKUP(Table1[[#This Row],[Product_ID]],Product_Dim!$A$2:$G$101,2,FALSE)</f>
        <v>Women's Casual Hoodie-Clothing</v>
      </c>
      <c r="J1881" t="s">
        <v>1527</v>
      </c>
      <c r="K1881" t="str">
        <f>VLOOKUP(Table1[[#This Row],[Store_ID]],Store_Dim!$A$3:$D$22,2,FALSE)</f>
        <v>Thomas, Bridges and Harris-North</v>
      </c>
      <c r="L1881" t="s">
        <v>1751</v>
      </c>
      <c r="M1881" t="s">
        <v>3958</v>
      </c>
      <c r="N1881" s="3">
        <v>24.29</v>
      </c>
      <c r="O1881" s="4">
        <v>0.12</v>
      </c>
      <c r="P1881" t="s">
        <v>1774</v>
      </c>
      <c r="Q1881" s="4">
        <v>64.125600000000006</v>
      </c>
    </row>
    <row r="1882" spans="1:17" x14ac:dyDescent="0.3">
      <c r="A1882" t="s">
        <v>3654</v>
      </c>
      <c r="B1882" t="str">
        <f t="shared" si="29"/>
        <v>Q3</v>
      </c>
      <c r="C1882" t="str">
        <f>TEXT(Table1[[#This Row],[Order_Date]],"mmmm")</f>
        <v>July</v>
      </c>
      <c r="D1882">
        <f>YEAR(Table1[[#This Row],[Order_Date]])</f>
        <v>2024</v>
      </c>
      <c r="E1882" s="7">
        <v>45482</v>
      </c>
      <c r="F1882" s="2" t="str">
        <f>VLOOKUP(Table1[[#This Row],[Customer_ID]],Customer_Dim!$A$2:$H$501,2,FALSE)</f>
        <v>Joel Robinson</v>
      </c>
      <c r="G1882" s="2" t="str">
        <f>_xlfn.XLOOKUP(Table1[[#This Row],[Customer_ID]],Customer_Dim!$A$2:$A$501,Customer_Dim!$E$2:$E$501)</f>
        <v>Lake Danielport</v>
      </c>
      <c r="H1882" t="s">
        <v>414</v>
      </c>
      <c r="I1882" t="str">
        <f>VLOOKUP(Table1[[#This Row],[Product_ID]],Product_Dim!$A$2:$G$101,2,FALSE)</f>
        <v>Organic Sunscreen Lotion-Beauty</v>
      </c>
      <c r="J1882" t="s">
        <v>1649</v>
      </c>
      <c r="K1882" t="str">
        <f>VLOOKUP(Table1[[#This Row],[Store_ID]],Store_Dim!$A$3:$D$22,2,FALSE)</f>
        <v>Aguirre-Keller-South</v>
      </c>
      <c r="L1882" t="s">
        <v>1750</v>
      </c>
      <c r="M1882" t="s">
        <v>3957</v>
      </c>
      <c r="N1882" s="3">
        <v>503.95</v>
      </c>
      <c r="O1882" s="4">
        <v>0.24</v>
      </c>
      <c r="P1882" t="s">
        <v>1774</v>
      </c>
      <c r="Q1882" s="4">
        <v>383.00200000000001</v>
      </c>
    </row>
    <row r="1883" spans="1:17" x14ac:dyDescent="0.3">
      <c r="A1883" t="s">
        <v>3655</v>
      </c>
      <c r="B1883" t="str">
        <f t="shared" si="29"/>
        <v>Q3</v>
      </c>
      <c r="C1883" t="str">
        <f>TEXT(Table1[[#This Row],[Order_Date]],"mmmm")</f>
        <v>July</v>
      </c>
      <c r="D1883">
        <f>YEAR(Table1[[#This Row],[Order_Date]])</f>
        <v>2024</v>
      </c>
      <c r="E1883" s="7">
        <v>45475</v>
      </c>
      <c r="F1883" s="2" t="str">
        <f>VLOOKUP(Table1[[#This Row],[Customer_ID]],Customer_Dim!$A$2:$H$501,2,FALSE)</f>
        <v>Casey Simpson</v>
      </c>
      <c r="G1883" s="2" t="str">
        <f>_xlfn.XLOOKUP(Table1[[#This Row],[Customer_ID]],Customer_Dim!$A$2:$A$501,Customer_Dim!$E$2:$E$501)</f>
        <v>West Mathewside</v>
      </c>
      <c r="H1883" t="s">
        <v>995</v>
      </c>
      <c r="I1883" t="str">
        <f>VLOOKUP(Table1[[#This Row],[Product_ID]],Product_Dim!$A$2:$G$101,2,FALSE)</f>
        <v>HDMI Cable – 2m-Electronics</v>
      </c>
      <c r="J1883" t="s">
        <v>1625</v>
      </c>
      <c r="K1883" t="str">
        <f>VLOOKUP(Table1[[#This Row],[Store_ID]],Store_Dim!$A$3:$D$22,2,FALSE)</f>
        <v>Mcdonald Inc-South</v>
      </c>
      <c r="L1883" t="s">
        <v>1754</v>
      </c>
      <c r="M1883" t="s">
        <v>3959</v>
      </c>
      <c r="N1883" s="3">
        <v>860.78</v>
      </c>
      <c r="O1883" s="4">
        <v>0.03</v>
      </c>
      <c r="P1883" t="s">
        <v>1772</v>
      </c>
      <c r="Q1883" s="4">
        <v>3339.8263999999999</v>
      </c>
    </row>
    <row r="1884" spans="1:17" x14ac:dyDescent="0.3">
      <c r="A1884" t="s">
        <v>3656</v>
      </c>
      <c r="B1884" t="str">
        <f t="shared" si="29"/>
        <v>Q4</v>
      </c>
      <c r="C1884" t="str">
        <f>TEXT(Table1[[#This Row],[Order_Date]],"mmmm")</f>
        <v>November</v>
      </c>
      <c r="D1884">
        <f>YEAR(Table1[[#This Row],[Order_Date]])</f>
        <v>2023</v>
      </c>
      <c r="E1884" s="7">
        <v>45234</v>
      </c>
      <c r="F1884" s="2" t="str">
        <f>VLOOKUP(Table1[[#This Row],[Customer_ID]],Customer_Dim!$A$2:$H$501,2,FALSE)</f>
        <v>Andrea Jacobs</v>
      </c>
      <c r="G1884" s="2" t="str">
        <f>_xlfn.XLOOKUP(Table1[[#This Row],[Customer_ID]],Customer_Dim!$A$2:$A$501,Customer_Dim!$E$2:$E$501)</f>
        <v>Christopherland</v>
      </c>
      <c r="H1884" t="s">
        <v>640</v>
      </c>
      <c r="I1884" t="str">
        <f>VLOOKUP(Table1[[#This Row],[Product_ID]],Product_Dim!$A$2:$G$101,2,FALSE)</f>
        <v>Smart Home WiFi Camera-Electronics</v>
      </c>
      <c r="J1884" t="s">
        <v>1607</v>
      </c>
      <c r="K1884" t="str">
        <f>VLOOKUP(Table1[[#This Row],[Store_ID]],Store_Dim!$A$3:$D$22,2,FALSE)</f>
        <v>Johnson-Wright-North</v>
      </c>
      <c r="L1884" t="s">
        <v>1733</v>
      </c>
      <c r="M1884" t="s">
        <v>3958</v>
      </c>
      <c r="N1884" s="3">
        <v>41.97</v>
      </c>
      <c r="O1884" s="4">
        <v>0.03</v>
      </c>
      <c r="P1884" t="s">
        <v>1777</v>
      </c>
      <c r="Q1884" s="4">
        <v>122.1327</v>
      </c>
    </row>
    <row r="1885" spans="1:17" x14ac:dyDescent="0.3">
      <c r="A1885" t="s">
        <v>3657</v>
      </c>
      <c r="B1885" t="str">
        <f t="shared" si="29"/>
        <v>Q2</v>
      </c>
      <c r="C1885" t="str">
        <f>TEXT(Table1[[#This Row],[Order_Date]],"mmmm")</f>
        <v>April</v>
      </c>
      <c r="D1885">
        <f>YEAR(Table1[[#This Row],[Order_Date]])</f>
        <v>2024</v>
      </c>
      <c r="E1885" s="7">
        <v>45397</v>
      </c>
      <c r="F1885" s="2" t="str">
        <f>VLOOKUP(Table1[[#This Row],[Customer_ID]],Customer_Dim!$A$2:$H$501,2,FALSE)</f>
        <v>Robert Jones Dds</v>
      </c>
      <c r="G1885" s="2" t="str">
        <f>_xlfn.XLOOKUP(Table1[[#This Row],[Customer_ID]],Customer_Dim!$A$2:$A$501,Customer_Dim!$E$2:$E$501)</f>
        <v>Tristanton</v>
      </c>
      <c r="H1885" t="s">
        <v>134</v>
      </c>
      <c r="I1885" t="str">
        <f>VLOOKUP(Table1[[#This Row],[Product_ID]],Product_Dim!$A$2:$G$101,2,FALSE)</f>
        <v>4K Home Projector-Electronics</v>
      </c>
      <c r="J1885" t="s">
        <v>1553</v>
      </c>
      <c r="K1885" t="str">
        <f>VLOOKUP(Table1[[#This Row],[Store_ID]],Store_Dim!$A$3:$D$22,2,FALSE)</f>
        <v>Gray Ltd-North</v>
      </c>
      <c r="L1885" t="s">
        <v>1738</v>
      </c>
      <c r="M1885" t="s">
        <v>3957</v>
      </c>
      <c r="N1885" s="3">
        <v>649.59</v>
      </c>
      <c r="O1885" s="4">
        <v>0.12</v>
      </c>
      <c r="P1885" t="s">
        <v>1777</v>
      </c>
      <c r="Q1885" s="4">
        <v>571.63920000000007</v>
      </c>
    </row>
    <row r="1886" spans="1:17" x14ac:dyDescent="0.3">
      <c r="A1886" t="s">
        <v>3658</v>
      </c>
      <c r="B1886" t="str">
        <f t="shared" si="29"/>
        <v>Q3</v>
      </c>
      <c r="C1886" t="str">
        <f>TEXT(Table1[[#This Row],[Order_Date]],"mmmm")</f>
        <v>July</v>
      </c>
      <c r="D1886">
        <f>YEAR(Table1[[#This Row],[Order_Date]])</f>
        <v>2024</v>
      </c>
      <c r="E1886" s="7">
        <v>45502</v>
      </c>
      <c r="F1886" s="2" t="str">
        <f>VLOOKUP(Table1[[#This Row],[Customer_ID]],Customer_Dim!$A$2:$H$501,2,FALSE)</f>
        <v>Sharon Brown</v>
      </c>
      <c r="G1886" s="2" t="str">
        <f>_xlfn.XLOOKUP(Table1[[#This Row],[Customer_ID]],Customer_Dim!$A$2:$A$501,Customer_Dim!$E$2:$E$501)</f>
        <v>East Andrea</v>
      </c>
      <c r="H1886" t="s">
        <v>199</v>
      </c>
      <c r="I1886" t="str">
        <f>VLOOKUP(Table1[[#This Row],[Product_ID]],Product_Dim!$A$2:$G$101,2,FALSE)</f>
        <v>Organic Sunscreen Lotion-Beauty</v>
      </c>
      <c r="J1886" t="s">
        <v>1649</v>
      </c>
      <c r="K1886" t="str">
        <f>VLOOKUP(Table1[[#This Row],[Store_ID]],Store_Dim!$A$3:$D$22,2,FALSE)</f>
        <v>Moore, Padilla and Butler-South</v>
      </c>
      <c r="L1886" t="s">
        <v>1746</v>
      </c>
      <c r="M1886" t="s">
        <v>3960</v>
      </c>
      <c r="N1886" s="3">
        <v>386.09</v>
      </c>
      <c r="O1886" s="4">
        <v>0.19</v>
      </c>
      <c r="P1886" t="s">
        <v>1774</v>
      </c>
      <c r="Q1886" s="4">
        <v>625.46579999999994</v>
      </c>
    </row>
    <row r="1887" spans="1:17" x14ac:dyDescent="0.3">
      <c r="A1887" t="s">
        <v>3659</v>
      </c>
      <c r="B1887" t="str">
        <f t="shared" si="29"/>
        <v>Q4</v>
      </c>
      <c r="C1887" t="str">
        <f>TEXT(Table1[[#This Row],[Order_Date]],"mmmm")</f>
        <v>December</v>
      </c>
      <c r="D1887">
        <f>YEAR(Table1[[#This Row],[Order_Date]])</f>
        <v>2024</v>
      </c>
      <c r="E1887" s="7">
        <v>45644</v>
      </c>
      <c r="F1887" s="2" t="str">
        <f>VLOOKUP(Table1[[#This Row],[Customer_ID]],Customer_Dim!$A$2:$H$501,2,FALSE)</f>
        <v>Sheila Wilson</v>
      </c>
      <c r="G1887" s="2" t="str">
        <f>_xlfn.XLOOKUP(Table1[[#This Row],[Customer_ID]],Customer_Dim!$A$2:$A$501,Customer_Dim!$E$2:$E$501)</f>
        <v>South Dustin</v>
      </c>
      <c r="H1887" t="s">
        <v>348</v>
      </c>
      <c r="I1887" t="str">
        <f>VLOOKUP(Table1[[#This Row],[Product_ID]],Product_Dim!$A$2:$G$101,2,FALSE)</f>
        <v>HDMI Cable – 2m-Electronics</v>
      </c>
      <c r="J1887" t="s">
        <v>1625</v>
      </c>
      <c r="K1887" t="str">
        <f>VLOOKUP(Table1[[#This Row],[Store_ID]],Store_Dim!$A$3:$D$22,2,FALSE)</f>
        <v>Thomas, Bridges and Harris-North</v>
      </c>
      <c r="L1887" t="s">
        <v>1751</v>
      </c>
      <c r="M1887" t="s">
        <v>3957</v>
      </c>
      <c r="N1887" s="3">
        <v>891.62</v>
      </c>
      <c r="O1887" s="4">
        <v>0.06</v>
      </c>
      <c r="P1887" t="s">
        <v>1774</v>
      </c>
      <c r="Q1887" s="4">
        <v>838.12279999999998</v>
      </c>
    </row>
    <row r="1888" spans="1:17" x14ac:dyDescent="0.3">
      <c r="A1888" t="s">
        <v>3660</v>
      </c>
      <c r="B1888" t="str">
        <f t="shared" si="29"/>
        <v>Q4</v>
      </c>
      <c r="C1888" t="str">
        <f>TEXT(Table1[[#This Row],[Order_Date]],"mmmm")</f>
        <v>November</v>
      </c>
      <c r="D1888">
        <f>YEAR(Table1[[#This Row],[Order_Date]])</f>
        <v>2024</v>
      </c>
      <c r="E1888" s="7">
        <v>45617</v>
      </c>
      <c r="F1888" s="2" t="str">
        <f>VLOOKUP(Table1[[#This Row],[Customer_ID]],Customer_Dim!$A$2:$H$501,2,FALSE)</f>
        <v>Erika Padilla</v>
      </c>
      <c r="G1888" s="2" t="str">
        <f>_xlfn.XLOOKUP(Table1[[#This Row],[Customer_ID]],Customer_Dim!$A$2:$A$501,Customer_Dim!$E$2:$E$501)</f>
        <v>Andrewsland</v>
      </c>
      <c r="H1888" t="s">
        <v>1177</v>
      </c>
      <c r="I1888" t="str">
        <f>VLOOKUP(Table1[[#This Row],[Product_ID]],Product_Dim!$A$2:$G$101,2,FALSE)</f>
        <v>Matte Lipstick Set-Beauty</v>
      </c>
      <c r="J1888" t="s">
        <v>1651</v>
      </c>
      <c r="K1888" t="str">
        <f>VLOOKUP(Table1[[#This Row],[Store_ID]],Store_Dim!$A$3:$D$22,2,FALSE)</f>
        <v>Shelton PLC-North</v>
      </c>
      <c r="L1888" t="s">
        <v>1755</v>
      </c>
      <c r="M1888" t="s">
        <v>3960</v>
      </c>
      <c r="N1888" s="3">
        <v>558.9</v>
      </c>
      <c r="O1888" s="4">
        <v>0.05</v>
      </c>
      <c r="P1888" t="s">
        <v>1777</v>
      </c>
      <c r="Q1888" s="4">
        <v>1061.9100000000001</v>
      </c>
    </row>
    <row r="1889" spans="1:17" x14ac:dyDescent="0.3">
      <c r="A1889" t="s">
        <v>3661</v>
      </c>
      <c r="B1889" t="str">
        <f t="shared" si="29"/>
        <v>Q2</v>
      </c>
      <c r="C1889" t="str">
        <f>TEXT(Table1[[#This Row],[Order_Date]],"mmmm")</f>
        <v>May</v>
      </c>
      <c r="D1889">
        <f>YEAR(Table1[[#This Row],[Order_Date]])</f>
        <v>2025</v>
      </c>
      <c r="E1889" s="7">
        <v>45797</v>
      </c>
      <c r="F1889" s="2" t="str">
        <f>VLOOKUP(Table1[[#This Row],[Customer_ID]],Customer_Dim!$A$2:$H$501,2,FALSE)</f>
        <v>Michael Greene</v>
      </c>
      <c r="G1889" s="2" t="str">
        <f>_xlfn.XLOOKUP(Table1[[#This Row],[Customer_ID]],Customer_Dim!$A$2:$A$501,Customer_Dim!$E$2:$E$501)</f>
        <v>Port Saramouth</v>
      </c>
      <c r="H1889" t="s">
        <v>1092</v>
      </c>
      <c r="I1889" t="str">
        <f>VLOOKUP(Table1[[#This Row],[Product_ID]],Product_Dim!$A$2:$G$101,2,FALSE)</f>
        <v>Men's Graphic T-Shirt-Clothing</v>
      </c>
      <c r="J1889" t="s">
        <v>1525</v>
      </c>
      <c r="K1889" t="str">
        <f>VLOOKUP(Table1[[#This Row],[Store_ID]],Store_Dim!$A$3:$D$22,2,FALSE)</f>
        <v>Johnson-Wright-North</v>
      </c>
      <c r="L1889" t="s">
        <v>1733</v>
      </c>
      <c r="M1889" t="s">
        <v>3960</v>
      </c>
      <c r="N1889" s="3">
        <v>99.04</v>
      </c>
      <c r="O1889" s="4">
        <v>0.26</v>
      </c>
      <c r="P1889" t="s">
        <v>1777</v>
      </c>
      <c r="Q1889" s="4">
        <v>146.57919999999999</v>
      </c>
    </row>
    <row r="1890" spans="1:17" x14ac:dyDescent="0.3">
      <c r="A1890" t="s">
        <v>3662</v>
      </c>
      <c r="B1890" t="str">
        <f t="shared" si="29"/>
        <v>Q1</v>
      </c>
      <c r="C1890" t="str">
        <f>TEXT(Table1[[#This Row],[Order_Date]],"mmmm")</f>
        <v>March</v>
      </c>
      <c r="D1890">
        <f>YEAR(Table1[[#This Row],[Order_Date]])</f>
        <v>2025</v>
      </c>
      <c r="E1890" s="7">
        <v>45740</v>
      </c>
      <c r="F1890" s="2" t="str">
        <f>VLOOKUP(Table1[[#This Row],[Customer_ID]],Customer_Dim!$A$2:$H$501,2,FALSE)</f>
        <v>James Powell</v>
      </c>
      <c r="G1890" s="2" t="str">
        <f>_xlfn.XLOOKUP(Table1[[#This Row],[Customer_ID]],Customer_Dim!$A$2:$A$501,Customer_Dim!$E$2:$E$501)</f>
        <v>West Beverlymouth</v>
      </c>
      <c r="H1890" t="s">
        <v>914</v>
      </c>
      <c r="I1890" t="str">
        <f>VLOOKUP(Table1[[#This Row],[Product_ID]],Product_Dim!$A$2:$G$101,2,FALSE)</f>
        <v>Men's Running Jacket-Clothing</v>
      </c>
      <c r="J1890" t="s">
        <v>1529</v>
      </c>
      <c r="K1890" t="str">
        <f>VLOOKUP(Table1[[#This Row],[Store_ID]],Store_Dim!$A$3:$D$22,2,FALSE)</f>
        <v>Bean, Jones and Park-West</v>
      </c>
      <c r="L1890" t="s">
        <v>1744</v>
      </c>
      <c r="M1890" t="s">
        <v>3959</v>
      </c>
      <c r="N1890" s="3">
        <v>625.13</v>
      </c>
      <c r="O1890" s="4">
        <v>0.06</v>
      </c>
      <c r="P1890" t="s">
        <v>1772</v>
      </c>
      <c r="Q1890" s="4">
        <v>2350.4888000000001</v>
      </c>
    </row>
    <row r="1891" spans="1:17" x14ac:dyDescent="0.3">
      <c r="A1891" t="s">
        <v>3663</v>
      </c>
      <c r="B1891" t="str">
        <f t="shared" si="29"/>
        <v>Q2</v>
      </c>
      <c r="C1891" t="str">
        <f>TEXT(Table1[[#This Row],[Order_Date]],"mmmm")</f>
        <v>June</v>
      </c>
      <c r="D1891">
        <f>YEAR(Table1[[#This Row],[Order_Date]])</f>
        <v>2025</v>
      </c>
      <c r="E1891" s="7">
        <v>45824</v>
      </c>
      <c r="F1891" s="2" t="str">
        <f>VLOOKUP(Table1[[#This Row],[Customer_ID]],Customer_Dim!$A$2:$H$501,2,FALSE)</f>
        <v>Thomas Phillips</v>
      </c>
      <c r="G1891" s="2" t="str">
        <f>_xlfn.XLOOKUP(Table1[[#This Row],[Customer_ID]],Customer_Dim!$A$2:$A$501,Customer_Dim!$E$2:$E$501)</f>
        <v>Luisfurt</v>
      </c>
      <c r="H1891" t="s">
        <v>143</v>
      </c>
      <c r="I1891" t="str">
        <f>VLOOKUP(Table1[[#This Row],[Product_ID]],Product_Dim!$A$2:$G$101,2,FALSE)</f>
        <v>Noise-Canceling Headphones-Electronics</v>
      </c>
      <c r="J1891" t="s">
        <v>1603</v>
      </c>
      <c r="K1891" t="str">
        <f>VLOOKUP(Table1[[#This Row],[Store_ID]],Store_Dim!$A$3:$D$22,2,FALSE)</f>
        <v>Guerrero-Schmitt-East</v>
      </c>
      <c r="L1891" t="s">
        <v>1761</v>
      </c>
      <c r="M1891" t="s">
        <v>3959</v>
      </c>
      <c r="N1891" s="3">
        <v>38.380000000000003</v>
      </c>
      <c r="O1891" s="4">
        <v>0.16</v>
      </c>
      <c r="P1891" t="s">
        <v>1777</v>
      </c>
      <c r="Q1891" s="4">
        <v>128.95679999999999</v>
      </c>
    </row>
    <row r="1892" spans="1:17" x14ac:dyDescent="0.3">
      <c r="A1892" t="s">
        <v>3664</v>
      </c>
      <c r="B1892" t="str">
        <f t="shared" si="29"/>
        <v>Q2</v>
      </c>
      <c r="C1892" t="str">
        <f>TEXT(Table1[[#This Row],[Order_Date]],"mmmm")</f>
        <v>April</v>
      </c>
      <c r="D1892">
        <f>YEAR(Table1[[#This Row],[Order_Date]])</f>
        <v>2024</v>
      </c>
      <c r="E1892" s="7">
        <v>45404</v>
      </c>
      <c r="F1892" s="2" t="str">
        <f>VLOOKUP(Table1[[#This Row],[Customer_ID]],Customer_Dim!$A$2:$H$501,2,FALSE)</f>
        <v>Darrell Miller</v>
      </c>
      <c r="G1892" s="2" t="str">
        <f>_xlfn.XLOOKUP(Table1[[#This Row],[Customer_ID]],Customer_Dim!$A$2:$A$501,Customer_Dim!$E$2:$E$501)</f>
        <v>Port Carol</v>
      </c>
      <c r="H1892" t="s">
        <v>1496</v>
      </c>
      <c r="I1892" t="str">
        <f>VLOOKUP(Table1[[#This Row],[Product_ID]],Product_Dim!$A$2:$G$101,2,FALSE)</f>
        <v>Vitamin E Body Lotion-Beauty</v>
      </c>
      <c r="J1892" t="s">
        <v>1711</v>
      </c>
      <c r="K1892" t="str">
        <f>VLOOKUP(Table1[[#This Row],[Store_ID]],Store_Dim!$A$3:$D$22,2,FALSE)</f>
        <v>Hill, Wagner and Ballard-East</v>
      </c>
      <c r="L1892" t="s">
        <v>1748</v>
      </c>
      <c r="M1892" t="s">
        <v>3959</v>
      </c>
      <c r="N1892" s="3">
        <v>731.72</v>
      </c>
      <c r="O1892" s="4">
        <v>0.22</v>
      </c>
      <c r="P1892" t="s">
        <v>1777</v>
      </c>
      <c r="Q1892" s="4">
        <v>2282.9663999999998</v>
      </c>
    </row>
    <row r="1893" spans="1:17" x14ac:dyDescent="0.3">
      <c r="A1893" t="s">
        <v>3665</v>
      </c>
      <c r="B1893" t="str">
        <f t="shared" si="29"/>
        <v>Q3</v>
      </c>
      <c r="C1893" t="str">
        <f>TEXT(Table1[[#This Row],[Order_Date]],"mmmm")</f>
        <v>September</v>
      </c>
      <c r="D1893">
        <f>YEAR(Table1[[#This Row],[Order_Date]])</f>
        <v>2025</v>
      </c>
      <c r="E1893" s="7">
        <v>45916</v>
      </c>
      <c r="F1893" s="2" t="str">
        <f>VLOOKUP(Table1[[#This Row],[Customer_ID]],Customer_Dim!$A$2:$H$501,2,FALSE)</f>
        <v>Christina Robertson</v>
      </c>
      <c r="G1893" s="2" t="str">
        <f>_xlfn.XLOOKUP(Table1[[#This Row],[Customer_ID]],Customer_Dim!$A$2:$A$501,Customer_Dim!$E$2:$E$501)</f>
        <v>Hubbardborough</v>
      </c>
      <c r="H1893" t="s">
        <v>1395</v>
      </c>
      <c r="I1893" t="str">
        <f>VLOOKUP(Table1[[#This Row],[Product_ID]],Product_Dim!$A$2:$G$101,2,FALSE)</f>
        <v>Badminton Racket Set-Sports</v>
      </c>
      <c r="J1893" t="s">
        <v>1685</v>
      </c>
      <c r="K1893" t="str">
        <f>VLOOKUP(Table1[[#This Row],[Store_ID]],Store_Dim!$A$3:$D$22,2,FALSE)</f>
        <v>Mann-Austin-East</v>
      </c>
      <c r="L1893" t="s">
        <v>1763</v>
      </c>
      <c r="M1893" t="s">
        <v>3958</v>
      </c>
      <c r="N1893" s="3">
        <v>825.33</v>
      </c>
      <c r="O1893" s="4">
        <v>0.21</v>
      </c>
      <c r="P1893" t="s">
        <v>1772</v>
      </c>
      <c r="Q1893" s="4">
        <v>1956.0320999999999</v>
      </c>
    </row>
    <row r="1894" spans="1:17" x14ac:dyDescent="0.3">
      <c r="A1894" t="s">
        <v>3666</v>
      </c>
      <c r="B1894" t="str">
        <f t="shared" si="29"/>
        <v>Q4</v>
      </c>
      <c r="C1894" t="str">
        <f>TEXT(Table1[[#This Row],[Order_Date]],"mmmm")</f>
        <v>December</v>
      </c>
      <c r="D1894">
        <f>YEAR(Table1[[#This Row],[Order_Date]])</f>
        <v>2023</v>
      </c>
      <c r="E1894" s="7">
        <v>45269</v>
      </c>
      <c r="F1894" s="2" t="str">
        <f>VLOOKUP(Table1[[#This Row],[Customer_ID]],Customer_Dim!$A$2:$H$501,2,FALSE)</f>
        <v>Alyssa Vargas</v>
      </c>
      <c r="G1894" s="2" t="str">
        <f>_xlfn.XLOOKUP(Table1[[#This Row],[Customer_ID]],Customer_Dim!$A$2:$A$501,Customer_Dim!$E$2:$E$501)</f>
        <v>New Kathrynland</v>
      </c>
      <c r="H1894" t="s">
        <v>218</v>
      </c>
      <c r="I1894" t="str">
        <f>VLOOKUP(Table1[[#This Row],[Product_ID]],Product_Dim!$A$2:$G$101,2,FALSE)</f>
        <v>Kitchen Storage Rack-Home</v>
      </c>
      <c r="J1894" t="s">
        <v>1663</v>
      </c>
      <c r="K1894" t="str">
        <f>VLOOKUP(Table1[[#This Row],[Store_ID]],Store_Dim!$A$3:$D$22,2,FALSE)</f>
        <v>Mcdonald Inc-South</v>
      </c>
      <c r="L1894" t="s">
        <v>1754</v>
      </c>
      <c r="M1894" t="s">
        <v>3960</v>
      </c>
      <c r="N1894" s="3">
        <v>47.3</v>
      </c>
      <c r="O1894" s="4">
        <v>0.01</v>
      </c>
      <c r="P1894" t="s">
        <v>1774</v>
      </c>
      <c r="Q1894" s="4">
        <v>93.653999999999996</v>
      </c>
    </row>
    <row r="1895" spans="1:17" x14ac:dyDescent="0.3">
      <c r="A1895" t="s">
        <v>3667</v>
      </c>
      <c r="B1895" t="str">
        <f t="shared" si="29"/>
        <v>Q3</v>
      </c>
      <c r="C1895" t="str">
        <f>TEXT(Table1[[#This Row],[Order_Date]],"mmmm")</f>
        <v>July</v>
      </c>
      <c r="D1895">
        <f>YEAR(Table1[[#This Row],[Order_Date]])</f>
        <v>2024</v>
      </c>
      <c r="E1895" s="7">
        <v>45493</v>
      </c>
      <c r="F1895" s="2" t="str">
        <f>VLOOKUP(Table1[[#This Row],[Customer_ID]],Customer_Dim!$A$2:$H$501,2,FALSE)</f>
        <v>Amy Wilson</v>
      </c>
      <c r="G1895" s="2" t="str">
        <f>_xlfn.XLOOKUP(Table1[[#This Row],[Customer_ID]],Customer_Dim!$A$2:$A$501,Customer_Dim!$E$2:$E$501)</f>
        <v>Morrisburgh</v>
      </c>
      <c r="H1895" t="s">
        <v>562</v>
      </c>
      <c r="I1895" t="str">
        <f>VLOOKUP(Table1[[#This Row],[Product_ID]],Product_Dim!$A$2:$G$101,2,FALSE)</f>
        <v>Professional Jump Rope-Sports</v>
      </c>
      <c r="J1895" t="s">
        <v>1667</v>
      </c>
      <c r="K1895" t="str">
        <f>VLOOKUP(Table1[[#This Row],[Store_ID]],Store_Dim!$A$3:$D$22,2,FALSE)</f>
        <v>Holloway Ltd-North</v>
      </c>
      <c r="L1895" t="s">
        <v>1759</v>
      </c>
      <c r="M1895" t="s">
        <v>3957</v>
      </c>
      <c r="N1895" s="3">
        <v>389.12</v>
      </c>
      <c r="O1895" s="4">
        <v>0.18</v>
      </c>
      <c r="P1895" t="s">
        <v>1774</v>
      </c>
      <c r="Q1895" s="4">
        <v>319.07839999999999</v>
      </c>
    </row>
    <row r="1896" spans="1:17" x14ac:dyDescent="0.3">
      <c r="A1896" t="s">
        <v>3668</v>
      </c>
      <c r="B1896" t="str">
        <f t="shared" si="29"/>
        <v>Q3</v>
      </c>
      <c r="C1896" t="str">
        <f>TEXT(Table1[[#This Row],[Order_Date]],"mmmm")</f>
        <v>September</v>
      </c>
      <c r="D1896">
        <f>YEAR(Table1[[#This Row],[Order_Date]])</f>
        <v>2024</v>
      </c>
      <c r="E1896" s="7">
        <v>45558</v>
      </c>
      <c r="F1896" s="2" t="str">
        <f>VLOOKUP(Table1[[#This Row],[Customer_ID]],Customer_Dim!$A$2:$H$501,2,FALSE)</f>
        <v>Kelly Garrett</v>
      </c>
      <c r="G1896" s="2" t="str">
        <f>_xlfn.XLOOKUP(Table1[[#This Row],[Customer_ID]],Customer_Dim!$A$2:$A$501,Customer_Dim!$E$2:$E$501)</f>
        <v>Port Taylorberg</v>
      </c>
      <c r="H1896" t="s">
        <v>1398</v>
      </c>
      <c r="I1896" t="str">
        <f>VLOOKUP(Table1[[#This Row],[Product_ID]],Product_Dim!$A$2:$G$101,2,FALSE)</f>
        <v>Fitness Resistance Bands-Sports</v>
      </c>
      <c r="J1896" t="s">
        <v>1687</v>
      </c>
      <c r="K1896" t="str">
        <f>VLOOKUP(Table1[[#This Row],[Store_ID]],Store_Dim!$A$3:$D$22,2,FALSE)</f>
        <v>Guerrero-Schmitt-East</v>
      </c>
      <c r="L1896" t="s">
        <v>1761</v>
      </c>
      <c r="M1896" t="s">
        <v>3958</v>
      </c>
      <c r="N1896" s="3">
        <v>543.83000000000004</v>
      </c>
      <c r="O1896" s="4">
        <v>0.05</v>
      </c>
      <c r="P1896" t="s">
        <v>1772</v>
      </c>
      <c r="Q1896" s="4">
        <v>1549.9155000000001</v>
      </c>
    </row>
    <row r="1897" spans="1:17" x14ac:dyDescent="0.3">
      <c r="A1897" t="s">
        <v>3669</v>
      </c>
      <c r="B1897" t="str">
        <f t="shared" si="29"/>
        <v>Q2</v>
      </c>
      <c r="C1897" t="str">
        <f>TEXT(Table1[[#This Row],[Order_Date]],"mmmm")</f>
        <v>May</v>
      </c>
      <c r="D1897">
        <f>YEAR(Table1[[#This Row],[Order_Date]])</f>
        <v>2024</v>
      </c>
      <c r="E1897" s="7">
        <v>45423</v>
      </c>
      <c r="F1897" s="2" t="str">
        <f>VLOOKUP(Table1[[#This Row],[Customer_ID]],Customer_Dim!$A$2:$H$501,2,FALSE)</f>
        <v>Heather Collins</v>
      </c>
      <c r="G1897" s="2" t="str">
        <f>_xlfn.XLOOKUP(Table1[[#This Row],[Customer_ID]],Customer_Dim!$A$2:$A$501,Customer_Dim!$E$2:$E$501)</f>
        <v>Rogerschester</v>
      </c>
      <c r="H1897" t="s">
        <v>103</v>
      </c>
      <c r="I1897" t="str">
        <f>VLOOKUP(Table1[[#This Row],[Product_ID]],Product_Dim!$A$2:$G$101,2,FALSE)</f>
        <v>Decorative Wall Mirror-Home</v>
      </c>
      <c r="J1897" t="s">
        <v>1551</v>
      </c>
      <c r="K1897" t="str">
        <f>VLOOKUP(Table1[[#This Row],[Store_ID]],Store_Dim!$A$3:$D$22,2,FALSE)</f>
        <v>Martinez, Adkins and Johnson-North</v>
      </c>
      <c r="L1897" t="s">
        <v>1728</v>
      </c>
      <c r="M1897" t="s">
        <v>3960</v>
      </c>
      <c r="N1897" s="3">
        <v>660.27</v>
      </c>
      <c r="O1897" s="4">
        <v>0.01</v>
      </c>
      <c r="P1897" t="s">
        <v>1774</v>
      </c>
      <c r="Q1897" s="4">
        <v>1307.3345999999999</v>
      </c>
    </row>
    <row r="1898" spans="1:17" x14ac:dyDescent="0.3">
      <c r="A1898" t="s">
        <v>3670</v>
      </c>
      <c r="B1898" t="str">
        <f t="shared" si="29"/>
        <v>Q2</v>
      </c>
      <c r="C1898" t="str">
        <f>TEXT(Table1[[#This Row],[Order_Date]],"mmmm")</f>
        <v>May</v>
      </c>
      <c r="D1898">
        <f>YEAR(Table1[[#This Row],[Order_Date]])</f>
        <v>2025</v>
      </c>
      <c r="E1898" s="7">
        <v>45780</v>
      </c>
      <c r="F1898" s="2" t="str">
        <f>VLOOKUP(Table1[[#This Row],[Customer_ID]],Customer_Dim!$A$2:$H$501,2,FALSE)</f>
        <v>Monique Castro</v>
      </c>
      <c r="G1898" s="2" t="str">
        <f>_xlfn.XLOOKUP(Table1[[#This Row],[Customer_ID]],Customer_Dim!$A$2:$A$501,Customer_Dim!$E$2:$E$501)</f>
        <v>New Sarah</v>
      </c>
      <c r="H1898" t="s">
        <v>1330</v>
      </c>
      <c r="I1898" t="str">
        <f>VLOOKUP(Table1[[#This Row],[Product_ID]],Product_Dim!$A$2:$G$101,2,FALSE)</f>
        <v>USB-C Fast Charger-Electronics</v>
      </c>
      <c r="J1898" t="s">
        <v>1549</v>
      </c>
      <c r="K1898" t="str">
        <f>VLOOKUP(Table1[[#This Row],[Store_ID]],Store_Dim!$A$3:$D$22,2,FALSE)</f>
        <v>Bean, Jones and Park-West</v>
      </c>
      <c r="L1898" t="s">
        <v>1744</v>
      </c>
      <c r="M1898" t="s">
        <v>3959</v>
      </c>
      <c r="N1898" s="3">
        <v>729.31</v>
      </c>
      <c r="O1898" s="4">
        <v>0.03</v>
      </c>
      <c r="P1898" t="s">
        <v>1772</v>
      </c>
      <c r="Q1898" s="4">
        <v>2829.7228</v>
      </c>
    </row>
    <row r="1899" spans="1:17" x14ac:dyDescent="0.3">
      <c r="A1899" t="s">
        <v>3671</v>
      </c>
      <c r="B1899" t="str">
        <f t="shared" si="29"/>
        <v>Q1</v>
      </c>
      <c r="C1899" t="str">
        <f>TEXT(Table1[[#This Row],[Order_Date]],"mmmm")</f>
        <v>February</v>
      </c>
      <c r="D1899">
        <f>YEAR(Table1[[#This Row],[Order_Date]])</f>
        <v>2024</v>
      </c>
      <c r="E1899" s="7">
        <v>45345</v>
      </c>
      <c r="F1899" s="2" t="str">
        <f>VLOOKUP(Table1[[#This Row],[Customer_ID]],Customer_Dim!$A$2:$H$501,2,FALSE)</f>
        <v>Holly Robinson</v>
      </c>
      <c r="G1899" s="2" t="str">
        <f>_xlfn.XLOOKUP(Table1[[#This Row],[Customer_ID]],Customer_Dim!$A$2:$A$501,Customer_Dim!$E$2:$E$501)</f>
        <v>East Amy</v>
      </c>
      <c r="H1899" t="s">
        <v>1292</v>
      </c>
      <c r="I1899" t="str">
        <f>VLOOKUP(Table1[[#This Row],[Product_ID]],Product_Dim!$A$2:$G$101,2,FALSE)</f>
        <v>LED Bedside Lamp-Home</v>
      </c>
      <c r="J1899" t="s">
        <v>1697</v>
      </c>
      <c r="K1899" t="str">
        <f>VLOOKUP(Table1[[#This Row],[Store_ID]],Store_Dim!$A$3:$D$22,2,FALSE)</f>
        <v>Benson-Elliott-East</v>
      </c>
      <c r="L1899" t="s">
        <v>1740</v>
      </c>
      <c r="M1899" t="s">
        <v>3960</v>
      </c>
      <c r="N1899" s="3">
        <v>152.91</v>
      </c>
      <c r="O1899" s="4">
        <v>0.24</v>
      </c>
      <c r="P1899" t="s">
        <v>1774</v>
      </c>
      <c r="Q1899" s="4">
        <v>232.42320000000001</v>
      </c>
    </row>
    <row r="1900" spans="1:17" x14ac:dyDescent="0.3">
      <c r="A1900" t="s">
        <v>3672</v>
      </c>
      <c r="B1900" t="str">
        <f t="shared" si="29"/>
        <v>Q1</v>
      </c>
      <c r="C1900" t="str">
        <f>TEXT(Table1[[#This Row],[Order_Date]],"mmmm")</f>
        <v>February</v>
      </c>
      <c r="D1900">
        <f>YEAR(Table1[[#This Row],[Order_Date]])</f>
        <v>2024</v>
      </c>
      <c r="E1900" s="7">
        <v>45344</v>
      </c>
      <c r="F1900" s="2" t="str">
        <f>VLOOKUP(Table1[[#This Row],[Customer_ID]],Customer_Dim!$A$2:$H$501,2,FALSE)</f>
        <v>Paul Cox</v>
      </c>
      <c r="G1900" s="2" t="str">
        <f>_xlfn.XLOOKUP(Table1[[#This Row],[Customer_ID]],Customer_Dim!$A$2:$A$501,Customer_Dim!$E$2:$E$501)</f>
        <v>East Julie</v>
      </c>
      <c r="H1900" t="s">
        <v>1406</v>
      </c>
      <c r="I1900" t="str">
        <f>VLOOKUP(Table1[[#This Row],[Product_ID]],Product_Dim!$A$2:$G$101,2,FALSE)</f>
        <v>Bluetooth Car Audio System-Electronics</v>
      </c>
      <c r="J1900" t="s">
        <v>1671</v>
      </c>
      <c r="K1900" t="str">
        <f>VLOOKUP(Table1[[#This Row],[Store_ID]],Store_Dim!$A$3:$D$22,2,FALSE)</f>
        <v>Shelton PLC-North</v>
      </c>
      <c r="L1900" t="s">
        <v>1755</v>
      </c>
      <c r="M1900" t="s">
        <v>3959</v>
      </c>
      <c r="N1900" s="3">
        <v>592.14</v>
      </c>
      <c r="O1900" s="4">
        <v>0.12</v>
      </c>
      <c r="P1900" t="s">
        <v>1777</v>
      </c>
      <c r="Q1900" s="4">
        <v>2084.3328000000001</v>
      </c>
    </row>
    <row r="1901" spans="1:17" x14ac:dyDescent="0.3">
      <c r="A1901" t="s">
        <v>3673</v>
      </c>
      <c r="B1901" t="str">
        <f t="shared" si="29"/>
        <v>Q3</v>
      </c>
      <c r="C1901" t="str">
        <f>TEXT(Table1[[#This Row],[Order_Date]],"mmmm")</f>
        <v>August</v>
      </c>
      <c r="D1901">
        <f>YEAR(Table1[[#This Row],[Order_Date]])</f>
        <v>2024</v>
      </c>
      <c r="E1901" s="7">
        <v>45525</v>
      </c>
      <c r="F1901" s="2" t="str">
        <f>VLOOKUP(Table1[[#This Row],[Customer_ID]],Customer_Dim!$A$2:$H$501,2,FALSE)</f>
        <v>James Bean</v>
      </c>
      <c r="G1901" s="2" t="str">
        <f>_xlfn.XLOOKUP(Table1[[#This Row],[Customer_ID]],Customer_Dim!$A$2:$A$501,Customer_Dim!$E$2:$E$501)</f>
        <v>Stevensonton</v>
      </c>
      <c r="H1901" t="s">
        <v>227</v>
      </c>
      <c r="I1901" t="str">
        <f>VLOOKUP(Table1[[#This Row],[Product_ID]],Product_Dim!$A$2:$G$101,2,FALSE)</f>
        <v>Essential Oil Diffuser-Home</v>
      </c>
      <c r="J1901" t="s">
        <v>1679</v>
      </c>
      <c r="K1901" t="str">
        <f>VLOOKUP(Table1[[#This Row],[Store_ID]],Store_Dim!$A$3:$D$22,2,FALSE)</f>
        <v>Thomas, Bridges and Harris-North</v>
      </c>
      <c r="L1901" t="s">
        <v>1751</v>
      </c>
      <c r="M1901" t="s">
        <v>3957</v>
      </c>
      <c r="N1901" s="3">
        <v>984.37</v>
      </c>
      <c r="O1901" s="4">
        <v>0.15112244897959182</v>
      </c>
      <c r="P1901" t="s">
        <v>1774</v>
      </c>
      <c r="Q1901" s="4">
        <v>984.37</v>
      </c>
    </row>
    <row r="1902" spans="1:17" x14ac:dyDescent="0.3">
      <c r="A1902" t="s">
        <v>3674</v>
      </c>
      <c r="B1902" t="str">
        <f t="shared" si="29"/>
        <v>Q1</v>
      </c>
      <c r="C1902" t="str">
        <f>TEXT(Table1[[#This Row],[Order_Date]],"mmmm")</f>
        <v>February</v>
      </c>
      <c r="D1902">
        <f>YEAR(Table1[[#This Row],[Order_Date]])</f>
        <v>2024</v>
      </c>
      <c r="E1902" s="7">
        <v>45329</v>
      </c>
      <c r="F1902" s="2" t="str">
        <f>VLOOKUP(Table1[[#This Row],[Customer_ID]],Customer_Dim!$A$2:$H$501,2,FALSE)</f>
        <v>Ricardo Jones</v>
      </c>
      <c r="G1902" s="2" t="str">
        <f>_xlfn.XLOOKUP(Table1[[#This Row],[Customer_ID]],Customer_Dim!$A$2:$A$501,Customer_Dim!$E$2:$E$501)</f>
        <v>Danielland</v>
      </c>
      <c r="H1902" t="s">
        <v>917</v>
      </c>
      <c r="I1902" t="str">
        <f>VLOOKUP(Table1[[#This Row],[Product_ID]],Product_Dim!$A$2:$G$101,2,FALSE)</f>
        <v>Men's Graphic T-Shirt-Clothing</v>
      </c>
      <c r="J1902" t="s">
        <v>1525</v>
      </c>
      <c r="K1902" t="str">
        <f>VLOOKUP(Table1[[#This Row],[Store_ID]],Store_Dim!$A$3:$D$22,2,FALSE)</f>
        <v>Thomas, Bridges and Harris-North</v>
      </c>
      <c r="L1902" t="s">
        <v>1751</v>
      </c>
      <c r="M1902" t="s">
        <v>3960</v>
      </c>
      <c r="N1902" s="3">
        <v>237.59</v>
      </c>
      <c r="O1902" s="4">
        <v>0.12</v>
      </c>
      <c r="P1902" t="s">
        <v>1772</v>
      </c>
      <c r="Q1902" s="4">
        <v>418.15839999999997</v>
      </c>
    </row>
    <row r="1903" spans="1:17" x14ac:dyDescent="0.3">
      <c r="A1903" t="s">
        <v>3675</v>
      </c>
      <c r="B1903" t="str">
        <f t="shared" si="29"/>
        <v>Q4</v>
      </c>
      <c r="C1903" t="str">
        <f>TEXT(Table1[[#This Row],[Order_Date]],"mmmm")</f>
        <v>November</v>
      </c>
      <c r="D1903">
        <f>YEAR(Table1[[#This Row],[Order_Date]])</f>
        <v>2023</v>
      </c>
      <c r="E1903" s="7">
        <v>45250</v>
      </c>
      <c r="F1903" s="2" t="str">
        <f>VLOOKUP(Table1[[#This Row],[Customer_ID]],Customer_Dim!$A$2:$H$501,2,FALSE)</f>
        <v>John Smith</v>
      </c>
      <c r="G1903" s="2" t="str">
        <f>_xlfn.XLOOKUP(Table1[[#This Row],[Customer_ID]],Customer_Dim!$A$2:$A$501,Customer_Dim!$E$2:$E$501)</f>
        <v>South Andrewport</v>
      </c>
      <c r="H1903" t="s">
        <v>1321</v>
      </c>
      <c r="I1903" t="str">
        <f>VLOOKUP(Table1[[#This Row],[Product_ID]],Product_Dim!$A$2:$G$101,2,FALSE)</f>
        <v>Women's Scarf Set-Clothing</v>
      </c>
      <c r="J1903" t="s">
        <v>1573</v>
      </c>
      <c r="K1903" t="str">
        <f>VLOOKUP(Table1[[#This Row],[Store_ID]],Store_Dim!$A$3:$D$22,2,FALSE)</f>
        <v>Bean, Jones and Park-West</v>
      </c>
      <c r="L1903" t="s">
        <v>1744</v>
      </c>
      <c r="M1903" t="s">
        <v>3957</v>
      </c>
      <c r="N1903" s="3">
        <v>52.06</v>
      </c>
      <c r="O1903" s="4">
        <v>0.27</v>
      </c>
      <c r="P1903" t="s">
        <v>1777</v>
      </c>
      <c r="Q1903" s="4">
        <v>38.003799999999998</v>
      </c>
    </row>
    <row r="1904" spans="1:17" x14ac:dyDescent="0.3">
      <c r="A1904" t="s">
        <v>3676</v>
      </c>
      <c r="B1904" t="str">
        <f t="shared" si="29"/>
        <v>Q1</v>
      </c>
      <c r="C1904" t="str">
        <f>TEXT(Table1[[#This Row],[Order_Date]],"mmmm")</f>
        <v>February</v>
      </c>
      <c r="D1904">
        <f>YEAR(Table1[[#This Row],[Order_Date]])</f>
        <v>2025</v>
      </c>
      <c r="E1904" s="7">
        <v>45691</v>
      </c>
      <c r="F1904" s="2" t="str">
        <f>VLOOKUP(Table1[[#This Row],[Customer_ID]],Customer_Dim!$A$2:$H$501,2,FALSE)</f>
        <v>Tyler Weber</v>
      </c>
      <c r="G1904" s="2" t="str">
        <f>_xlfn.XLOOKUP(Table1[[#This Row],[Customer_ID]],Customer_Dim!$A$2:$A$501,Customer_Dim!$E$2:$E$501)</f>
        <v>East Yvette</v>
      </c>
      <c r="H1904" t="s">
        <v>1389</v>
      </c>
      <c r="I1904" t="str">
        <f>VLOOKUP(Table1[[#This Row],[Product_ID]],Product_Dim!$A$2:$G$101,2,FALSE)</f>
        <v>Men's Running Jacket-Clothing</v>
      </c>
      <c r="J1904" t="s">
        <v>1529</v>
      </c>
      <c r="K1904" t="str">
        <f>VLOOKUP(Table1[[#This Row],[Store_ID]],Store_Dim!$A$3:$D$22,2,FALSE)</f>
        <v>Martinez, Adkins and Johnson-North</v>
      </c>
      <c r="L1904" t="s">
        <v>1728</v>
      </c>
      <c r="M1904" t="s">
        <v>3960</v>
      </c>
      <c r="N1904" s="3">
        <v>594.63</v>
      </c>
      <c r="O1904" s="4">
        <v>0.12</v>
      </c>
      <c r="P1904" t="s">
        <v>1772</v>
      </c>
      <c r="Q1904" s="4">
        <v>1046.5488</v>
      </c>
    </row>
    <row r="1905" spans="1:17" x14ac:dyDescent="0.3">
      <c r="A1905" t="s">
        <v>3677</v>
      </c>
      <c r="B1905" t="str">
        <f t="shared" si="29"/>
        <v>Q4</v>
      </c>
      <c r="C1905" t="str">
        <f>TEXT(Table1[[#This Row],[Order_Date]],"mmmm")</f>
        <v>December</v>
      </c>
      <c r="D1905">
        <f>YEAR(Table1[[#This Row],[Order_Date]])</f>
        <v>2024</v>
      </c>
      <c r="E1905" s="7">
        <v>45644</v>
      </c>
      <c r="F1905" s="2" t="str">
        <f>VLOOKUP(Table1[[#This Row],[Customer_ID]],Customer_Dim!$A$2:$H$501,2,FALSE)</f>
        <v>Antonio Wade</v>
      </c>
      <c r="G1905" s="2" t="str">
        <f>_xlfn.XLOOKUP(Table1[[#This Row],[Customer_ID]],Customer_Dim!$A$2:$A$501,Customer_Dim!$E$2:$E$501)</f>
        <v>New Jasonmouth</v>
      </c>
      <c r="H1905" t="s">
        <v>551</v>
      </c>
      <c r="I1905" t="str">
        <f>VLOOKUP(Table1[[#This Row],[Product_ID]],Product_Dim!$A$2:$G$101,2,FALSE)</f>
        <v>Men's Running Jacket-Clothing</v>
      </c>
      <c r="J1905" t="s">
        <v>1529</v>
      </c>
      <c r="K1905" t="str">
        <f>VLOOKUP(Table1[[#This Row],[Store_ID]],Store_Dim!$A$3:$D$22,2,FALSE)</f>
        <v>Rivera-Warner-East</v>
      </c>
      <c r="L1905" t="s">
        <v>1725</v>
      </c>
      <c r="M1905" t="s">
        <v>3958</v>
      </c>
      <c r="N1905" s="3">
        <v>476.1</v>
      </c>
      <c r="O1905" s="4">
        <v>0.05</v>
      </c>
      <c r="P1905" t="s">
        <v>1777</v>
      </c>
      <c r="Q1905" s="4">
        <v>1356.885</v>
      </c>
    </row>
    <row r="1906" spans="1:17" x14ac:dyDescent="0.3">
      <c r="A1906" t="s">
        <v>3678</v>
      </c>
      <c r="B1906" t="str">
        <f t="shared" si="29"/>
        <v>Q3</v>
      </c>
      <c r="C1906" t="str">
        <f>TEXT(Table1[[#This Row],[Order_Date]],"mmmm")</f>
        <v>August</v>
      </c>
      <c r="D1906">
        <f>YEAR(Table1[[#This Row],[Order_Date]])</f>
        <v>2024</v>
      </c>
      <c r="E1906" s="7">
        <v>45514</v>
      </c>
      <c r="F1906" s="2" t="str">
        <f>VLOOKUP(Table1[[#This Row],[Customer_ID]],Customer_Dim!$A$2:$H$501,2,FALSE)</f>
        <v>Kristin Stein</v>
      </c>
      <c r="G1906" s="2" t="str">
        <f>_xlfn.XLOOKUP(Table1[[#This Row],[Customer_ID]],Customer_Dim!$A$2:$A$501,Customer_Dim!$E$2:$E$501)</f>
        <v>Jennifermouth</v>
      </c>
      <c r="H1906" t="s">
        <v>224</v>
      </c>
      <c r="I1906" t="str">
        <f>VLOOKUP(Table1[[#This Row],[Product_ID]],Product_Dim!$A$2:$G$101,2,FALSE)</f>
        <v>Tennis Ball 3-Pack-Sports</v>
      </c>
      <c r="J1906" t="s">
        <v>1645</v>
      </c>
      <c r="K1906" t="str">
        <f>VLOOKUP(Table1[[#This Row],[Store_ID]],Store_Dim!$A$3:$D$22,2,FALSE)</f>
        <v>Benson-Elliott-East</v>
      </c>
      <c r="L1906" t="s">
        <v>1740</v>
      </c>
      <c r="M1906" t="s">
        <v>3957</v>
      </c>
      <c r="N1906" s="3">
        <v>546.47</v>
      </c>
      <c r="O1906" s="4">
        <v>0.08</v>
      </c>
      <c r="P1906" t="s">
        <v>1777</v>
      </c>
      <c r="Q1906" s="4">
        <v>502.75240000000002</v>
      </c>
    </row>
    <row r="1907" spans="1:17" x14ac:dyDescent="0.3">
      <c r="A1907" t="s">
        <v>3679</v>
      </c>
      <c r="B1907" t="str">
        <f t="shared" si="29"/>
        <v>Q2</v>
      </c>
      <c r="C1907" t="str">
        <f>TEXT(Table1[[#This Row],[Order_Date]],"mmmm")</f>
        <v>April</v>
      </c>
      <c r="D1907">
        <f>YEAR(Table1[[#This Row],[Order_Date]])</f>
        <v>2025</v>
      </c>
      <c r="E1907" s="7">
        <v>45760</v>
      </c>
      <c r="F1907" s="2" t="str">
        <f>VLOOKUP(Table1[[#This Row],[Customer_ID]],Customer_Dim!$A$2:$H$501,2,FALSE)</f>
        <v>John Bradford</v>
      </c>
      <c r="G1907" s="2" t="str">
        <f>_xlfn.XLOOKUP(Table1[[#This Row],[Customer_ID]],Customer_Dim!$A$2:$A$501,Customer_Dim!$E$2:$E$501)</f>
        <v>Anabury</v>
      </c>
      <c r="H1907" t="s">
        <v>576</v>
      </c>
      <c r="I1907" t="str">
        <f>VLOOKUP(Table1[[#This Row],[Product_ID]],Product_Dim!$A$2:$G$101,2,FALSE)</f>
        <v>Women's Ankle Boots-Clothing</v>
      </c>
      <c r="J1907" t="s">
        <v>1673</v>
      </c>
      <c r="K1907" t="str">
        <f>VLOOKUP(Table1[[#This Row],[Store_ID]],Store_Dim!$A$3:$D$22,2,FALSE)</f>
        <v>Thomas, Bridges and Harris-North</v>
      </c>
      <c r="L1907" t="s">
        <v>1751</v>
      </c>
      <c r="M1907" t="s">
        <v>3957</v>
      </c>
      <c r="N1907" s="3">
        <v>979.49</v>
      </c>
      <c r="O1907" s="4">
        <v>0.19</v>
      </c>
      <c r="P1907" t="s">
        <v>1777</v>
      </c>
      <c r="Q1907" s="4">
        <v>793.38690000000008</v>
      </c>
    </row>
    <row r="1908" spans="1:17" x14ac:dyDescent="0.3">
      <c r="A1908" t="s">
        <v>3680</v>
      </c>
      <c r="B1908" t="str">
        <f t="shared" si="29"/>
        <v>Q4</v>
      </c>
      <c r="C1908" t="str">
        <f>TEXT(Table1[[#This Row],[Order_Date]],"mmmm")</f>
        <v>December</v>
      </c>
      <c r="D1908">
        <f>YEAR(Table1[[#This Row],[Order_Date]])</f>
        <v>2023</v>
      </c>
      <c r="E1908" s="7">
        <v>45289</v>
      </c>
      <c r="F1908" s="2" t="str">
        <f>VLOOKUP(Table1[[#This Row],[Customer_ID]],Customer_Dim!$A$2:$H$501,2,FALSE)</f>
        <v>David Roberts</v>
      </c>
      <c r="G1908" s="2" t="str">
        <f>_xlfn.XLOOKUP(Table1[[#This Row],[Customer_ID]],Customer_Dim!$A$2:$A$501,Customer_Dim!$E$2:$E$501)</f>
        <v>Port Amanda</v>
      </c>
      <c r="H1908" t="s">
        <v>628</v>
      </c>
      <c r="I1908" t="str">
        <f>VLOOKUP(Table1[[#This Row],[Product_ID]],Product_Dim!$A$2:$G$101,2,FALSE)</f>
        <v>Soccer Training Cone Set-Sports</v>
      </c>
      <c r="J1908" t="s">
        <v>1557</v>
      </c>
      <c r="K1908" t="str">
        <f>VLOOKUP(Table1[[#This Row],[Store_ID]],Store_Dim!$A$3:$D$22,2,FALSE)</f>
        <v>Black-Horn-South</v>
      </c>
      <c r="L1908" t="s">
        <v>1730</v>
      </c>
      <c r="M1908" t="s">
        <v>3958</v>
      </c>
      <c r="N1908" s="3">
        <v>988.53</v>
      </c>
      <c r="O1908" s="4">
        <v>0.3</v>
      </c>
      <c r="P1908" t="s">
        <v>1777</v>
      </c>
      <c r="Q1908" s="4">
        <v>2075.913</v>
      </c>
    </row>
    <row r="1909" spans="1:17" x14ac:dyDescent="0.3">
      <c r="A1909" t="s">
        <v>3681</v>
      </c>
      <c r="B1909" t="str">
        <f t="shared" si="29"/>
        <v>Q1</v>
      </c>
      <c r="C1909" t="str">
        <f>TEXT(Table1[[#This Row],[Order_Date]],"mmmm")</f>
        <v>February</v>
      </c>
      <c r="D1909">
        <f>YEAR(Table1[[#This Row],[Order_Date]])</f>
        <v>2025</v>
      </c>
      <c r="E1909" s="7">
        <v>45704</v>
      </c>
      <c r="F1909" s="2" t="str">
        <f>VLOOKUP(Table1[[#This Row],[Customer_ID]],Customer_Dim!$A$2:$H$501,2,FALSE)</f>
        <v>Damon Perez</v>
      </c>
      <c r="G1909" s="2" t="str">
        <f>_xlfn.XLOOKUP(Table1[[#This Row],[Customer_ID]],Customer_Dim!$A$2:$A$501,Customer_Dim!$E$2:$E$501)</f>
        <v>Jasonton</v>
      </c>
      <c r="H1909" t="s">
        <v>808</v>
      </c>
      <c r="I1909" t="str">
        <f>VLOOKUP(Table1[[#This Row],[Product_ID]],Product_Dim!$A$2:$G$101,2,FALSE)</f>
        <v>Wireless Mouse-Electronics</v>
      </c>
      <c r="J1909" t="s">
        <v>1675</v>
      </c>
      <c r="K1909" t="str">
        <f>VLOOKUP(Table1[[#This Row],[Store_ID]],Store_Dim!$A$3:$D$22,2,FALSE)</f>
        <v>Johnson-Wright-North</v>
      </c>
      <c r="L1909" t="s">
        <v>1733</v>
      </c>
      <c r="M1909" t="s">
        <v>3959</v>
      </c>
      <c r="N1909" s="3">
        <v>849.29</v>
      </c>
      <c r="O1909" s="4">
        <v>0.26</v>
      </c>
      <c r="P1909" t="s">
        <v>1772</v>
      </c>
      <c r="Q1909" s="4">
        <v>2513.8984</v>
      </c>
    </row>
    <row r="1910" spans="1:17" x14ac:dyDescent="0.3">
      <c r="A1910" t="s">
        <v>3682</v>
      </c>
      <c r="B1910" t="str">
        <f t="shared" si="29"/>
        <v>Q1</v>
      </c>
      <c r="C1910" t="str">
        <f>TEXT(Table1[[#This Row],[Order_Date]],"mmmm")</f>
        <v>January</v>
      </c>
      <c r="D1910">
        <f>YEAR(Table1[[#This Row],[Order_Date]])</f>
        <v>2024</v>
      </c>
      <c r="E1910" s="7">
        <v>45318</v>
      </c>
      <c r="F1910" s="2" t="str">
        <f>VLOOKUP(Table1[[#This Row],[Customer_ID]],Customer_Dim!$A$2:$H$501,2,FALSE)</f>
        <v>Ryan Moore</v>
      </c>
      <c r="G1910" s="2" t="str">
        <f>_xlfn.XLOOKUP(Table1[[#This Row],[Customer_ID]],Customer_Dim!$A$2:$A$501,Customer_Dim!$E$2:$E$501)</f>
        <v>Cartershire</v>
      </c>
      <c r="H1910" t="s">
        <v>1066</v>
      </c>
      <c r="I1910" t="str">
        <f>VLOOKUP(Table1[[#This Row],[Product_ID]],Product_Dim!$A$2:$G$101,2,FALSE)</f>
        <v>Sports Stopwatch Basic-Sports</v>
      </c>
      <c r="J1910" t="s">
        <v>1713</v>
      </c>
      <c r="K1910" t="str">
        <f>VLOOKUP(Table1[[#This Row],[Store_ID]],Store_Dim!$A$3:$D$22,2,FALSE)</f>
        <v>Mcdonald Inc-South</v>
      </c>
      <c r="L1910" t="s">
        <v>1754</v>
      </c>
      <c r="M1910" t="s">
        <v>3960</v>
      </c>
      <c r="N1910" s="3">
        <v>452.29</v>
      </c>
      <c r="O1910" s="4">
        <v>0.01</v>
      </c>
      <c r="P1910" t="s">
        <v>1777</v>
      </c>
      <c r="Q1910" s="4">
        <v>895.53420000000006</v>
      </c>
    </row>
    <row r="1911" spans="1:17" x14ac:dyDescent="0.3">
      <c r="A1911" t="s">
        <v>3683</v>
      </c>
      <c r="B1911" t="str">
        <f t="shared" si="29"/>
        <v>Q3</v>
      </c>
      <c r="C1911" t="str">
        <f>TEXT(Table1[[#This Row],[Order_Date]],"mmmm")</f>
        <v>July</v>
      </c>
      <c r="D1911">
        <f>YEAR(Table1[[#This Row],[Order_Date]])</f>
        <v>2024</v>
      </c>
      <c r="E1911" s="7">
        <v>45495</v>
      </c>
      <c r="F1911" s="2" t="str">
        <f>VLOOKUP(Table1[[#This Row],[Customer_ID]],Customer_Dim!$A$2:$H$501,2,FALSE)</f>
        <v>Gene Lee</v>
      </c>
      <c r="G1911" s="2" t="str">
        <f>_xlfn.XLOOKUP(Table1[[#This Row],[Customer_ID]],Customer_Dim!$A$2:$A$501,Customer_Dim!$E$2:$E$501)</f>
        <v>Mcfarlandmouth</v>
      </c>
      <c r="H1911" t="s">
        <v>1361</v>
      </c>
      <c r="I1911" t="str">
        <f>VLOOKUP(Table1[[#This Row],[Product_ID]],Product_Dim!$A$2:$G$101,2,FALSE)</f>
        <v>Sports Stopwatch Pro-Sports</v>
      </c>
      <c r="J1911" t="s">
        <v>1631</v>
      </c>
      <c r="K1911" t="str">
        <f>VLOOKUP(Table1[[#This Row],[Store_ID]],Store_Dim!$A$3:$D$22,2,FALSE)</f>
        <v>Guerrero-Schmitt-East</v>
      </c>
      <c r="L1911" t="s">
        <v>1761</v>
      </c>
      <c r="M1911" t="s">
        <v>3960</v>
      </c>
      <c r="N1911" s="3">
        <v>810.81</v>
      </c>
      <c r="O1911" s="4">
        <v>0.11</v>
      </c>
      <c r="P1911" t="s">
        <v>1777</v>
      </c>
      <c r="Q1911" s="4">
        <v>1443.2418</v>
      </c>
    </row>
    <row r="1912" spans="1:17" x14ac:dyDescent="0.3">
      <c r="A1912" t="s">
        <v>3684</v>
      </c>
      <c r="B1912" t="str">
        <f t="shared" si="29"/>
        <v>Q3</v>
      </c>
      <c r="C1912" t="str">
        <f>TEXT(Table1[[#This Row],[Order_Date]],"mmmm")</f>
        <v>September</v>
      </c>
      <c r="D1912">
        <f>YEAR(Table1[[#This Row],[Order_Date]])</f>
        <v>2024</v>
      </c>
      <c r="E1912" s="7">
        <v>45560</v>
      </c>
      <c r="F1912" s="2" t="str">
        <f>VLOOKUP(Table1[[#This Row],[Customer_ID]],Customer_Dim!$A$2:$H$501,2,FALSE)</f>
        <v>Sarah Vance</v>
      </c>
      <c r="G1912" s="2" t="str">
        <f>_xlfn.XLOOKUP(Table1[[#This Row],[Customer_ID]],Customer_Dim!$A$2:$A$501,Customer_Dim!$E$2:$E$501)</f>
        <v>Johnsonville</v>
      </c>
      <c r="H1912" t="s">
        <v>127</v>
      </c>
      <c r="I1912" t="str">
        <f>VLOOKUP(Table1[[#This Row],[Product_ID]],Product_Dim!$A$2:$G$101,2,FALSE)</f>
        <v>Tennis Ball 3-Pack-Sports</v>
      </c>
      <c r="J1912" t="s">
        <v>1645</v>
      </c>
      <c r="K1912" t="str">
        <f>VLOOKUP(Table1[[#This Row],[Store_ID]],Store_Dim!$A$3:$D$22,2,FALSE)</f>
        <v>Bean, Jones and Park-West</v>
      </c>
      <c r="L1912" t="s">
        <v>1744</v>
      </c>
      <c r="M1912" t="s">
        <v>3957</v>
      </c>
      <c r="N1912" s="3">
        <v>846.67</v>
      </c>
      <c r="O1912" s="4">
        <v>0.1</v>
      </c>
      <c r="P1912" t="s">
        <v>1777</v>
      </c>
      <c r="Q1912" s="4">
        <v>762.00299999999993</v>
      </c>
    </row>
    <row r="1913" spans="1:17" x14ac:dyDescent="0.3">
      <c r="A1913" t="s">
        <v>3685</v>
      </c>
      <c r="B1913" t="str">
        <f t="shared" si="29"/>
        <v>Q1</v>
      </c>
      <c r="C1913" t="str">
        <f>TEXT(Table1[[#This Row],[Order_Date]],"mmmm")</f>
        <v>March</v>
      </c>
      <c r="D1913">
        <f>YEAR(Table1[[#This Row],[Order_Date]])</f>
        <v>2024</v>
      </c>
      <c r="E1913" s="7">
        <v>45367</v>
      </c>
      <c r="F1913" s="2" t="str">
        <f>VLOOKUP(Table1[[#This Row],[Customer_ID]],Customer_Dim!$A$2:$H$501,2,FALSE)</f>
        <v>Adam Cruz</v>
      </c>
      <c r="G1913" s="2" t="str">
        <f>_xlfn.XLOOKUP(Table1[[#This Row],[Customer_ID]],Customer_Dim!$A$2:$A$501,Customer_Dim!$E$2:$E$501)</f>
        <v>Brandonville</v>
      </c>
      <c r="H1913" t="s">
        <v>78</v>
      </c>
      <c r="I1913" t="str">
        <f>VLOOKUP(Table1[[#This Row],[Product_ID]],Product_Dim!$A$2:$G$101,2,FALSE)</f>
        <v>Foldable Camping Chair-Sports</v>
      </c>
      <c r="J1913" t="s">
        <v>1571</v>
      </c>
      <c r="K1913" t="str">
        <f>VLOOKUP(Table1[[#This Row],[Store_ID]],Store_Dim!$A$3:$D$22,2,FALSE)</f>
        <v>Benson-Elliott-East</v>
      </c>
      <c r="L1913" t="s">
        <v>1740</v>
      </c>
      <c r="M1913" t="s">
        <v>3959</v>
      </c>
      <c r="N1913" s="3">
        <v>73.55</v>
      </c>
      <c r="O1913" s="4">
        <v>0.24</v>
      </c>
      <c r="P1913" t="s">
        <v>1777</v>
      </c>
      <c r="Q1913" s="4">
        <v>223.59200000000001</v>
      </c>
    </row>
    <row r="1914" spans="1:17" x14ac:dyDescent="0.3">
      <c r="A1914" t="s">
        <v>3686</v>
      </c>
      <c r="B1914" t="str">
        <f t="shared" si="29"/>
        <v>Q3</v>
      </c>
      <c r="C1914" t="str">
        <f>TEXT(Table1[[#This Row],[Order_Date]],"mmmm")</f>
        <v>July</v>
      </c>
      <c r="D1914">
        <f>YEAR(Table1[[#This Row],[Order_Date]])</f>
        <v>2025</v>
      </c>
      <c r="E1914" s="7">
        <v>45861</v>
      </c>
      <c r="F1914" s="2" t="str">
        <f>VLOOKUP(Table1[[#This Row],[Customer_ID]],Customer_Dim!$A$2:$H$501,2,FALSE)</f>
        <v>Stephen Fowler</v>
      </c>
      <c r="G1914" s="2" t="str">
        <f>_xlfn.XLOOKUP(Table1[[#This Row],[Customer_ID]],Customer_Dim!$A$2:$A$501,Customer_Dim!$E$2:$E$501)</f>
        <v>Port Mariastad</v>
      </c>
      <c r="H1914" t="s">
        <v>876</v>
      </c>
      <c r="I1914" t="str">
        <f>VLOOKUP(Table1[[#This Row],[Product_ID]],Product_Dim!$A$2:$G$101,2,FALSE)</f>
        <v>Microwave Oven-Home</v>
      </c>
      <c r="J1914" t="s">
        <v>1707</v>
      </c>
      <c r="K1914" t="str">
        <f>VLOOKUP(Table1[[#This Row],[Store_ID]],Store_Dim!$A$3:$D$22,2,FALSE)</f>
        <v>Benson-Elliott-East</v>
      </c>
      <c r="L1914" t="s">
        <v>1740</v>
      </c>
      <c r="M1914" t="s">
        <v>3957</v>
      </c>
      <c r="N1914" s="3">
        <v>882.03</v>
      </c>
      <c r="O1914" s="4">
        <v>0.04</v>
      </c>
      <c r="P1914" t="s">
        <v>1777</v>
      </c>
      <c r="Q1914" s="4">
        <v>846.74879999999996</v>
      </c>
    </row>
    <row r="1915" spans="1:17" x14ac:dyDescent="0.3">
      <c r="A1915" t="s">
        <v>3687</v>
      </c>
      <c r="B1915" t="str">
        <f t="shared" si="29"/>
        <v>Q4</v>
      </c>
      <c r="C1915" t="str">
        <f>TEXT(Table1[[#This Row],[Order_Date]],"mmmm")</f>
        <v>October</v>
      </c>
      <c r="D1915">
        <f>YEAR(Table1[[#This Row],[Order_Date]])</f>
        <v>2024</v>
      </c>
      <c r="E1915" s="7">
        <v>45589</v>
      </c>
      <c r="F1915" s="2" t="str">
        <f>VLOOKUP(Table1[[#This Row],[Customer_ID]],Customer_Dim!$A$2:$H$501,2,FALSE)</f>
        <v>Melissa Howard</v>
      </c>
      <c r="G1915" s="2" t="str">
        <f>_xlfn.XLOOKUP(Table1[[#This Row],[Customer_ID]],Customer_Dim!$A$2:$A$501,Customer_Dim!$E$2:$E$501)</f>
        <v>Maynardton</v>
      </c>
      <c r="H1915" t="s">
        <v>44</v>
      </c>
      <c r="I1915" t="str">
        <f>VLOOKUP(Table1[[#This Row],[Product_ID]],Product_Dim!$A$2:$G$101,2,FALSE)</f>
        <v>Carbon Fiber Tennis Racket-Sports</v>
      </c>
      <c r="J1915" t="s">
        <v>1567</v>
      </c>
      <c r="K1915" t="str">
        <f>VLOOKUP(Table1[[#This Row],[Store_ID]],Store_Dim!$A$3:$D$22,2,FALSE)</f>
        <v>Mcdonald Inc-South</v>
      </c>
      <c r="L1915" t="s">
        <v>1754</v>
      </c>
      <c r="M1915" t="s">
        <v>3957</v>
      </c>
      <c r="N1915" s="3">
        <v>958.44</v>
      </c>
      <c r="O1915" s="4">
        <v>0.21</v>
      </c>
      <c r="P1915" t="s">
        <v>1772</v>
      </c>
      <c r="Q1915" s="4">
        <v>757.16760000000011</v>
      </c>
    </row>
    <row r="1916" spans="1:17" x14ac:dyDescent="0.3">
      <c r="A1916" t="s">
        <v>3688</v>
      </c>
      <c r="B1916" t="str">
        <f t="shared" si="29"/>
        <v>Q3</v>
      </c>
      <c r="C1916" t="str">
        <f>TEXT(Table1[[#This Row],[Order_Date]],"mmmm")</f>
        <v>September</v>
      </c>
      <c r="D1916">
        <f>YEAR(Table1[[#This Row],[Order_Date]])</f>
        <v>2024</v>
      </c>
      <c r="E1916" s="7">
        <v>45560</v>
      </c>
      <c r="F1916" s="2" t="str">
        <f>VLOOKUP(Table1[[#This Row],[Customer_ID]],Customer_Dim!$A$2:$H$501,2,FALSE)</f>
        <v>Melissa Howard</v>
      </c>
      <c r="G1916" s="2" t="str">
        <f>_xlfn.XLOOKUP(Table1[[#This Row],[Customer_ID]],Customer_Dim!$A$2:$A$501,Customer_Dim!$E$2:$E$501)</f>
        <v>Maynardton</v>
      </c>
      <c r="H1916" t="s">
        <v>44</v>
      </c>
      <c r="I1916" t="str">
        <f>VLOOKUP(Table1[[#This Row],[Product_ID]],Product_Dim!$A$2:$G$101,2,FALSE)</f>
        <v>Stainless Steel Cookware Set-Home</v>
      </c>
      <c r="J1916" t="s">
        <v>1721</v>
      </c>
      <c r="K1916" t="str">
        <f>VLOOKUP(Table1[[#This Row],[Store_ID]],Store_Dim!$A$3:$D$22,2,FALSE)</f>
        <v>Black-Horn-South</v>
      </c>
      <c r="L1916" t="s">
        <v>1730</v>
      </c>
      <c r="M1916" t="s">
        <v>3957</v>
      </c>
      <c r="N1916" s="3">
        <v>716.29</v>
      </c>
      <c r="O1916" s="4">
        <v>0.01</v>
      </c>
      <c r="P1916" t="s">
        <v>1774</v>
      </c>
      <c r="Q1916" s="4">
        <v>709.12709999999993</v>
      </c>
    </row>
    <row r="1917" spans="1:17" x14ac:dyDescent="0.3">
      <c r="A1917" t="s">
        <v>3689</v>
      </c>
      <c r="B1917" t="str">
        <f t="shared" si="29"/>
        <v>Q2</v>
      </c>
      <c r="C1917" t="str">
        <f>TEXT(Table1[[#This Row],[Order_Date]],"mmmm")</f>
        <v>April</v>
      </c>
      <c r="D1917">
        <f>YEAR(Table1[[#This Row],[Order_Date]])</f>
        <v>2024</v>
      </c>
      <c r="E1917" s="7">
        <v>45408</v>
      </c>
      <c r="F1917" s="2" t="str">
        <f>VLOOKUP(Table1[[#This Row],[Customer_ID]],Customer_Dim!$A$2:$H$501,2,FALSE)</f>
        <v>Kristy Dunlap</v>
      </c>
      <c r="G1917" s="2" t="str">
        <f>_xlfn.XLOOKUP(Table1[[#This Row],[Customer_ID]],Customer_Dim!$A$2:$A$501,Customer_Dim!$E$2:$E$501)</f>
        <v>Whiteport</v>
      </c>
      <c r="H1917" t="s">
        <v>1007</v>
      </c>
      <c r="I1917" t="str">
        <f>VLOOKUP(Table1[[#This Row],[Product_ID]],Product_Dim!$A$2:$G$101,2,FALSE)</f>
        <v>Adjustable Dumbbell Set-Sports</v>
      </c>
      <c r="J1917" t="s">
        <v>1541</v>
      </c>
      <c r="K1917" t="str">
        <f>VLOOKUP(Table1[[#This Row],[Store_ID]],Store_Dim!$A$3:$D$22,2,FALSE)</f>
        <v>Frederick-Wright-West</v>
      </c>
      <c r="L1917" t="s">
        <v>1757</v>
      </c>
      <c r="M1917" t="s">
        <v>3960</v>
      </c>
      <c r="N1917" s="3">
        <v>409.14</v>
      </c>
      <c r="O1917" s="4">
        <v>0.01</v>
      </c>
      <c r="P1917" t="s">
        <v>1774</v>
      </c>
      <c r="Q1917" s="4">
        <v>810.09719999999993</v>
      </c>
    </row>
    <row r="1918" spans="1:17" x14ac:dyDescent="0.3">
      <c r="A1918" t="s">
        <v>3690</v>
      </c>
      <c r="B1918" t="str">
        <f t="shared" si="29"/>
        <v>Q1</v>
      </c>
      <c r="C1918" t="str">
        <f>TEXT(Table1[[#This Row],[Order_Date]],"mmmm")</f>
        <v>February</v>
      </c>
      <c r="D1918">
        <f>YEAR(Table1[[#This Row],[Order_Date]])</f>
        <v>2025</v>
      </c>
      <c r="E1918" s="7">
        <v>45714</v>
      </c>
      <c r="F1918" s="2" t="str">
        <f>VLOOKUP(Table1[[#This Row],[Customer_ID]],Customer_Dim!$A$2:$H$501,2,FALSE)</f>
        <v>Christy Hoffman</v>
      </c>
      <c r="G1918" s="2" t="str">
        <f>_xlfn.XLOOKUP(Table1[[#This Row],[Customer_ID]],Customer_Dim!$A$2:$A$501,Customer_Dim!$E$2:$E$501)</f>
        <v>Garyberg</v>
      </c>
      <c r="H1918" t="s">
        <v>301</v>
      </c>
      <c r="I1918" t="str">
        <f>VLOOKUP(Table1[[#This Row],[Product_ID]],Product_Dim!$A$2:$G$101,2,FALSE)</f>
        <v>Stainless Steel Cookware Set-Home</v>
      </c>
      <c r="J1918" t="s">
        <v>1721</v>
      </c>
      <c r="K1918" t="str">
        <f>VLOOKUP(Table1[[#This Row],[Store_ID]],Store_Dim!$A$3:$D$22,2,FALSE)</f>
        <v>Moore, Padilla and Butler-South</v>
      </c>
      <c r="L1918" t="s">
        <v>1746</v>
      </c>
      <c r="M1918" t="s">
        <v>3959</v>
      </c>
      <c r="N1918" s="3">
        <v>261.73</v>
      </c>
      <c r="O1918" s="4">
        <v>0.1</v>
      </c>
      <c r="P1918" t="s">
        <v>1774</v>
      </c>
      <c r="Q1918" s="4">
        <v>942.22800000000007</v>
      </c>
    </row>
    <row r="1919" spans="1:17" x14ac:dyDescent="0.3">
      <c r="A1919" t="s">
        <v>3691</v>
      </c>
      <c r="B1919" t="str">
        <f t="shared" si="29"/>
        <v>Q1</v>
      </c>
      <c r="C1919" t="str">
        <f>TEXT(Table1[[#This Row],[Order_Date]],"mmmm")</f>
        <v>January</v>
      </c>
      <c r="D1919">
        <f>YEAR(Table1[[#This Row],[Order_Date]])</f>
        <v>2025</v>
      </c>
      <c r="E1919" s="7">
        <v>45661</v>
      </c>
      <c r="F1919" s="2" t="str">
        <f>VLOOKUP(Table1[[#This Row],[Customer_ID]],Customer_Dim!$A$2:$H$501,2,FALSE)</f>
        <v>Cynthia Parrish</v>
      </c>
      <c r="G1919" s="2" t="str">
        <f>_xlfn.XLOOKUP(Table1[[#This Row],[Customer_ID]],Customer_Dim!$A$2:$A$501,Customer_Dim!$E$2:$E$501)</f>
        <v>Espinozaberg</v>
      </c>
      <c r="H1919" t="s">
        <v>1421</v>
      </c>
      <c r="I1919" t="str">
        <f>VLOOKUP(Table1[[#This Row],[Product_ID]],Product_Dim!$A$2:$G$101,2,FALSE)</f>
        <v>Hair Strengthening Shampoo-Beauty</v>
      </c>
      <c r="J1919" t="s">
        <v>1547</v>
      </c>
      <c r="K1919" t="str">
        <f>VLOOKUP(Table1[[#This Row],[Store_ID]],Store_Dim!$A$3:$D$22,2,FALSE)</f>
        <v>Rivera-Warner-East</v>
      </c>
      <c r="L1919" t="s">
        <v>1725</v>
      </c>
      <c r="M1919" t="s">
        <v>3960</v>
      </c>
      <c r="N1919" s="3">
        <v>687.35</v>
      </c>
      <c r="O1919" s="4">
        <v>0.2</v>
      </c>
      <c r="P1919" t="s">
        <v>1777</v>
      </c>
      <c r="Q1919" s="4">
        <v>1099.76</v>
      </c>
    </row>
    <row r="1920" spans="1:17" x14ac:dyDescent="0.3">
      <c r="A1920" t="s">
        <v>3692</v>
      </c>
      <c r="B1920" t="str">
        <f t="shared" si="29"/>
        <v>Q3</v>
      </c>
      <c r="C1920" t="str">
        <f>TEXT(Table1[[#This Row],[Order_Date]],"mmmm")</f>
        <v>September</v>
      </c>
      <c r="D1920">
        <f>YEAR(Table1[[#This Row],[Order_Date]])</f>
        <v>2025</v>
      </c>
      <c r="E1920" s="7">
        <v>45921</v>
      </c>
      <c r="F1920" s="2" t="str">
        <f>VLOOKUP(Table1[[#This Row],[Customer_ID]],Customer_Dim!$A$2:$H$501,2,FALSE)</f>
        <v>Jacqueline Pacheco</v>
      </c>
      <c r="G1920" s="2" t="str">
        <f>_xlfn.XLOOKUP(Table1[[#This Row],[Customer_ID]],Customer_Dim!$A$2:$A$501,Customer_Dim!$E$2:$E$501)</f>
        <v>South Emily</v>
      </c>
      <c r="H1920" t="s">
        <v>669</v>
      </c>
      <c r="I1920" t="str">
        <f>VLOOKUP(Table1[[#This Row],[Product_ID]],Product_Dim!$A$2:$G$101,2,FALSE)</f>
        <v>Wooden Bookshelf-Home</v>
      </c>
      <c r="J1920" t="s">
        <v>1691</v>
      </c>
      <c r="K1920" t="str">
        <f>VLOOKUP(Table1[[#This Row],[Store_ID]],Store_Dim!$A$3:$D$22,2,FALSE)</f>
        <v>Bean, Jones and Park-West</v>
      </c>
      <c r="L1920" t="s">
        <v>1744</v>
      </c>
      <c r="M1920" t="s">
        <v>3960</v>
      </c>
      <c r="N1920" s="3">
        <v>30.14</v>
      </c>
      <c r="O1920" s="4">
        <v>0.21</v>
      </c>
      <c r="P1920" t="s">
        <v>1772</v>
      </c>
      <c r="Q1920" s="4">
        <v>47.621200000000002</v>
      </c>
    </row>
    <row r="1921" spans="1:17" x14ac:dyDescent="0.3">
      <c r="A1921" t="s">
        <v>3693</v>
      </c>
      <c r="B1921" t="str">
        <f t="shared" si="29"/>
        <v>Q4</v>
      </c>
      <c r="C1921" t="str">
        <f>TEXT(Table1[[#This Row],[Order_Date]],"mmmm")</f>
        <v>December</v>
      </c>
      <c r="D1921">
        <f>YEAR(Table1[[#This Row],[Order_Date]])</f>
        <v>2024</v>
      </c>
      <c r="E1921" s="7">
        <v>45651</v>
      </c>
      <c r="F1921" s="2" t="str">
        <f>VLOOKUP(Table1[[#This Row],[Customer_ID]],Customer_Dim!$A$2:$H$501,2,FALSE)</f>
        <v>Sheila Wilson</v>
      </c>
      <c r="G1921" s="2" t="str">
        <f>_xlfn.XLOOKUP(Table1[[#This Row],[Customer_ID]],Customer_Dim!$A$2:$A$501,Customer_Dim!$E$2:$E$501)</f>
        <v>South Dustin</v>
      </c>
      <c r="H1921" t="s">
        <v>348</v>
      </c>
      <c r="I1921" t="str">
        <f>VLOOKUP(Table1[[#This Row],[Product_ID]],Product_Dim!$A$2:$G$101,2,FALSE)</f>
        <v>Gaming Mechanical Keyboard-Electronics</v>
      </c>
      <c r="J1921" t="s">
        <v>1591</v>
      </c>
      <c r="K1921" t="str">
        <f>VLOOKUP(Table1[[#This Row],[Store_ID]],Store_Dim!$A$3:$D$22,2,FALSE)</f>
        <v>Bean, Jones and Park-West</v>
      </c>
      <c r="L1921" t="s">
        <v>1744</v>
      </c>
      <c r="M1921" t="s">
        <v>3958</v>
      </c>
      <c r="N1921" s="3">
        <v>570.12</v>
      </c>
      <c r="O1921" s="4">
        <v>0.12</v>
      </c>
      <c r="P1921" t="s">
        <v>1774</v>
      </c>
      <c r="Q1921" s="4">
        <v>1505.1168</v>
      </c>
    </row>
    <row r="1922" spans="1:17" x14ac:dyDescent="0.3">
      <c r="A1922" t="s">
        <v>3694</v>
      </c>
      <c r="B1922" t="str">
        <f t="shared" ref="B1922:B1985" si="30">"Q" &amp;ROUNDUP(MONTH(E1922)/3,0)</f>
        <v>Q3</v>
      </c>
      <c r="C1922" t="str">
        <f>TEXT(Table1[[#This Row],[Order_Date]],"mmmm")</f>
        <v>August</v>
      </c>
      <c r="D1922">
        <f>YEAR(Table1[[#This Row],[Order_Date]])</f>
        <v>2025</v>
      </c>
      <c r="E1922" s="7">
        <v>45883</v>
      </c>
      <c r="F1922" s="2" t="str">
        <f>VLOOKUP(Table1[[#This Row],[Customer_ID]],Customer_Dim!$A$2:$H$501,2,FALSE)</f>
        <v>Brittany Watson</v>
      </c>
      <c r="G1922" s="2" t="str">
        <f>_xlfn.XLOOKUP(Table1[[#This Row],[Customer_ID]],Customer_Dim!$A$2:$A$501,Customer_Dim!$E$2:$E$501)</f>
        <v>North Joshualand</v>
      </c>
      <c r="H1922" t="s">
        <v>885</v>
      </c>
      <c r="I1922" t="str">
        <f>VLOOKUP(Table1[[#This Row],[Product_ID]],Product_Dim!$A$2:$G$101,2,FALSE)</f>
        <v>WiFi Mesh Router-Electronics</v>
      </c>
      <c r="J1922" t="s">
        <v>1677</v>
      </c>
      <c r="K1922" t="str">
        <f>VLOOKUP(Table1[[#This Row],[Store_ID]],Store_Dim!$A$3:$D$22,2,FALSE)</f>
        <v>Mann-Austin-East</v>
      </c>
      <c r="L1922" t="s">
        <v>1763</v>
      </c>
      <c r="M1922" t="s">
        <v>3958</v>
      </c>
      <c r="N1922" s="3">
        <v>401.87</v>
      </c>
      <c r="O1922" s="4">
        <v>0.28999999999999998</v>
      </c>
      <c r="P1922" t="s">
        <v>1777</v>
      </c>
      <c r="Q1922" s="4">
        <v>855.98310000000004</v>
      </c>
    </row>
    <row r="1923" spans="1:17" x14ac:dyDescent="0.3">
      <c r="A1923" t="s">
        <v>3695</v>
      </c>
      <c r="B1923" t="str">
        <f t="shared" si="30"/>
        <v>Q4</v>
      </c>
      <c r="C1923" t="str">
        <f>TEXT(Table1[[#This Row],[Order_Date]],"mmmm")</f>
        <v>November</v>
      </c>
      <c r="D1923">
        <f>YEAR(Table1[[#This Row],[Order_Date]])</f>
        <v>2024</v>
      </c>
      <c r="E1923" s="7">
        <v>45624</v>
      </c>
      <c r="F1923" s="2" t="str">
        <f>VLOOKUP(Table1[[#This Row],[Customer_ID]],Customer_Dim!$A$2:$H$501,2,FALSE)</f>
        <v>Christopher Ford</v>
      </c>
      <c r="G1923" s="2" t="str">
        <f>_xlfn.XLOOKUP(Table1[[#This Row],[Customer_ID]],Customer_Dim!$A$2:$A$501,Customer_Dim!$E$2:$E$501)</f>
        <v>North Seanfurt</v>
      </c>
      <c r="H1923" t="s">
        <v>1507</v>
      </c>
      <c r="I1923" t="str">
        <f>VLOOKUP(Table1[[#This Row],[Product_ID]],Product_Dim!$A$2:$G$101,2,FALSE)</f>
        <v>Decorative Lamp Shade-Home</v>
      </c>
      <c r="J1923" t="s">
        <v>1681</v>
      </c>
      <c r="K1923" t="str">
        <f>VLOOKUP(Table1[[#This Row],[Store_ID]],Store_Dim!$A$3:$D$22,2,FALSE)</f>
        <v>Thomas, Bridges and Harris-North</v>
      </c>
      <c r="L1923" t="s">
        <v>1751</v>
      </c>
      <c r="M1923" t="s">
        <v>3959</v>
      </c>
      <c r="N1923" s="3">
        <v>619.35</v>
      </c>
      <c r="O1923" s="4">
        <v>0.3</v>
      </c>
      <c r="P1923" t="s">
        <v>1772</v>
      </c>
      <c r="Q1923" s="4">
        <v>1734.18</v>
      </c>
    </row>
    <row r="1924" spans="1:17" x14ac:dyDescent="0.3">
      <c r="A1924" t="s">
        <v>3696</v>
      </c>
      <c r="B1924" t="str">
        <f t="shared" si="30"/>
        <v>Q4</v>
      </c>
      <c r="C1924" t="str">
        <f>TEXT(Table1[[#This Row],[Order_Date]],"mmmm")</f>
        <v>December</v>
      </c>
      <c r="D1924">
        <f>YEAR(Table1[[#This Row],[Order_Date]])</f>
        <v>2023</v>
      </c>
      <c r="E1924" s="7">
        <v>45276</v>
      </c>
      <c r="F1924" s="2" t="str">
        <f>VLOOKUP(Table1[[#This Row],[Customer_ID]],Customer_Dim!$A$2:$H$501,2,FALSE)</f>
        <v>Douglas Rhodes</v>
      </c>
      <c r="G1924" s="2" t="str">
        <f>_xlfn.XLOOKUP(Table1[[#This Row],[Customer_ID]],Customer_Dim!$A$2:$A$501,Customer_Dim!$E$2:$E$501)</f>
        <v>Mikehaven</v>
      </c>
      <c r="H1924" t="s">
        <v>785</v>
      </c>
      <c r="I1924" t="str">
        <f>VLOOKUP(Table1[[#This Row],[Product_ID]],Product_Dim!$A$2:$G$101,2,FALSE)</f>
        <v>Men's Winter Jacket-Clothing</v>
      </c>
      <c r="J1924" t="s">
        <v>1615</v>
      </c>
      <c r="K1924" t="str">
        <f>VLOOKUP(Table1[[#This Row],[Store_ID]],Store_Dim!$A$3:$D$22,2,FALSE)</f>
        <v>Holloway Ltd-North</v>
      </c>
      <c r="L1924" t="s">
        <v>1759</v>
      </c>
      <c r="M1924" t="s">
        <v>3959</v>
      </c>
      <c r="N1924" s="3">
        <v>569.36</v>
      </c>
      <c r="O1924" s="4">
        <v>0.27</v>
      </c>
      <c r="P1924" t="s">
        <v>1774</v>
      </c>
      <c r="Q1924" s="4">
        <v>1662.5311999999999</v>
      </c>
    </row>
    <row r="1925" spans="1:17" x14ac:dyDescent="0.3">
      <c r="A1925" t="s">
        <v>3697</v>
      </c>
      <c r="B1925" t="str">
        <f t="shared" si="30"/>
        <v>Q1</v>
      </c>
      <c r="C1925" t="str">
        <f>TEXT(Table1[[#This Row],[Order_Date]],"mmmm")</f>
        <v>February</v>
      </c>
      <c r="D1925">
        <f>YEAR(Table1[[#This Row],[Order_Date]])</f>
        <v>2024</v>
      </c>
      <c r="E1925" s="7">
        <v>45344</v>
      </c>
      <c r="F1925" s="2" t="str">
        <f>VLOOKUP(Table1[[#This Row],[Customer_ID]],Customer_Dim!$A$2:$H$501,2,FALSE)</f>
        <v>Elizabeth Foster</v>
      </c>
      <c r="G1925" s="2" t="str">
        <f>_xlfn.XLOOKUP(Table1[[#This Row],[Customer_ID]],Customer_Dim!$A$2:$A$501,Customer_Dim!$E$2:$E$501)</f>
        <v>Anthonymouth</v>
      </c>
      <c r="H1925" t="s">
        <v>1450</v>
      </c>
      <c r="I1925" t="str">
        <f>VLOOKUP(Table1[[#This Row],[Product_ID]],Product_Dim!$A$2:$G$101,2,FALSE)</f>
        <v>Decorative Floor Vase-Home</v>
      </c>
      <c r="J1925" t="s">
        <v>1577</v>
      </c>
      <c r="K1925" t="str">
        <f>VLOOKUP(Table1[[#This Row],[Store_ID]],Store_Dim!$A$3:$D$22,2,FALSE)</f>
        <v>Alexander Group-South</v>
      </c>
      <c r="L1925" t="s">
        <v>1735</v>
      </c>
      <c r="M1925" t="s">
        <v>3960</v>
      </c>
      <c r="N1925" s="3">
        <v>846.35</v>
      </c>
      <c r="O1925" s="4">
        <v>0.3</v>
      </c>
      <c r="P1925" t="s">
        <v>1777</v>
      </c>
      <c r="Q1925" s="4">
        <v>1184.8900000000001</v>
      </c>
    </row>
    <row r="1926" spans="1:17" x14ac:dyDescent="0.3">
      <c r="A1926" t="s">
        <v>3698</v>
      </c>
      <c r="B1926" t="str">
        <f t="shared" si="30"/>
        <v>Q3</v>
      </c>
      <c r="C1926" t="str">
        <f>TEXT(Table1[[#This Row],[Order_Date]],"mmmm")</f>
        <v>July</v>
      </c>
      <c r="D1926">
        <f>YEAR(Table1[[#This Row],[Order_Date]])</f>
        <v>2025</v>
      </c>
      <c r="E1926" s="7">
        <v>45849</v>
      </c>
      <c r="F1926" s="2" t="str">
        <f>VLOOKUP(Table1[[#This Row],[Customer_ID]],Customer_Dim!$A$2:$H$501,2,FALSE)</f>
        <v>Monique Castro</v>
      </c>
      <c r="G1926" s="2" t="str">
        <f>_xlfn.XLOOKUP(Table1[[#This Row],[Customer_ID]],Customer_Dim!$A$2:$A$501,Customer_Dim!$E$2:$E$501)</f>
        <v>New Sarah</v>
      </c>
      <c r="H1926" t="s">
        <v>1330</v>
      </c>
      <c r="I1926" t="str">
        <f>VLOOKUP(Table1[[#This Row],[Product_ID]],Product_Dim!$A$2:$G$101,2,FALSE)</f>
        <v>Stainless Steel Cutlery Set-Home</v>
      </c>
      <c r="J1926" t="s">
        <v>1583</v>
      </c>
      <c r="K1926" t="str">
        <f>VLOOKUP(Table1[[#This Row],[Store_ID]],Store_Dim!$A$3:$D$22,2,FALSE)</f>
        <v>Black-Horn-South</v>
      </c>
      <c r="L1926" t="s">
        <v>1730</v>
      </c>
      <c r="M1926" t="s">
        <v>3957</v>
      </c>
      <c r="N1926" s="3">
        <v>788.45</v>
      </c>
      <c r="O1926" s="4">
        <v>0.28999999999999998</v>
      </c>
      <c r="P1926" t="s">
        <v>1774</v>
      </c>
      <c r="Q1926" s="4">
        <v>559.79949999999997</v>
      </c>
    </row>
    <row r="1927" spans="1:17" x14ac:dyDescent="0.3">
      <c r="A1927" t="s">
        <v>3699</v>
      </c>
      <c r="B1927" t="str">
        <f t="shared" si="30"/>
        <v>Q3</v>
      </c>
      <c r="C1927" t="str">
        <f>TEXT(Table1[[#This Row],[Order_Date]],"mmmm")</f>
        <v>August</v>
      </c>
      <c r="D1927">
        <f>YEAR(Table1[[#This Row],[Order_Date]])</f>
        <v>2025</v>
      </c>
      <c r="E1927" s="7">
        <v>45880</v>
      </c>
      <c r="F1927" s="2" t="str">
        <f>VLOOKUP(Table1[[#This Row],[Customer_ID]],Customer_Dim!$A$2:$H$501,2,FALSE)</f>
        <v>Denise Tate</v>
      </c>
      <c r="G1927" s="2" t="str">
        <f>_xlfn.XLOOKUP(Table1[[#This Row],[Customer_ID]],Customer_Dim!$A$2:$A$501,Customer_Dim!$E$2:$E$501)</f>
        <v>Andersonside</v>
      </c>
      <c r="H1927" t="s">
        <v>1115</v>
      </c>
      <c r="I1927" t="str">
        <f>VLOOKUP(Table1[[#This Row],[Product_ID]],Product_Dim!$A$2:$G$101,2,FALSE)</f>
        <v>Bedroom Table Lamp-Home</v>
      </c>
      <c r="J1927" t="s">
        <v>1593</v>
      </c>
      <c r="K1927" t="str">
        <f>VLOOKUP(Table1[[#This Row],[Store_ID]],Store_Dim!$A$3:$D$22,2,FALSE)</f>
        <v>Thomas, Bridges and Harris-North</v>
      </c>
      <c r="L1927" t="s">
        <v>1751</v>
      </c>
      <c r="M1927" t="s">
        <v>3960</v>
      </c>
      <c r="N1927" s="3">
        <v>338.81</v>
      </c>
      <c r="O1927" s="4">
        <v>7.0000000000000007E-2</v>
      </c>
      <c r="P1927" t="s">
        <v>1777</v>
      </c>
      <c r="Q1927" s="4">
        <v>630.1866</v>
      </c>
    </row>
    <row r="1928" spans="1:17" x14ac:dyDescent="0.3">
      <c r="A1928" t="s">
        <v>3700</v>
      </c>
      <c r="B1928" t="str">
        <f t="shared" si="30"/>
        <v>Q3</v>
      </c>
      <c r="C1928" t="str">
        <f>TEXT(Table1[[#This Row],[Order_Date]],"mmmm")</f>
        <v>September</v>
      </c>
      <c r="D1928">
        <f>YEAR(Table1[[#This Row],[Order_Date]])</f>
        <v>2025</v>
      </c>
      <c r="E1928" s="7">
        <v>45907</v>
      </c>
      <c r="F1928" s="2" t="str">
        <f>VLOOKUP(Table1[[#This Row],[Customer_ID]],Customer_Dim!$A$2:$H$501,2,FALSE)</f>
        <v>Amber Carlson</v>
      </c>
      <c r="G1928" s="2" t="str">
        <f>_xlfn.XLOOKUP(Table1[[#This Row],[Customer_ID]],Customer_Dim!$A$2:$A$501,Customer_Dim!$E$2:$E$501)</f>
        <v>East Michellemouth</v>
      </c>
      <c r="H1928" t="s">
        <v>110</v>
      </c>
      <c r="I1928" t="str">
        <f>VLOOKUP(Table1[[#This Row],[Product_ID]],Product_Dim!$A$2:$G$101,2,FALSE)</f>
        <v>Decorative Wall Mirror-Home</v>
      </c>
      <c r="J1928" t="s">
        <v>1551</v>
      </c>
      <c r="K1928" t="str">
        <f>VLOOKUP(Table1[[#This Row],[Store_ID]],Store_Dim!$A$3:$D$22,2,FALSE)</f>
        <v>Gray Ltd-North</v>
      </c>
      <c r="L1928" t="s">
        <v>1738</v>
      </c>
      <c r="M1928" t="s">
        <v>3959</v>
      </c>
      <c r="N1928" s="3">
        <v>94.48</v>
      </c>
      <c r="O1928" s="4">
        <v>0.06</v>
      </c>
      <c r="P1928" t="s">
        <v>1777</v>
      </c>
      <c r="Q1928" s="4">
        <v>355.2448</v>
      </c>
    </row>
    <row r="1929" spans="1:17" x14ac:dyDescent="0.3">
      <c r="A1929" t="s">
        <v>3701</v>
      </c>
      <c r="B1929" t="str">
        <f t="shared" si="30"/>
        <v>Q3</v>
      </c>
      <c r="C1929" t="str">
        <f>TEXT(Table1[[#This Row],[Order_Date]],"mmmm")</f>
        <v>September</v>
      </c>
      <c r="D1929">
        <f>YEAR(Table1[[#This Row],[Order_Date]])</f>
        <v>2024</v>
      </c>
      <c r="E1929" s="7">
        <v>45545</v>
      </c>
      <c r="F1929" s="2" t="str">
        <f>VLOOKUP(Table1[[#This Row],[Customer_ID]],Customer_Dim!$A$2:$H$501,2,FALSE)</f>
        <v>Andrea Harris</v>
      </c>
      <c r="G1929" s="2" t="str">
        <f>_xlfn.XLOOKUP(Table1[[#This Row],[Customer_ID]],Customer_Dim!$A$2:$A$501,Customer_Dim!$E$2:$E$501)</f>
        <v>West Kelseyberg</v>
      </c>
      <c r="H1929" t="s">
        <v>1453</v>
      </c>
      <c r="I1929" t="str">
        <f>VLOOKUP(Table1[[#This Row],[Product_ID]],Product_Dim!$A$2:$G$101,2,FALSE)</f>
        <v>Knee Support Brace-Sports</v>
      </c>
      <c r="J1929" t="s">
        <v>1561</v>
      </c>
      <c r="K1929" t="str">
        <f>VLOOKUP(Table1[[#This Row],[Store_ID]],Store_Dim!$A$3:$D$22,2,FALSE)</f>
        <v>Gardner, Humphrey and Contreras-East</v>
      </c>
      <c r="L1929" t="s">
        <v>1753</v>
      </c>
      <c r="M1929" t="s">
        <v>3958</v>
      </c>
      <c r="N1929" s="3">
        <v>941.85</v>
      </c>
      <c r="O1929" s="4">
        <v>0.16</v>
      </c>
      <c r="P1929" t="s">
        <v>1774</v>
      </c>
      <c r="Q1929" s="4">
        <v>2373.462</v>
      </c>
    </row>
    <row r="1930" spans="1:17" x14ac:dyDescent="0.3">
      <c r="A1930" t="s">
        <v>3702</v>
      </c>
      <c r="B1930" t="str">
        <f t="shared" si="30"/>
        <v>Q4</v>
      </c>
      <c r="C1930" t="str">
        <f>TEXT(Table1[[#This Row],[Order_Date]],"mmmm")</f>
        <v>November</v>
      </c>
      <c r="D1930">
        <f>YEAR(Table1[[#This Row],[Order_Date]])</f>
        <v>2023</v>
      </c>
      <c r="E1930" s="7">
        <v>45257</v>
      </c>
      <c r="F1930" s="2" t="str">
        <f>VLOOKUP(Table1[[#This Row],[Customer_ID]],Customer_Dim!$A$2:$H$501,2,FALSE)</f>
        <v>Cynthia Morris</v>
      </c>
      <c r="G1930" s="2" t="str">
        <f>_xlfn.XLOOKUP(Table1[[#This Row],[Customer_ID]],Customer_Dim!$A$2:$A$501,Customer_Dim!$E$2:$E$501)</f>
        <v>Hessmouth</v>
      </c>
      <c r="H1930" t="s">
        <v>533</v>
      </c>
      <c r="I1930" t="str">
        <f>VLOOKUP(Table1[[#This Row],[Product_ID]],Product_Dim!$A$2:$G$101,2,FALSE)</f>
        <v>High-Grip Football-Sports</v>
      </c>
      <c r="J1930" t="s">
        <v>1613</v>
      </c>
      <c r="K1930" t="str">
        <f>VLOOKUP(Table1[[#This Row],[Store_ID]],Store_Dim!$A$3:$D$22,2,FALSE)</f>
        <v>Gray Ltd-North</v>
      </c>
      <c r="L1930" t="s">
        <v>1738</v>
      </c>
      <c r="M1930" t="s">
        <v>3960</v>
      </c>
      <c r="N1930" s="3">
        <v>336.97</v>
      </c>
      <c r="O1930" s="4">
        <v>0.14000000000000001</v>
      </c>
      <c r="P1930" t="s">
        <v>1774</v>
      </c>
      <c r="Q1930" s="4">
        <v>579.58840000000009</v>
      </c>
    </row>
    <row r="1931" spans="1:17" x14ac:dyDescent="0.3">
      <c r="A1931" t="s">
        <v>3703</v>
      </c>
      <c r="B1931" t="str">
        <f t="shared" si="30"/>
        <v>Q2</v>
      </c>
      <c r="C1931" t="str">
        <f>TEXT(Table1[[#This Row],[Order_Date]],"mmmm")</f>
        <v>June</v>
      </c>
      <c r="D1931">
        <f>YEAR(Table1[[#This Row],[Order_Date]])</f>
        <v>2024</v>
      </c>
      <c r="E1931" s="7">
        <v>45466</v>
      </c>
      <c r="F1931" s="2" t="str">
        <f>VLOOKUP(Table1[[#This Row],[Customer_ID]],Customer_Dim!$A$2:$H$501,2,FALSE)</f>
        <v>Kara Dodson</v>
      </c>
      <c r="G1931" s="2" t="str">
        <f>_xlfn.XLOOKUP(Table1[[#This Row],[Customer_ID]],Customer_Dim!$A$2:$A$501,Customer_Dim!$E$2:$E$501)</f>
        <v>Joelside</v>
      </c>
      <c r="H1931" t="s">
        <v>968</v>
      </c>
      <c r="I1931" t="str">
        <f>VLOOKUP(Table1[[#This Row],[Product_ID]],Product_Dim!$A$2:$G$101,2,FALSE)</f>
        <v>Men's Leather Belt-Clothing</v>
      </c>
      <c r="J1931" t="s">
        <v>1533</v>
      </c>
      <c r="K1931" t="str">
        <f>VLOOKUP(Table1[[#This Row],[Store_ID]],Store_Dim!$A$3:$D$22,2,FALSE)</f>
        <v>Gray Ltd-North</v>
      </c>
      <c r="L1931" t="s">
        <v>1738</v>
      </c>
      <c r="M1931" t="s">
        <v>3960</v>
      </c>
      <c r="N1931" s="3">
        <v>344.16</v>
      </c>
      <c r="O1931" s="4">
        <v>0.09</v>
      </c>
      <c r="P1931" t="s">
        <v>1774</v>
      </c>
      <c r="Q1931" s="4">
        <v>626.37120000000004</v>
      </c>
    </row>
    <row r="1932" spans="1:17" x14ac:dyDescent="0.3">
      <c r="A1932" t="s">
        <v>3704</v>
      </c>
      <c r="B1932" t="str">
        <f t="shared" si="30"/>
        <v>Q3</v>
      </c>
      <c r="C1932" t="str">
        <f>TEXT(Table1[[#This Row],[Order_Date]],"mmmm")</f>
        <v>July</v>
      </c>
      <c r="D1932">
        <f>YEAR(Table1[[#This Row],[Order_Date]])</f>
        <v>2025</v>
      </c>
      <c r="E1932" s="7">
        <v>45847</v>
      </c>
      <c r="F1932" s="2" t="str">
        <f>VLOOKUP(Table1[[#This Row],[Customer_ID]],Customer_Dim!$A$2:$H$501,2,FALSE)</f>
        <v>Matthew Avery</v>
      </c>
      <c r="G1932" s="2" t="str">
        <f>_xlfn.XLOOKUP(Table1[[#This Row],[Customer_ID]],Customer_Dim!$A$2:$A$501,Customer_Dim!$E$2:$E$501)</f>
        <v>Lake Melissashire</v>
      </c>
      <c r="H1932" t="s">
        <v>939</v>
      </c>
      <c r="I1932" t="str">
        <f>VLOOKUP(Table1[[#This Row],[Product_ID]],Product_Dim!$A$2:$G$101,2,FALSE)</f>
        <v>Car Dashboard Phone Holder-Electronics</v>
      </c>
      <c r="J1932" t="s">
        <v>1619</v>
      </c>
      <c r="K1932" t="str">
        <f>VLOOKUP(Table1[[#This Row],[Store_ID]],Store_Dim!$A$3:$D$22,2,FALSE)</f>
        <v>Moore, Padilla and Butler-South</v>
      </c>
      <c r="L1932" t="s">
        <v>1746</v>
      </c>
      <c r="M1932" t="s">
        <v>3957</v>
      </c>
      <c r="N1932" s="3">
        <v>841.53</v>
      </c>
      <c r="O1932" s="4">
        <v>0.15</v>
      </c>
      <c r="P1932" t="s">
        <v>1772</v>
      </c>
      <c r="Q1932" s="4">
        <v>715.30049999999994</v>
      </c>
    </row>
    <row r="1933" spans="1:17" x14ac:dyDescent="0.3">
      <c r="A1933" t="s">
        <v>3705</v>
      </c>
      <c r="B1933" t="str">
        <f t="shared" si="30"/>
        <v>Q2</v>
      </c>
      <c r="C1933" t="str">
        <f>TEXT(Table1[[#This Row],[Order_Date]],"mmmm")</f>
        <v>June</v>
      </c>
      <c r="D1933">
        <f>YEAR(Table1[[#This Row],[Order_Date]])</f>
        <v>2025</v>
      </c>
      <c r="E1933" s="7">
        <v>45825</v>
      </c>
      <c r="F1933" s="2" t="str">
        <f>VLOOKUP(Table1[[#This Row],[Customer_ID]],Customer_Dim!$A$2:$H$501,2,FALSE)</f>
        <v>Edwin Barnes</v>
      </c>
      <c r="G1933" s="2" t="str">
        <f>_xlfn.XLOOKUP(Table1[[#This Row],[Customer_ID]],Customer_Dim!$A$2:$A$501,Customer_Dim!$E$2:$E$501)</f>
        <v>Lake Alexandra</v>
      </c>
      <c r="H1933" t="s">
        <v>1300</v>
      </c>
      <c r="I1933" t="str">
        <f>VLOOKUP(Table1[[#This Row],[Product_ID]],Product_Dim!$A$2:$G$101,2,FALSE)</f>
        <v>Hydrating Face Cleanser-Beauty</v>
      </c>
      <c r="J1933" t="s">
        <v>1689</v>
      </c>
      <c r="K1933" t="str">
        <f>VLOOKUP(Table1[[#This Row],[Store_ID]],Store_Dim!$A$3:$D$22,2,FALSE)</f>
        <v>Holloway Ltd-North</v>
      </c>
      <c r="L1933" t="s">
        <v>1759</v>
      </c>
      <c r="M1933" t="s">
        <v>3958</v>
      </c>
      <c r="N1933" s="3">
        <v>63.36</v>
      </c>
      <c r="O1933" s="4">
        <v>0.28999999999999998</v>
      </c>
      <c r="P1933" t="s">
        <v>1777</v>
      </c>
      <c r="Q1933" s="4">
        <v>134.95679999999999</v>
      </c>
    </row>
    <row r="1934" spans="1:17" x14ac:dyDescent="0.3">
      <c r="A1934" t="s">
        <v>3706</v>
      </c>
      <c r="B1934" t="str">
        <f t="shared" si="30"/>
        <v>Q3</v>
      </c>
      <c r="C1934" t="str">
        <f>TEXT(Table1[[#This Row],[Order_Date]],"mmmm")</f>
        <v>July</v>
      </c>
      <c r="D1934">
        <f>YEAR(Table1[[#This Row],[Order_Date]])</f>
        <v>2025</v>
      </c>
      <c r="E1934" s="7">
        <v>45839</v>
      </c>
      <c r="F1934" s="2" t="str">
        <f>VLOOKUP(Table1[[#This Row],[Customer_ID]],Customer_Dim!$A$2:$H$501,2,FALSE)</f>
        <v>Christopher Ford</v>
      </c>
      <c r="G1934" s="2" t="str">
        <f>_xlfn.XLOOKUP(Table1[[#This Row],[Customer_ID]],Customer_Dim!$A$2:$A$501,Customer_Dim!$E$2:$E$501)</f>
        <v>North Seanfurt</v>
      </c>
      <c r="H1934" t="s">
        <v>1507</v>
      </c>
      <c r="I1934" t="str">
        <f>VLOOKUP(Table1[[#This Row],[Product_ID]],Product_Dim!$A$2:$G$101,2,FALSE)</f>
        <v>Essential Oil Diffuser-Home</v>
      </c>
      <c r="J1934" t="s">
        <v>1679</v>
      </c>
      <c r="K1934" t="str">
        <f>VLOOKUP(Table1[[#This Row],[Store_ID]],Store_Dim!$A$3:$D$22,2,FALSE)</f>
        <v>Bean, Jones and Park-West</v>
      </c>
      <c r="L1934" t="s">
        <v>1744</v>
      </c>
      <c r="M1934" t="s">
        <v>3960</v>
      </c>
      <c r="N1934" s="3">
        <v>552.49</v>
      </c>
      <c r="O1934" s="4">
        <v>0.1</v>
      </c>
      <c r="P1934" t="s">
        <v>1772</v>
      </c>
      <c r="Q1934" s="4">
        <v>994.48200000000008</v>
      </c>
    </row>
    <row r="1935" spans="1:17" x14ac:dyDescent="0.3">
      <c r="A1935" t="s">
        <v>3707</v>
      </c>
      <c r="B1935" t="str">
        <f t="shared" si="30"/>
        <v>Q1</v>
      </c>
      <c r="C1935" t="str">
        <f>TEXT(Table1[[#This Row],[Order_Date]],"mmmm")</f>
        <v>March</v>
      </c>
      <c r="D1935">
        <f>YEAR(Table1[[#This Row],[Order_Date]])</f>
        <v>2025</v>
      </c>
      <c r="E1935" s="7">
        <v>45720</v>
      </c>
      <c r="F1935" s="2" t="str">
        <f>VLOOKUP(Table1[[#This Row],[Customer_ID]],Customer_Dim!$A$2:$H$501,2,FALSE)</f>
        <v>Joshua Wilson</v>
      </c>
      <c r="G1935" s="2" t="str">
        <f>_xlfn.XLOOKUP(Table1[[#This Row],[Customer_ID]],Customer_Dim!$A$2:$A$501,Customer_Dim!$E$2:$E$501)</f>
        <v>North Larryport</v>
      </c>
      <c r="H1935" t="s">
        <v>752</v>
      </c>
      <c r="I1935" t="str">
        <f>VLOOKUP(Table1[[#This Row],[Product_ID]],Product_Dim!$A$2:$G$101,2,FALSE)</f>
        <v>Foldable Camping Chair-Sports</v>
      </c>
      <c r="J1935" t="s">
        <v>1571</v>
      </c>
      <c r="K1935" t="str">
        <f>VLOOKUP(Table1[[#This Row],[Store_ID]],Store_Dim!$A$3:$D$22,2,FALSE)</f>
        <v>Benson-Elliott-East</v>
      </c>
      <c r="L1935" t="s">
        <v>1740</v>
      </c>
      <c r="M1935" t="s">
        <v>3958</v>
      </c>
      <c r="N1935" s="3">
        <v>447.38</v>
      </c>
      <c r="O1935" s="4">
        <v>0.03</v>
      </c>
      <c r="P1935" t="s">
        <v>1772</v>
      </c>
      <c r="Q1935" s="4">
        <v>1301.8758</v>
      </c>
    </row>
    <row r="1936" spans="1:17" x14ac:dyDescent="0.3">
      <c r="A1936" t="s">
        <v>3708</v>
      </c>
      <c r="B1936" t="str">
        <f t="shared" si="30"/>
        <v>Q4</v>
      </c>
      <c r="C1936" t="str">
        <f>TEXT(Table1[[#This Row],[Order_Date]],"mmmm")</f>
        <v>November</v>
      </c>
      <c r="D1936">
        <f>YEAR(Table1[[#This Row],[Order_Date]])</f>
        <v>2023</v>
      </c>
      <c r="E1936" s="7">
        <v>45250</v>
      </c>
      <c r="F1936" s="2" t="str">
        <f>VLOOKUP(Table1[[#This Row],[Customer_ID]],Customer_Dim!$A$2:$H$501,2,FALSE)</f>
        <v>Shane Mills</v>
      </c>
      <c r="G1936" s="2" t="str">
        <f>_xlfn.XLOOKUP(Table1[[#This Row],[Customer_ID]],Customer_Dim!$A$2:$A$501,Customer_Dim!$E$2:$E$501)</f>
        <v>Lake Meganstad</v>
      </c>
      <c r="H1936" t="s">
        <v>1376</v>
      </c>
      <c r="I1936" t="str">
        <f>VLOOKUP(Table1[[#This Row],[Product_ID]],Product_Dim!$A$2:$G$101,2,FALSE)</f>
        <v>Shin Guards – Adult-Sports</v>
      </c>
      <c r="J1936" t="s">
        <v>1669</v>
      </c>
      <c r="K1936" t="str">
        <f>VLOOKUP(Table1[[#This Row],[Store_ID]],Store_Dim!$A$3:$D$22,2,FALSE)</f>
        <v>Mann-Austin-East</v>
      </c>
      <c r="L1936" t="s">
        <v>1763</v>
      </c>
      <c r="M1936" t="s">
        <v>3957</v>
      </c>
      <c r="N1936" s="3">
        <v>727.7</v>
      </c>
      <c r="O1936" s="4">
        <v>0.21</v>
      </c>
      <c r="P1936" t="s">
        <v>1777</v>
      </c>
      <c r="Q1936" s="4">
        <v>574.88300000000004</v>
      </c>
    </row>
    <row r="1937" spans="1:17" x14ac:dyDescent="0.3">
      <c r="A1937" t="s">
        <v>3709</v>
      </c>
      <c r="B1937" t="str">
        <f t="shared" si="30"/>
        <v>Q4</v>
      </c>
      <c r="C1937" t="str">
        <f>TEXT(Table1[[#This Row],[Order_Date]],"mmmm")</f>
        <v>November</v>
      </c>
      <c r="D1937">
        <f>YEAR(Table1[[#This Row],[Order_Date]])</f>
        <v>2023</v>
      </c>
      <c r="E1937" s="7">
        <v>45258</v>
      </c>
      <c r="F1937" s="2" t="str">
        <f>VLOOKUP(Table1[[#This Row],[Customer_ID]],Customer_Dim!$A$2:$H$501,2,FALSE)</f>
        <v>Sharon Simpson</v>
      </c>
      <c r="G1937" s="2" t="str">
        <f>_xlfn.XLOOKUP(Table1[[#This Row],[Customer_ID]],Customer_Dim!$A$2:$A$501,Customer_Dim!$E$2:$E$501)</f>
        <v>South Michellebury</v>
      </c>
      <c r="H1937" t="s">
        <v>1336</v>
      </c>
      <c r="I1937" t="str">
        <f>VLOOKUP(Table1[[#This Row],[Product_ID]],Product_Dim!$A$2:$G$101,2,FALSE)</f>
        <v>HDMI Cable – 2m-Electronics</v>
      </c>
      <c r="J1937" t="s">
        <v>1625</v>
      </c>
      <c r="K1937" t="str">
        <f>VLOOKUP(Table1[[#This Row],[Store_ID]],Store_Dim!$A$3:$D$22,2,FALSE)</f>
        <v>Martinez-Mullins-South</v>
      </c>
      <c r="L1937" t="s">
        <v>1742</v>
      </c>
      <c r="M1937" t="s">
        <v>3959</v>
      </c>
      <c r="N1937" s="3">
        <v>581.34</v>
      </c>
      <c r="O1937" s="4">
        <v>0.08</v>
      </c>
      <c r="P1937" t="s">
        <v>1772</v>
      </c>
      <c r="Q1937" s="4">
        <v>2139.3312000000001</v>
      </c>
    </row>
    <row r="1938" spans="1:17" x14ac:dyDescent="0.3">
      <c r="A1938" t="s">
        <v>3710</v>
      </c>
      <c r="B1938" t="str">
        <f t="shared" si="30"/>
        <v>Q2</v>
      </c>
      <c r="C1938" t="str">
        <f>TEXT(Table1[[#This Row],[Order_Date]],"mmmm")</f>
        <v>May</v>
      </c>
      <c r="D1938">
        <f>YEAR(Table1[[#This Row],[Order_Date]])</f>
        <v>2025</v>
      </c>
      <c r="E1938" s="7">
        <v>45793</v>
      </c>
      <c r="F1938" s="2" t="str">
        <f>VLOOKUP(Table1[[#This Row],[Customer_ID]],Customer_Dim!$A$2:$H$501,2,FALSE)</f>
        <v>Samantha Walker</v>
      </c>
      <c r="G1938" s="2" t="str">
        <f>_xlfn.XLOOKUP(Table1[[#This Row],[Customer_ID]],Customer_Dim!$A$2:$A$501,Customer_Dim!$E$2:$E$501)</f>
        <v>Timothyburgh</v>
      </c>
      <c r="H1938" t="s">
        <v>339</v>
      </c>
      <c r="I1938" t="str">
        <f>VLOOKUP(Table1[[#This Row],[Product_ID]],Product_Dim!$A$2:$G$101,2,FALSE)</f>
        <v>Women's Hair Dryer Brush-Beauty</v>
      </c>
      <c r="J1938" t="s">
        <v>1655</v>
      </c>
      <c r="K1938" t="str">
        <f>VLOOKUP(Table1[[#This Row],[Store_ID]],Store_Dim!$A$3:$D$22,2,FALSE)</f>
        <v>Martinez, Adkins and Johnson-North</v>
      </c>
      <c r="L1938" t="s">
        <v>1728</v>
      </c>
      <c r="M1938" t="s">
        <v>3957</v>
      </c>
      <c r="N1938" s="3">
        <v>338.83</v>
      </c>
      <c r="O1938" s="4">
        <v>0.19</v>
      </c>
      <c r="P1938" t="s">
        <v>1774</v>
      </c>
      <c r="Q1938" s="4">
        <v>274.45229999999998</v>
      </c>
    </row>
    <row r="1939" spans="1:17" x14ac:dyDescent="0.3">
      <c r="A1939" t="s">
        <v>3711</v>
      </c>
      <c r="B1939" t="str">
        <f t="shared" si="30"/>
        <v>Q4</v>
      </c>
      <c r="C1939" t="str">
        <f>TEXT(Table1[[#This Row],[Order_Date]],"mmmm")</f>
        <v>December</v>
      </c>
      <c r="D1939">
        <f>YEAR(Table1[[#This Row],[Order_Date]])</f>
        <v>2023</v>
      </c>
      <c r="E1939" s="7">
        <v>45265</v>
      </c>
      <c r="F1939" s="2" t="str">
        <f>VLOOKUP(Table1[[#This Row],[Customer_ID]],Customer_Dim!$A$2:$H$501,2,FALSE)</f>
        <v>Donna Guerra</v>
      </c>
      <c r="G1939" s="2" t="str">
        <f>_xlfn.XLOOKUP(Table1[[#This Row],[Customer_ID]],Customer_Dim!$A$2:$A$501,Customer_Dim!$E$2:$E$501)</f>
        <v>North Robert</v>
      </c>
      <c r="H1939" t="s">
        <v>897</v>
      </c>
      <c r="I1939" t="str">
        <f>VLOOKUP(Table1[[#This Row],[Product_ID]],Product_Dim!$A$2:$G$101,2,FALSE)</f>
        <v>Men's Roll-On Perfume-Beauty</v>
      </c>
      <c r="J1939" t="s">
        <v>1621</v>
      </c>
      <c r="K1939" t="str">
        <f>VLOOKUP(Table1[[#This Row],[Store_ID]],Store_Dim!$A$3:$D$22,2,FALSE)</f>
        <v>Gardner, Humphrey and Contreras-East</v>
      </c>
      <c r="L1939" t="s">
        <v>1753</v>
      </c>
      <c r="M1939" t="s">
        <v>3959</v>
      </c>
      <c r="N1939" s="3">
        <v>568.80999999999995</v>
      </c>
      <c r="O1939" s="4">
        <v>0.25</v>
      </c>
      <c r="P1939" t="s">
        <v>1772</v>
      </c>
      <c r="Q1939" s="4">
        <v>1706.43</v>
      </c>
    </row>
    <row r="1940" spans="1:17" x14ac:dyDescent="0.3">
      <c r="A1940" t="s">
        <v>3712</v>
      </c>
      <c r="B1940" t="str">
        <f t="shared" si="30"/>
        <v>Q4</v>
      </c>
      <c r="C1940" t="str">
        <f>TEXT(Table1[[#This Row],[Order_Date]],"mmmm")</f>
        <v>November</v>
      </c>
      <c r="D1940">
        <f>YEAR(Table1[[#This Row],[Order_Date]])</f>
        <v>2024</v>
      </c>
      <c r="E1940" s="7">
        <v>45607</v>
      </c>
      <c r="F1940" s="2" t="str">
        <f>VLOOKUP(Table1[[#This Row],[Customer_ID]],Customer_Dim!$A$2:$H$501,2,FALSE)</f>
        <v>Joshua Bell</v>
      </c>
      <c r="G1940" s="2" t="str">
        <f>_xlfn.XLOOKUP(Table1[[#This Row],[Customer_ID]],Customer_Dim!$A$2:$A$501,Customer_Dim!$E$2:$E$501)</f>
        <v>Port Richardshire</v>
      </c>
      <c r="H1940" t="s">
        <v>1159</v>
      </c>
      <c r="I1940" t="str">
        <f>VLOOKUP(Table1[[#This Row],[Product_ID]],Product_Dim!$A$2:$G$101,2,FALSE)</f>
        <v>Tennis Ball 3-Pack-Sports</v>
      </c>
      <c r="J1940" t="s">
        <v>1645</v>
      </c>
      <c r="K1940" t="str">
        <f>VLOOKUP(Table1[[#This Row],[Store_ID]],Store_Dim!$A$3:$D$22,2,FALSE)</f>
        <v>Holloway Ltd-North</v>
      </c>
      <c r="L1940" t="s">
        <v>1759</v>
      </c>
      <c r="M1940" t="s">
        <v>3960</v>
      </c>
      <c r="N1940" s="3">
        <v>352.63</v>
      </c>
      <c r="O1940" s="4">
        <v>0.15</v>
      </c>
      <c r="P1940" t="s">
        <v>1774</v>
      </c>
      <c r="Q1940" s="4">
        <v>599.471</v>
      </c>
    </row>
    <row r="1941" spans="1:17" x14ac:dyDescent="0.3">
      <c r="A1941" t="s">
        <v>3713</v>
      </c>
      <c r="B1941" t="str">
        <f t="shared" si="30"/>
        <v>Q1</v>
      </c>
      <c r="C1941" t="str">
        <f>TEXT(Table1[[#This Row],[Order_Date]],"mmmm")</f>
        <v>March</v>
      </c>
      <c r="D1941">
        <f>YEAR(Table1[[#This Row],[Order_Date]])</f>
        <v>2024</v>
      </c>
      <c r="E1941" s="7">
        <v>45382</v>
      </c>
      <c r="F1941" s="2" t="str">
        <f>VLOOKUP(Table1[[#This Row],[Customer_ID]],Customer_Dim!$A$2:$H$501,2,FALSE)</f>
        <v>Maria Sanchez</v>
      </c>
      <c r="G1941" s="2" t="str">
        <f>_xlfn.XLOOKUP(Table1[[#This Row],[Customer_ID]],Customer_Dim!$A$2:$A$501,Customer_Dim!$E$2:$E$501)</f>
        <v>East Peterbury</v>
      </c>
      <c r="H1941" t="s">
        <v>518</v>
      </c>
      <c r="I1941" t="str">
        <f>VLOOKUP(Table1[[#This Row],[Product_ID]],Product_Dim!$A$2:$G$101,2,FALSE)</f>
        <v>Women's Formal Blazer-Clothing</v>
      </c>
      <c r="J1941" t="s">
        <v>1715</v>
      </c>
      <c r="K1941" t="str">
        <f>VLOOKUP(Table1[[#This Row],[Store_ID]],Store_Dim!$A$3:$D$22,2,FALSE)</f>
        <v>Gardner, Humphrey and Contreras-East</v>
      </c>
      <c r="L1941" t="s">
        <v>1753</v>
      </c>
      <c r="M1941" t="s">
        <v>3960</v>
      </c>
      <c r="N1941" s="3">
        <v>629.86</v>
      </c>
      <c r="O1941" s="4">
        <v>0.15</v>
      </c>
      <c r="P1941" t="s">
        <v>1774</v>
      </c>
      <c r="Q1941" s="4">
        <v>1070.7619999999999</v>
      </c>
    </row>
    <row r="1942" spans="1:17" x14ac:dyDescent="0.3">
      <c r="A1942" t="s">
        <v>3714</v>
      </c>
      <c r="B1942" t="str">
        <f t="shared" si="30"/>
        <v>Q2</v>
      </c>
      <c r="C1942" t="str">
        <f>TEXT(Table1[[#This Row],[Order_Date]],"mmmm")</f>
        <v>May</v>
      </c>
      <c r="D1942">
        <f>YEAR(Table1[[#This Row],[Order_Date]])</f>
        <v>2025</v>
      </c>
      <c r="E1942" s="7">
        <v>45793</v>
      </c>
      <c r="F1942" s="2" t="str">
        <f>VLOOKUP(Table1[[#This Row],[Customer_ID]],Customer_Dim!$A$2:$H$501,2,FALSE)</f>
        <v>Amanda Powell</v>
      </c>
      <c r="G1942" s="2" t="str">
        <f>_xlfn.XLOOKUP(Table1[[#This Row],[Customer_ID]],Customer_Dim!$A$2:$A$501,Customer_Dim!$E$2:$E$501)</f>
        <v>South William</v>
      </c>
      <c r="H1942" t="s">
        <v>1499</v>
      </c>
      <c r="I1942" t="str">
        <f>VLOOKUP(Table1[[#This Row],[Product_ID]],Product_Dim!$A$2:$G$101,2,FALSE)</f>
        <v>Portable Bluetooth Speaker-Electronics</v>
      </c>
      <c r="J1942" t="s">
        <v>1719</v>
      </c>
      <c r="K1942" t="str">
        <f>VLOOKUP(Table1[[#This Row],[Store_ID]],Store_Dim!$A$3:$D$22,2,FALSE)</f>
        <v>Johnson-Wright-North</v>
      </c>
      <c r="L1942" t="s">
        <v>1733</v>
      </c>
      <c r="M1942" t="s">
        <v>3958</v>
      </c>
      <c r="N1942" s="3">
        <v>212.08</v>
      </c>
      <c r="O1942" s="4">
        <v>7.0000000000000007E-2</v>
      </c>
      <c r="P1942" t="s">
        <v>1772</v>
      </c>
      <c r="Q1942" s="4">
        <v>591.70319999999992</v>
      </c>
    </row>
    <row r="1943" spans="1:17" x14ac:dyDescent="0.3">
      <c r="A1943" t="s">
        <v>3715</v>
      </c>
      <c r="B1943" t="str">
        <f t="shared" si="30"/>
        <v>Q4</v>
      </c>
      <c r="C1943" t="str">
        <f>TEXT(Table1[[#This Row],[Order_Date]],"mmmm")</f>
        <v>October</v>
      </c>
      <c r="D1943">
        <f>YEAR(Table1[[#This Row],[Order_Date]])</f>
        <v>2024</v>
      </c>
      <c r="E1943" s="7">
        <v>45590</v>
      </c>
      <c r="F1943" s="2" t="str">
        <f>VLOOKUP(Table1[[#This Row],[Customer_ID]],Customer_Dim!$A$2:$H$501,2,FALSE)</f>
        <v>Cynthia Morris</v>
      </c>
      <c r="G1943" s="2" t="str">
        <f>_xlfn.XLOOKUP(Table1[[#This Row],[Customer_ID]],Customer_Dim!$A$2:$A$501,Customer_Dim!$E$2:$E$501)</f>
        <v>Hessmouth</v>
      </c>
      <c r="H1943" t="s">
        <v>533</v>
      </c>
      <c r="I1943" t="str">
        <f>VLOOKUP(Table1[[#This Row],[Product_ID]],Product_Dim!$A$2:$G$101,2,FALSE)</f>
        <v>Foam Roller-Sports</v>
      </c>
      <c r="J1943" t="s">
        <v>1637</v>
      </c>
      <c r="K1943" t="str">
        <f>VLOOKUP(Table1[[#This Row],[Store_ID]],Store_Dim!$A$3:$D$22,2,FALSE)</f>
        <v>Black-Horn-South</v>
      </c>
      <c r="L1943" t="s">
        <v>1730</v>
      </c>
      <c r="M1943" t="s">
        <v>3958</v>
      </c>
      <c r="N1943" s="3">
        <v>878.62</v>
      </c>
      <c r="O1943" s="4">
        <v>0.05</v>
      </c>
      <c r="P1943" t="s">
        <v>1774</v>
      </c>
      <c r="Q1943" s="4">
        <v>2504.067</v>
      </c>
    </row>
    <row r="1944" spans="1:17" x14ac:dyDescent="0.3">
      <c r="A1944" t="s">
        <v>3716</v>
      </c>
      <c r="B1944" t="str">
        <f t="shared" si="30"/>
        <v>Q1</v>
      </c>
      <c r="C1944" t="str">
        <f>TEXT(Table1[[#This Row],[Order_Date]],"mmmm")</f>
        <v>January</v>
      </c>
      <c r="D1944">
        <f>YEAR(Table1[[#This Row],[Order_Date]])</f>
        <v>2025</v>
      </c>
      <c r="E1944" s="7">
        <v>45679</v>
      </c>
      <c r="F1944" s="2" t="str">
        <f>VLOOKUP(Table1[[#This Row],[Customer_ID]],Customer_Dim!$A$2:$H$501,2,FALSE)</f>
        <v>Carol Bishop</v>
      </c>
      <c r="G1944" s="2" t="str">
        <f>_xlfn.XLOOKUP(Table1[[#This Row],[Customer_ID]],Customer_Dim!$A$2:$A$501,Customer_Dim!$E$2:$E$501)</f>
        <v>Lake Saramouth</v>
      </c>
      <c r="H1944" t="s">
        <v>826</v>
      </c>
      <c r="I1944" t="str">
        <f>VLOOKUP(Table1[[#This Row],[Product_ID]],Product_Dim!$A$2:$G$101,2,FALSE)</f>
        <v>Wall-Mounted Spice Rack-Home</v>
      </c>
      <c r="J1944" t="s">
        <v>1683</v>
      </c>
      <c r="K1944" t="str">
        <f>VLOOKUP(Table1[[#This Row],[Store_ID]],Store_Dim!$A$3:$D$22,2,FALSE)</f>
        <v>Hill, Wagner and Ballard-East</v>
      </c>
      <c r="L1944" t="s">
        <v>1748</v>
      </c>
      <c r="M1944" t="s">
        <v>3959</v>
      </c>
      <c r="N1944" s="3">
        <v>87.83</v>
      </c>
      <c r="O1944" s="4">
        <v>0.23</v>
      </c>
      <c r="P1944" t="s">
        <v>1774</v>
      </c>
      <c r="Q1944" s="4">
        <v>270.51639999999998</v>
      </c>
    </row>
    <row r="1945" spans="1:17" x14ac:dyDescent="0.3">
      <c r="A1945" t="s">
        <v>3717</v>
      </c>
      <c r="B1945" t="str">
        <f t="shared" si="30"/>
        <v>Q2</v>
      </c>
      <c r="C1945" t="str">
        <f>TEXT(Table1[[#This Row],[Order_Date]],"mmmm")</f>
        <v>June</v>
      </c>
      <c r="D1945">
        <f>YEAR(Table1[[#This Row],[Order_Date]])</f>
        <v>2025</v>
      </c>
      <c r="E1945" s="7">
        <v>45814</v>
      </c>
      <c r="F1945" s="2" t="str">
        <f>VLOOKUP(Table1[[#This Row],[Customer_ID]],Customer_Dim!$A$2:$H$501,2,FALSE)</f>
        <v>Shannon Miller</v>
      </c>
      <c r="G1945" s="2" t="str">
        <f>_xlfn.XLOOKUP(Table1[[#This Row],[Customer_ID]],Customer_Dim!$A$2:$A$501,Customer_Dim!$E$2:$E$501)</f>
        <v>North Austinport</v>
      </c>
      <c r="H1945" t="s">
        <v>867</v>
      </c>
      <c r="I1945" t="str">
        <f>VLOOKUP(Table1[[#This Row],[Product_ID]],Product_Dim!$A$2:$G$101,2,FALSE)</f>
        <v>Premium Blanket Throw-Home</v>
      </c>
      <c r="J1945" t="s">
        <v>1635</v>
      </c>
      <c r="K1945" t="str">
        <f>VLOOKUP(Table1[[#This Row],[Store_ID]],Store_Dim!$A$3:$D$22,2,FALSE)</f>
        <v>Moore, Padilla and Butler-South</v>
      </c>
      <c r="L1945" t="s">
        <v>1746</v>
      </c>
      <c r="M1945" t="s">
        <v>3958</v>
      </c>
      <c r="N1945" s="3">
        <v>442.64</v>
      </c>
      <c r="O1945" s="4">
        <v>0.15</v>
      </c>
      <c r="P1945" t="s">
        <v>1777</v>
      </c>
      <c r="Q1945" s="4">
        <v>1128.732</v>
      </c>
    </row>
    <row r="1946" spans="1:17" x14ac:dyDescent="0.3">
      <c r="A1946" t="s">
        <v>3718</v>
      </c>
      <c r="B1946" t="str">
        <f t="shared" si="30"/>
        <v>Q2</v>
      </c>
      <c r="C1946" t="str">
        <f>TEXT(Table1[[#This Row],[Order_Date]],"mmmm")</f>
        <v>May</v>
      </c>
      <c r="D1946">
        <f>YEAR(Table1[[#This Row],[Order_Date]])</f>
        <v>2025</v>
      </c>
      <c r="E1946" s="7">
        <v>45795</v>
      </c>
      <c r="F1946" s="2" t="str">
        <f>VLOOKUP(Table1[[#This Row],[Customer_ID]],Customer_Dim!$A$2:$H$501,2,FALSE)</f>
        <v>Christy Vasquez</v>
      </c>
      <c r="G1946" s="2" t="str">
        <f>_xlfn.XLOOKUP(Table1[[#This Row],[Customer_ID]],Customer_Dim!$A$2:$A$501,Customer_Dim!$E$2:$E$501)</f>
        <v>Port Travisstad</v>
      </c>
      <c r="H1946" t="s">
        <v>330</v>
      </c>
      <c r="I1946" t="str">
        <f>VLOOKUP(Table1[[#This Row],[Product_ID]],Product_Dim!$A$2:$G$101,2,FALSE)</f>
        <v>Sports Water Hydration Pack-Sports</v>
      </c>
      <c r="J1946" t="s">
        <v>1599</v>
      </c>
      <c r="K1946" t="str">
        <f>VLOOKUP(Table1[[#This Row],[Store_ID]],Store_Dim!$A$3:$D$22,2,FALSE)</f>
        <v>Black-Horn-South</v>
      </c>
      <c r="L1946" t="s">
        <v>1730</v>
      </c>
      <c r="M1946" t="s">
        <v>3958</v>
      </c>
      <c r="N1946" s="3">
        <v>410.04</v>
      </c>
      <c r="O1946" s="4">
        <v>0.09</v>
      </c>
      <c r="P1946" t="s">
        <v>1777</v>
      </c>
      <c r="Q1946" s="4">
        <v>1119.4092000000001</v>
      </c>
    </row>
    <row r="1947" spans="1:17" x14ac:dyDescent="0.3">
      <c r="A1947" t="s">
        <v>3719</v>
      </c>
      <c r="B1947" t="str">
        <f t="shared" si="30"/>
        <v>Q2</v>
      </c>
      <c r="C1947" t="str">
        <f>TEXT(Table1[[#This Row],[Order_Date]],"mmmm")</f>
        <v>May</v>
      </c>
      <c r="D1947">
        <f>YEAR(Table1[[#This Row],[Order_Date]])</f>
        <v>2025</v>
      </c>
      <c r="E1947" s="7">
        <v>45797</v>
      </c>
      <c r="F1947" s="2" t="str">
        <f>VLOOKUP(Table1[[#This Row],[Customer_ID]],Customer_Dim!$A$2:$H$501,2,FALSE)</f>
        <v>Hayley Pope</v>
      </c>
      <c r="G1947" s="2" t="str">
        <f>_xlfn.XLOOKUP(Table1[[#This Row],[Customer_ID]],Customer_Dim!$A$2:$A$501,Customer_Dim!$E$2:$E$501)</f>
        <v>West Stephenville</v>
      </c>
      <c r="H1947" t="s">
        <v>450</v>
      </c>
      <c r="I1947" t="str">
        <f>VLOOKUP(Table1[[#This Row],[Product_ID]],Product_Dim!$A$2:$G$101,2,FALSE)</f>
        <v>Vitamin E Body Lotion-Beauty</v>
      </c>
      <c r="J1947" t="s">
        <v>1711</v>
      </c>
      <c r="K1947" t="str">
        <f>VLOOKUP(Table1[[#This Row],[Store_ID]],Store_Dim!$A$3:$D$22,2,FALSE)</f>
        <v>Holloway Ltd-North</v>
      </c>
      <c r="L1947" t="s">
        <v>1759</v>
      </c>
      <c r="M1947" t="s">
        <v>3957</v>
      </c>
      <c r="N1947" s="3">
        <v>355.31</v>
      </c>
      <c r="O1947" s="4">
        <v>0.27</v>
      </c>
      <c r="P1947" t="s">
        <v>1772</v>
      </c>
      <c r="Q1947" s="4">
        <v>259.37630000000001</v>
      </c>
    </row>
    <row r="1948" spans="1:17" x14ac:dyDescent="0.3">
      <c r="A1948" t="s">
        <v>3720</v>
      </c>
      <c r="B1948" t="str">
        <f t="shared" si="30"/>
        <v>Q4</v>
      </c>
      <c r="C1948" t="str">
        <f>TEXT(Table1[[#This Row],[Order_Date]],"mmmm")</f>
        <v>November</v>
      </c>
      <c r="D1948">
        <f>YEAR(Table1[[#This Row],[Order_Date]])</f>
        <v>2024</v>
      </c>
      <c r="E1948" s="7">
        <v>45607</v>
      </c>
      <c r="F1948" s="2" t="str">
        <f>VLOOKUP(Table1[[#This Row],[Customer_ID]],Customer_Dim!$A$2:$H$501,2,FALSE)</f>
        <v>Michele Burke</v>
      </c>
      <c r="G1948" s="2" t="str">
        <f>_xlfn.XLOOKUP(Table1[[#This Row],[Customer_ID]],Customer_Dim!$A$2:$A$501,Customer_Dim!$E$2:$E$501)</f>
        <v>Chambersberg</v>
      </c>
      <c r="H1948" t="s">
        <v>1162</v>
      </c>
      <c r="I1948" t="str">
        <f>VLOOKUP(Table1[[#This Row],[Product_ID]],Product_Dim!$A$2:$G$101,2,FALSE)</f>
        <v>Adjustable Dumbbell Set-Sports</v>
      </c>
      <c r="J1948" t="s">
        <v>1541</v>
      </c>
      <c r="K1948" t="str">
        <f>VLOOKUP(Table1[[#This Row],[Store_ID]],Store_Dim!$A$3:$D$22,2,FALSE)</f>
        <v>Gardner, Humphrey and Contreras-East</v>
      </c>
      <c r="L1948" t="s">
        <v>1753</v>
      </c>
      <c r="M1948" t="s">
        <v>3959</v>
      </c>
      <c r="N1948" s="3">
        <v>243.13</v>
      </c>
      <c r="O1948" s="4">
        <v>0.25</v>
      </c>
      <c r="P1948" t="s">
        <v>1777</v>
      </c>
      <c r="Q1948" s="4">
        <v>729.39</v>
      </c>
    </row>
    <row r="1949" spans="1:17" x14ac:dyDescent="0.3">
      <c r="A1949" t="s">
        <v>3721</v>
      </c>
      <c r="B1949" t="str">
        <f t="shared" si="30"/>
        <v>Q4</v>
      </c>
      <c r="C1949" t="str">
        <f>TEXT(Table1[[#This Row],[Order_Date]],"mmmm")</f>
        <v>November</v>
      </c>
      <c r="D1949">
        <f>YEAR(Table1[[#This Row],[Order_Date]])</f>
        <v>2024</v>
      </c>
      <c r="E1949" s="7">
        <v>45614</v>
      </c>
      <c r="F1949" s="2" t="str">
        <f>VLOOKUP(Table1[[#This Row],[Customer_ID]],Customer_Dim!$A$2:$H$501,2,FALSE)</f>
        <v>Tanner Thompson</v>
      </c>
      <c r="G1949" s="2" t="str">
        <f>_xlfn.XLOOKUP(Table1[[#This Row],[Customer_ID]],Customer_Dim!$A$2:$A$501,Customer_Dim!$E$2:$E$501)</f>
        <v>Port Lisashire</v>
      </c>
      <c r="H1949" t="s">
        <v>731</v>
      </c>
      <c r="I1949" t="str">
        <f>VLOOKUP(Table1[[#This Row],[Product_ID]],Product_Dim!$A$2:$G$101,2,FALSE)</f>
        <v>Men's Hair Styling Gel-Beauty</v>
      </c>
      <c r="J1949" t="s">
        <v>1641</v>
      </c>
      <c r="K1949" t="str">
        <f>VLOOKUP(Table1[[#This Row],[Store_ID]],Store_Dim!$A$3:$D$22,2,FALSE)</f>
        <v>Aguirre-Keller-South</v>
      </c>
      <c r="L1949" t="s">
        <v>1750</v>
      </c>
      <c r="M1949" t="s">
        <v>3960</v>
      </c>
      <c r="N1949" s="3">
        <v>410.63</v>
      </c>
      <c r="O1949" s="4">
        <v>0.28000000000000003</v>
      </c>
      <c r="P1949" t="s">
        <v>1777</v>
      </c>
      <c r="Q1949" s="4">
        <v>591.30719999999997</v>
      </c>
    </row>
    <row r="1950" spans="1:17" x14ac:dyDescent="0.3">
      <c r="A1950" t="s">
        <v>3722</v>
      </c>
      <c r="B1950" t="str">
        <f t="shared" si="30"/>
        <v>Q1</v>
      </c>
      <c r="C1950" t="str">
        <f>TEXT(Table1[[#This Row],[Order_Date]],"mmmm")</f>
        <v>January</v>
      </c>
      <c r="D1950">
        <f>YEAR(Table1[[#This Row],[Order_Date]])</f>
        <v>2024</v>
      </c>
      <c r="E1950" s="7">
        <v>45293</v>
      </c>
      <c r="F1950" s="2" t="str">
        <f>VLOOKUP(Table1[[#This Row],[Customer_ID]],Customer_Dim!$A$2:$H$501,2,FALSE)</f>
        <v>Bryce Hawkins</v>
      </c>
      <c r="G1950" s="2" t="str">
        <f>_xlfn.XLOOKUP(Table1[[#This Row],[Customer_ID]],Customer_Dim!$A$2:$A$501,Customer_Dim!$E$2:$E$501)</f>
        <v>Lake Monique</v>
      </c>
      <c r="H1950" t="s">
        <v>1303</v>
      </c>
      <c r="I1950" t="str">
        <f>VLOOKUP(Table1[[#This Row],[Product_ID]],Product_Dim!$A$2:$G$101,2,FALSE)</f>
        <v>Vitamin E Body Lotion-Beauty</v>
      </c>
      <c r="J1950" t="s">
        <v>1711</v>
      </c>
      <c r="K1950" t="str">
        <f>VLOOKUP(Table1[[#This Row],[Store_ID]],Store_Dim!$A$3:$D$22,2,FALSE)</f>
        <v>Hill, Wagner and Ballard-East</v>
      </c>
      <c r="L1950" t="s">
        <v>1748</v>
      </c>
      <c r="M1950" t="s">
        <v>3959</v>
      </c>
      <c r="N1950" s="3">
        <v>101.25</v>
      </c>
      <c r="O1950" s="4">
        <v>0.16</v>
      </c>
      <c r="P1950" t="s">
        <v>1774</v>
      </c>
      <c r="Q1950" s="4">
        <v>340.2</v>
      </c>
    </row>
    <row r="1951" spans="1:17" x14ac:dyDescent="0.3">
      <c r="A1951" t="s">
        <v>3723</v>
      </c>
      <c r="B1951" t="str">
        <f t="shared" si="30"/>
        <v>Q1</v>
      </c>
      <c r="C1951" t="str">
        <f>TEXT(Table1[[#This Row],[Order_Date]],"mmmm")</f>
        <v>January</v>
      </c>
      <c r="D1951">
        <f>YEAR(Table1[[#This Row],[Order_Date]])</f>
        <v>2024</v>
      </c>
      <c r="E1951" s="7">
        <v>45301</v>
      </c>
      <c r="F1951" s="2" t="str">
        <f>VLOOKUP(Table1[[#This Row],[Customer_ID]],Customer_Dim!$A$2:$H$501,2,FALSE)</f>
        <v>Alexis Castaneda</v>
      </c>
      <c r="G1951" s="2" t="str">
        <f>_xlfn.XLOOKUP(Table1[[#This Row],[Customer_ID]],Customer_Dim!$A$2:$A$501,Customer_Dim!$E$2:$E$501)</f>
        <v>Morrisbury</v>
      </c>
      <c r="H1951" t="s">
        <v>724</v>
      </c>
      <c r="I1951" t="str">
        <f>VLOOKUP(Table1[[#This Row],[Product_ID]],Product_Dim!$A$2:$G$101,2,FALSE)</f>
        <v>LED Table Lamp-Home</v>
      </c>
      <c r="J1951" t="s">
        <v>1537</v>
      </c>
      <c r="K1951" t="str">
        <f>VLOOKUP(Table1[[#This Row],[Store_ID]],Store_Dim!$A$3:$D$22,2,FALSE)</f>
        <v>Holloway Ltd-North</v>
      </c>
      <c r="L1951" t="s">
        <v>1759</v>
      </c>
      <c r="M1951" t="s">
        <v>3959</v>
      </c>
      <c r="N1951" s="3">
        <v>716.39</v>
      </c>
      <c r="O1951" s="4">
        <v>0.03</v>
      </c>
      <c r="P1951" t="s">
        <v>1774</v>
      </c>
      <c r="Q1951" s="4">
        <v>2779.5931999999998</v>
      </c>
    </row>
    <row r="1952" spans="1:17" x14ac:dyDescent="0.3">
      <c r="A1952" t="s">
        <v>3724</v>
      </c>
      <c r="B1952" t="str">
        <f t="shared" si="30"/>
        <v>Q1</v>
      </c>
      <c r="C1952" t="str">
        <f>TEXT(Table1[[#This Row],[Order_Date]],"mmmm")</f>
        <v>January</v>
      </c>
      <c r="D1952">
        <f>YEAR(Table1[[#This Row],[Order_Date]])</f>
        <v>2024</v>
      </c>
      <c r="E1952" s="7">
        <v>45311</v>
      </c>
      <c r="F1952" s="2" t="str">
        <f>VLOOKUP(Table1[[#This Row],[Customer_ID]],Customer_Dim!$A$2:$H$501,2,FALSE)</f>
        <v>David Patterson</v>
      </c>
      <c r="G1952" s="2" t="str">
        <f>_xlfn.XLOOKUP(Table1[[#This Row],[Customer_ID]],Customer_Dim!$A$2:$A$501,Customer_Dim!$E$2:$E$501)</f>
        <v>New Amyport</v>
      </c>
      <c r="H1952" t="s">
        <v>333</v>
      </c>
      <c r="I1952" t="str">
        <f>VLOOKUP(Table1[[#This Row],[Product_ID]],Product_Dim!$A$2:$G$101,2,FALSE)</f>
        <v>Shin Guards – Adult-Sports</v>
      </c>
      <c r="J1952" t="s">
        <v>1669</v>
      </c>
      <c r="K1952" t="str">
        <f>VLOOKUP(Table1[[#This Row],[Store_ID]],Store_Dim!$A$3:$D$22,2,FALSE)</f>
        <v>Martinez, Adkins and Johnson-North</v>
      </c>
      <c r="L1952" t="s">
        <v>1728</v>
      </c>
      <c r="M1952" t="s">
        <v>3957</v>
      </c>
      <c r="N1952" s="3">
        <v>721.74</v>
      </c>
      <c r="O1952" s="4">
        <v>0.24</v>
      </c>
      <c r="P1952" t="s">
        <v>1774</v>
      </c>
      <c r="Q1952" s="4">
        <v>548.52240000000006</v>
      </c>
    </row>
    <row r="1953" spans="1:17" x14ac:dyDescent="0.3">
      <c r="A1953" t="s">
        <v>3725</v>
      </c>
      <c r="B1953" t="str">
        <f t="shared" si="30"/>
        <v>Q1</v>
      </c>
      <c r="C1953" t="str">
        <f>TEXT(Table1[[#This Row],[Order_Date]],"mmmm")</f>
        <v>February</v>
      </c>
      <c r="D1953">
        <f>YEAR(Table1[[#This Row],[Order_Date]])</f>
        <v>2025</v>
      </c>
      <c r="E1953" s="7">
        <v>45702</v>
      </c>
      <c r="F1953" s="2" t="str">
        <f>VLOOKUP(Table1[[#This Row],[Customer_ID]],Customer_Dim!$A$2:$H$501,2,FALSE)</f>
        <v>Katherine Dorsey</v>
      </c>
      <c r="G1953" s="2" t="str">
        <f>_xlfn.XLOOKUP(Table1[[#This Row],[Customer_ID]],Customer_Dim!$A$2:$A$501,Customer_Dim!$E$2:$E$501)</f>
        <v>Christopherland</v>
      </c>
      <c r="H1953" t="s">
        <v>202</v>
      </c>
      <c r="I1953" t="str">
        <f>VLOOKUP(Table1[[#This Row],[Product_ID]],Product_Dim!$A$2:$G$101,2,FALSE)</f>
        <v>Laptop Cooling Pad-Electronics</v>
      </c>
      <c r="J1953" t="s">
        <v>1647</v>
      </c>
      <c r="K1953" t="str">
        <f>VLOOKUP(Table1[[#This Row],[Store_ID]],Store_Dim!$A$3:$D$22,2,FALSE)</f>
        <v>Aguirre-Keller-South</v>
      </c>
      <c r="L1953" t="s">
        <v>1750</v>
      </c>
      <c r="M1953" t="s">
        <v>3960</v>
      </c>
      <c r="N1953" s="3">
        <v>527.91</v>
      </c>
      <c r="O1953" s="4">
        <v>0.02</v>
      </c>
      <c r="P1953" t="s">
        <v>1772</v>
      </c>
      <c r="Q1953" s="4">
        <v>1034.7036000000001</v>
      </c>
    </row>
    <row r="1954" spans="1:17" x14ac:dyDescent="0.3">
      <c r="A1954" t="s">
        <v>3726</v>
      </c>
      <c r="B1954" t="str">
        <f t="shared" si="30"/>
        <v>Q3</v>
      </c>
      <c r="C1954" t="str">
        <f>TEXT(Table1[[#This Row],[Order_Date]],"mmmm")</f>
        <v>August</v>
      </c>
      <c r="D1954">
        <f>YEAR(Table1[[#This Row],[Order_Date]])</f>
        <v>2024</v>
      </c>
      <c r="E1954" s="7">
        <v>45525</v>
      </c>
      <c r="F1954" s="2" t="str">
        <f>VLOOKUP(Table1[[#This Row],[Customer_ID]],Customer_Dim!$A$2:$H$501,2,FALSE)</f>
        <v>Casey Simpson</v>
      </c>
      <c r="G1954" s="2" t="str">
        <f>_xlfn.XLOOKUP(Table1[[#This Row],[Customer_ID]],Customer_Dim!$A$2:$A$501,Customer_Dim!$E$2:$E$501)</f>
        <v>West Mathewside</v>
      </c>
      <c r="H1954" t="s">
        <v>995</v>
      </c>
      <c r="I1954" t="str">
        <f>VLOOKUP(Table1[[#This Row],[Product_ID]],Product_Dim!$A$2:$G$101,2,FALSE)</f>
        <v>Rugby Ball-Sports</v>
      </c>
      <c r="J1954" t="s">
        <v>1627</v>
      </c>
      <c r="K1954" t="str">
        <f>VLOOKUP(Table1[[#This Row],[Store_ID]],Store_Dim!$A$3:$D$22,2,FALSE)</f>
        <v>Gardner, Humphrey and Contreras-East</v>
      </c>
      <c r="L1954" t="s">
        <v>1753</v>
      </c>
      <c r="M1954" t="s">
        <v>3960</v>
      </c>
      <c r="N1954" s="3">
        <v>945.92</v>
      </c>
      <c r="O1954" s="4">
        <v>0.19</v>
      </c>
      <c r="P1954" t="s">
        <v>1777</v>
      </c>
      <c r="Q1954" s="4">
        <v>1532.3904</v>
      </c>
    </row>
    <row r="1955" spans="1:17" x14ac:dyDescent="0.3">
      <c r="A1955" t="s">
        <v>3727</v>
      </c>
      <c r="B1955" t="str">
        <f t="shared" si="30"/>
        <v>Q2</v>
      </c>
      <c r="C1955" t="str">
        <f>TEXT(Table1[[#This Row],[Order_Date]],"mmmm")</f>
        <v>May</v>
      </c>
      <c r="D1955">
        <f>YEAR(Table1[[#This Row],[Order_Date]])</f>
        <v>2025</v>
      </c>
      <c r="E1955" s="7">
        <v>45780</v>
      </c>
      <c r="F1955" s="2" t="str">
        <f>VLOOKUP(Table1[[#This Row],[Customer_ID]],Customer_Dim!$A$2:$H$501,2,FALSE)</f>
        <v>Krystal Ford</v>
      </c>
      <c r="G1955" s="2" t="str">
        <f>_xlfn.XLOOKUP(Table1[[#This Row],[Customer_ID]],Customer_Dim!$A$2:$A$501,Customer_Dim!$E$2:$E$501)</f>
        <v>South David</v>
      </c>
      <c r="H1955" t="s">
        <v>292</v>
      </c>
      <c r="I1955" t="str">
        <f>VLOOKUP(Table1[[#This Row],[Product_ID]],Product_Dim!$A$2:$G$101,2,FALSE)</f>
        <v>Premium Blanket Throw-Home</v>
      </c>
      <c r="J1955" t="s">
        <v>1635</v>
      </c>
      <c r="K1955" t="str">
        <f>VLOOKUP(Table1[[#This Row],[Store_ID]],Store_Dim!$A$3:$D$22,2,FALSE)</f>
        <v>Holloway Ltd-North</v>
      </c>
      <c r="L1955" t="s">
        <v>1759</v>
      </c>
      <c r="M1955" t="s">
        <v>3960</v>
      </c>
      <c r="N1955" s="3">
        <v>981.35</v>
      </c>
      <c r="O1955" s="4">
        <v>0.16</v>
      </c>
      <c r="P1955" t="s">
        <v>1774</v>
      </c>
      <c r="Q1955" s="4">
        <v>1648.6679999999999</v>
      </c>
    </row>
    <row r="1956" spans="1:17" x14ac:dyDescent="0.3">
      <c r="A1956" t="s">
        <v>3728</v>
      </c>
      <c r="B1956" t="str">
        <f t="shared" si="30"/>
        <v>Q2</v>
      </c>
      <c r="C1956" t="str">
        <f>TEXT(Table1[[#This Row],[Order_Date]],"mmmm")</f>
        <v>June</v>
      </c>
      <c r="D1956">
        <f>YEAR(Table1[[#This Row],[Order_Date]])</f>
        <v>2025</v>
      </c>
      <c r="E1956" s="7">
        <v>45819</v>
      </c>
      <c r="F1956" s="2" t="str">
        <f>VLOOKUP(Table1[[#This Row],[Customer_ID]],Customer_Dim!$A$2:$H$501,2,FALSE)</f>
        <v>Robert Harris</v>
      </c>
      <c r="G1956" s="2" t="str">
        <f>_xlfn.XLOOKUP(Table1[[#This Row],[Customer_ID]],Customer_Dim!$A$2:$A$501,Customer_Dim!$E$2:$E$501)</f>
        <v>East jeremy</v>
      </c>
      <c r="H1956" t="s">
        <v>716</v>
      </c>
      <c r="I1956" t="str">
        <f>VLOOKUP(Table1[[#This Row],[Product_ID]],Product_Dim!$A$2:$G$101,2,FALSE)</f>
        <v>Men's Hair Styling Gel-Beauty</v>
      </c>
      <c r="J1956" t="s">
        <v>1641</v>
      </c>
      <c r="K1956" t="str">
        <f>VLOOKUP(Table1[[#This Row],[Store_ID]],Store_Dim!$A$3:$D$22,2,FALSE)</f>
        <v>Johnson-Wright-North</v>
      </c>
      <c r="L1956" t="s">
        <v>1733</v>
      </c>
      <c r="M1956" t="s">
        <v>3957</v>
      </c>
      <c r="N1956" s="3">
        <v>913.99</v>
      </c>
      <c r="O1956" s="4">
        <v>0.14000000000000001</v>
      </c>
      <c r="P1956" t="s">
        <v>1772</v>
      </c>
      <c r="Q1956" s="4">
        <v>786.03139999999996</v>
      </c>
    </row>
    <row r="1957" spans="1:17" x14ac:dyDescent="0.3">
      <c r="A1957" t="s">
        <v>3729</v>
      </c>
      <c r="B1957" t="str">
        <f t="shared" si="30"/>
        <v>Q3</v>
      </c>
      <c r="C1957" t="str">
        <f>TEXT(Table1[[#This Row],[Order_Date]],"mmmm")</f>
        <v>July</v>
      </c>
      <c r="D1957">
        <f>YEAR(Table1[[#This Row],[Order_Date]])</f>
        <v>2025</v>
      </c>
      <c r="E1957" s="7">
        <v>45863</v>
      </c>
      <c r="F1957" s="2" t="str">
        <f>VLOOKUP(Table1[[#This Row],[Customer_ID]],Customer_Dim!$A$2:$H$501,2,FALSE)</f>
        <v>Brian Lopez</v>
      </c>
      <c r="G1957" s="2" t="str">
        <f>_xlfn.XLOOKUP(Table1[[#This Row],[Customer_ID]],Customer_Dim!$A$2:$A$501,Customer_Dim!$E$2:$E$501)</f>
        <v>East Krista</v>
      </c>
      <c r="H1957" t="s">
        <v>55</v>
      </c>
      <c r="I1957" t="str">
        <f>VLOOKUP(Table1[[#This Row],[Product_ID]],Product_Dim!$A$2:$G$101,2,FALSE)</f>
        <v>Women's Hair Dryer Brush-Beauty</v>
      </c>
      <c r="J1957" t="s">
        <v>1655</v>
      </c>
      <c r="K1957" t="str">
        <f>VLOOKUP(Table1[[#This Row],[Store_ID]],Store_Dim!$A$3:$D$22,2,FALSE)</f>
        <v>Bean, Jones and Park-West</v>
      </c>
      <c r="L1957" t="s">
        <v>1744</v>
      </c>
      <c r="M1957" t="s">
        <v>3959</v>
      </c>
      <c r="N1957" s="3">
        <v>270.69</v>
      </c>
      <c r="O1957" s="4">
        <v>0.18</v>
      </c>
      <c r="P1957" t="s">
        <v>1774</v>
      </c>
      <c r="Q1957" s="4">
        <v>887.86320000000001</v>
      </c>
    </row>
    <row r="1958" spans="1:17" x14ac:dyDescent="0.3">
      <c r="A1958" t="s">
        <v>3730</v>
      </c>
      <c r="B1958" t="str">
        <f t="shared" si="30"/>
        <v>Q1</v>
      </c>
      <c r="C1958" t="str">
        <f>TEXT(Table1[[#This Row],[Order_Date]],"mmmm")</f>
        <v>January</v>
      </c>
      <c r="D1958">
        <f>YEAR(Table1[[#This Row],[Order_Date]])</f>
        <v>2025</v>
      </c>
      <c r="E1958" s="7">
        <v>45687</v>
      </c>
      <c r="F1958" s="2" t="str">
        <f>VLOOKUP(Table1[[#This Row],[Customer_ID]],Customer_Dim!$A$2:$H$501,2,FALSE)</f>
        <v>Cynthia Morris</v>
      </c>
      <c r="G1958" s="2" t="str">
        <f>_xlfn.XLOOKUP(Table1[[#This Row],[Customer_ID]],Customer_Dim!$A$2:$A$501,Customer_Dim!$E$2:$E$501)</f>
        <v>Hessmouth</v>
      </c>
      <c r="H1958" t="s">
        <v>533</v>
      </c>
      <c r="I1958" t="str">
        <f>VLOOKUP(Table1[[#This Row],[Product_ID]],Product_Dim!$A$2:$G$101,2,FALSE)</f>
        <v>WiFi Mesh Router-Electronics</v>
      </c>
      <c r="J1958" t="s">
        <v>1677</v>
      </c>
      <c r="K1958" t="str">
        <f>VLOOKUP(Table1[[#This Row],[Store_ID]],Store_Dim!$A$3:$D$22,2,FALSE)</f>
        <v>Benson-Elliott-East</v>
      </c>
      <c r="L1958" t="s">
        <v>1740</v>
      </c>
      <c r="M1958" t="s">
        <v>3958</v>
      </c>
      <c r="N1958" s="3">
        <v>998.58</v>
      </c>
      <c r="O1958" s="4">
        <v>0.02</v>
      </c>
      <c r="P1958" t="s">
        <v>1772</v>
      </c>
      <c r="Q1958" s="4">
        <v>2935.8252000000002</v>
      </c>
    </row>
    <row r="1959" spans="1:17" x14ac:dyDescent="0.3">
      <c r="A1959" t="s">
        <v>3731</v>
      </c>
      <c r="B1959" t="str">
        <f t="shared" si="30"/>
        <v>Q2</v>
      </c>
      <c r="C1959" t="str">
        <f>TEXT(Table1[[#This Row],[Order_Date]],"mmmm")</f>
        <v>May</v>
      </c>
      <c r="D1959">
        <f>YEAR(Table1[[#This Row],[Order_Date]])</f>
        <v>2025</v>
      </c>
      <c r="E1959" s="7">
        <v>45806</v>
      </c>
      <c r="F1959" s="2" t="str">
        <f>VLOOKUP(Table1[[#This Row],[Customer_ID]],Customer_Dim!$A$2:$H$501,2,FALSE)</f>
        <v>Julie Powell</v>
      </c>
      <c r="G1959" s="2" t="str">
        <f>_xlfn.XLOOKUP(Table1[[#This Row],[Customer_ID]],Customer_Dim!$A$2:$A$501,Customer_Dim!$E$2:$E$501)</f>
        <v>South Barbara</v>
      </c>
      <c r="H1959" t="s">
        <v>1392</v>
      </c>
      <c r="I1959" t="str">
        <f>VLOOKUP(Table1[[#This Row],[Product_ID]],Product_Dim!$A$2:$G$101,2,FALSE)</f>
        <v>Men's Casual Sneakers-Clothing</v>
      </c>
      <c r="J1959" t="s">
        <v>1597</v>
      </c>
      <c r="K1959" t="str">
        <f>VLOOKUP(Table1[[#This Row],[Store_ID]],Store_Dim!$A$3:$D$22,2,FALSE)</f>
        <v>Moore, Padilla and Butler-South</v>
      </c>
      <c r="L1959" t="s">
        <v>1746</v>
      </c>
      <c r="M1959" t="s">
        <v>3958</v>
      </c>
      <c r="N1959" s="3">
        <v>765.12</v>
      </c>
      <c r="O1959" s="4">
        <v>0.18</v>
      </c>
      <c r="P1959" t="s">
        <v>1772</v>
      </c>
      <c r="Q1959" s="4">
        <v>1882.1952000000001</v>
      </c>
    </row>
    <row r="1960" spans="1:17" x14ac:dyDescent="0.3">
      <c r="A1960" t="s">
        <v>3732</v>
      </c>
      <c r="B1960" t="str">
        <f t="shared" si="30"/>
        <v>Q4</v>
      </c>
      <c r="C1960" t="str">
        <f>TEXT(Table1[[#This Row],[Order_Date]],"mmmm")</f>
        <v>October</v>
      </c>
      <c r="D1960">
        <f>YEAR(Table1[[#This Row],[Order_Date]])</f>
        <v>2023</v>
      </c>
      <c r="E1960" s="7">
        <v>45216</v>
      </c>
      <c r="F1960" s="2" t="str">
        <f>VLOOKUP(Table1[[#This Row],[Customer_ID]],Customer_Dim!$A$2:$H$501,2,FALSE)</f>
        <v>Tonya Burch</v>
      </c>
      <c r="G1960" s="2" t="str">
        <f>_xlfn.XLOOKUP(Table1[[#This Row],[Customer_ID]],Customer_Dim!$A$2:$A$501,Customer_Dim!$E$2:$E$501)</f>
        <v>Olsonhaven</v>
      </c>
      <c r="H1960" t="s">
        <v>261</v>
      </c>
      <c r="I1960" t="str">
        <f>VLOOKUP(Table1[[#This Row],[Product_ID]],Product_Dim!$A$2:$G$101,2,FALSE)</f>
        <v>Matte Lipstick Set-Beauty</v>
      </c>
      <c r="J1960" t="s">
        <v>1651</v>
      </c>
      <c r="K1960" t="str">
        <f>VLOOKUP(Table1[[#This Row],[Store_ID]],Store_Dim!$A$3:$D$22,2,FALSE)</f>
        <v>Mann-Austin-East</v>
      </c>
      <c r="L1960" t="s">
        <v>1763</v>
      </c>
      <c r="M1960" t="s">
        <v>3958</v>
      </c>
      <c r="N1960" s="3">
        <v>449.99</v>
      </c>
      <c r="O1960" s="4">
        <v>0.17</v>
      </c>
      <c r="P1960" t="s">
        <v>1777</v>
      </c>
      <c r="Q1960" s="4">
        <v>1120.4751000000001</v>
      </c>
    </row>
    <row r="1961" spans="1:17" x14ac:dyDescent="0.3">
      <c r="A1961" t="s">
        <v>3733</v>
      </c>
      <c r="B1961" t="str">
        <f t="shared" si="30"/>
        <v>Q4</v>
      </c>
      <c r="C1961" t="str">
        <f>TEXT(Table1[[#This Row],[Order_Date]],"mmmm")</f>
        <v>December</v>
      </c>
      <c r="D1961">
        <f>YEAR(Table1[[#This Row],[Order_Date]])</f>
        <v>2024</v>
      </c>
      <c r="E1961" s="7">
        <v>45639</v>
      </c>
      <c r="F1961" s="2" t="str">
        <f>VLOOKUP(Table1[[#This Row],[Customer_ID]],Customer_Dim!$A$2:$H$501,2,FALSE)</f>
        <v>John Mccoy</v>
      </c>
      <c r="G1961" s="2" t="str">
        <f>_xlfn.XLOOKUP(Table1[[#This Row],[Customer_ID]],Customer_Dim!$A$2:$A$501,Customer_Dim!$E$2:$E$501)</f>
        <v>Robinborough</v>
      </c>
      <c r="H1961" t="s">
        <v>800</v>
      </c>
      <c r="I1961" t="str">
        <f>VLOOKUP(Table1[[#This Row],[Product_ID]],Product_Dim!$A$2:$G$101,2,FALSE)</f>
        <v>USB External Hard Drive-Electronics</v>
      </c>
      <c r="J1961" t="s">
        <v>1609</v>
      </c>
      <c r="K1961" t="str">
        <f>VLOOKUP(Table1[[#This Row],[Store_ID]],Store_Dim!$A$3:$D$22,2,FALSE)</f>
        <v>Aguirre-Keller-South</v>
      </c>
      <c r="L1961" t="s">
        <v>1750</v>
      </c>
      <c r="M1961" t="s">
        <v>3960</v>
      </c>
      <c r="N1961" s="3">
        <v>249.02</v>
      </c>
      <c r="O1961" s="4">
        <v>0.01</v>
      </c>
      <c r="P1961" t="s">
        <v>1777</v>
      </c>
      <c r="Q1961" s="4">
        <v>493.05959999999999</v>
      </c>
    </row>
    <row r="1962" spans="1:17" x14ac:dyDescent="0.3">
      <c r="A1962" t="s">
        <v>3734</v>
      </c>
      <c r="B1962" t="str">
        <f t="shared" si="30"/>
        <v>Q2</v>
      </c>
      <c r="C1962" t="str">
        <f>TEXT(Table1[[#This Row],[Order_Date]],"mmmm")</f>
        <v>June</v>
      </c>
      <c r="D1962">
        <f>YEAR(Table1[[#This Row],[Order_Date]])</f>
        <v>2024</v>
      </c>
      <c r="E1962" s="7">
        <v>45454</v>
      </c>
      <c r="F1962" s="2" t="str">
        <f>VLOOKUP(Table1[[#This Row],[Customer_ID]],Customer_Dim!$A$2:$H$501,2,FALSE)</f>
        <v>Rick Dominguez</v>
      </c>
      <c r="G1962" s="2" t="str">
        <f>_xlfn.XLOOKUP(Table1[[#This Row],[Customer_ID]],Customer_Dim!$A$2:$A$501,Customer_Dim!$E$2:$E$501)</f>
        <v>North Johnbury</v>
      </c>
      <c r="H1962" t="s">
        <v>462</v>
      </c>
      <c r="I1962" t="str">
        <f>VLOOKUP(Table1[[#This Row],[Product_ID]],Product_Dim!$A$2:$G$101,2,FALSE)</f>
        <v>Foam Roller-Sports</v>
      </c>
      <c r="J1962" t="s">
        <v>1637</v>
      </c>
      <c r="K1962" t="str">
        <f>VLOOKUP(Table1[[#This Row],[Store_ID]],Store_Dim!$A$3:$D$22,2,FALSE)</f>
        <v>Mann-Austin-East</v>
      </c>
      <c r="L1962" t="s">
        <v>1763</v>
      </c>
      <c r="M1962" t="s">
        <v>3958</v>
      </c>
      <c r="N1962" s="3">
        <v>223.64</v>
      </c>
      <c r="O1962" s="4">
        <v>0.05</v>
      </c>
      <c r="P1962" t="s">
        <v>1772</v>
      </c>
      <c r="Q1962" s="4">
        <v>637.37399999999991</v>
      </c>
    </row>
    <row r="1963" spans="1:17" x14ac:dyDescent="0.3">
      <c r="A1963" t="s">
        <v>3735</v>
      </c>
      <c r="B1963" t="str">
        <f t="shared" si="30"/>
        <v>Q4</v>
      </c>
      <c r="C1963" t="str">
        <f>TEXT(Table1[[#This Row],[Order_Date]],"mmmm")</f>
        <v>October</v>
      </c>
      <c r="D1963">
        <f>YEAR(Table1[[#This Row],[Order_Date]])</f>
        <v>2025</v>
      </c>
      <c r="E1963" s="7">
        <v>45934</v>
      </c>
      <c r="F1963" s="2" t="str">
        <f>VLOOKUP(Table1[[#This Row],[Customer_ID]],Customer_Dim!$A$2:$H$501,2,FALSE)</f>
        <v>Howard Summers</v>
      </c>
      <c r="G1963" s="2" t="str">
        <f>_xlfn.XLOOKUP(Table1[[#This Row],[Customer_ID]],Customer_Dim!$A$2:$A$501,Customer_Dim!$E$2:$E$501)</f>
        <v>East Linda</v>
      </c>
      <c r="H1963" t="s">
        <v>370</v>
      </c>
      <c r="I1963" t="str">
        <f>VLOOKUP(Table1[[#This Row],[Product_ID]],Product_Dim!$A$2:$G$101,2,FALSE)</f>
        <v>Foldable Camping Chair-Sports</v>
      </c>
      <c r="J1963" t="s">
        <v>1571</v>
      </c>
      <c r="K1963" t="str">
        <f>VLOOKUP(Table1[[#This Row],[Store_ID]],Store_Dim!$A$3:$D$22,2,FALSE)</f>
        <v>Alexander Group-South</v>
      </c>
      <c r="L1963" t="s">
        <v>1735</v>
      </c>
      <c r="M1963" t="s">
        <v>3960</v>
      </c>
      <c r="N1963" s="3">
        <v>92.94</v>
      </c>
      <c r="O1963" s="4">
        <v>0.12</v>
      </c>
      <c r="P1963" t="s">
        <v>1772</v>
      </c>
      <c r="Q1963" s="4">
        <v>163.5744</v>
      </c>
    </row>
    <row r="1964" spans="1:17" x14ac:dyDescent="0.3">
      <c r="A1964" t="s">
        <v>3736</v>
      </c>
      <c r="B1964" t="str">
        <f t="shared" si="30"/>
        <v>Q2</v>
      </c>
      <c r="C1964" t="str">
        <f>TEXT(Table1[[#This Row],[Order_Date]],"mmmm")</f>
        <v>April</v>
      </c>
      <c r="D1964">
        <f>YEAR(Table1[[#This Row],[Order_Date]])</f>
        <v>2024</v>
      </c>
      <c r="E1964" s="7">
        <v>45401</v>
      </c>
      <c r="F1964" s="2" t="str">
        <f>VLOOKUP(Table1[[#This Row],[Customer_ID]],Customer_Dim!$A$2:$H$501,2,FALSE)</f>
        <v>Natalie Johnson</v>
      </c>
      <c r="G1964" s="2" t="str">
        <f>_xlfn.XLOOKUP(Table1[[#This Row],[Customer_ID]],Customer_Dim!$A$2:$A$501,Customer_Dim!$E$2:$E$501)</f>
        <v>New Jessechester</v>
      </c>
      <c r="H1964" t="s">
        <v>1118</v>
      </c>
      <c r="I1964" t="str">
        <f>VLOOKUP(Table1[[#This Row],[Product_ID]],Product_Dim!$A$2:$G$101,2,FALSE)</f>
        <v>Beard Grooming Kit-Beauty</v>
      </c>
      <c r="J1964" t="s">
        <v>1555</v>
      </c>
      <c r="K1964" t="str">
        <f>VLOOKUP(Table1[[#This Row],[Store_ID]],Store_Dim!$A$3:$D$22,2,FALSE)</f>
        <v>Black-Horn-South</v>
      </c>
      <c r="L1964" t="s">
        <v>1730</v>
      </c>
      <c r="M1964" t="s">
        <v>3959</v>
      </c>
      <c r="N1964" s="3">
        <v>268.3</v>
      </c>
      <c r="O1964" s="4">
        <v>0.02</v>
      </c>
      <c r="P1964" t="s">
        <v>1777</v>
      </c>
      <c r="Q1964" s="4">
        <v>1051.7360000000001</v>
      </c>
    </row>
    <row r="1965" spans="1:17" x14ac:dyDescent="0.3">
      <c r="A1965" t="s">
        <v>3737</v>
      </c>
      <c r="B1965" t="str">
        <f t="shared" si="30"/>
        <v>Q2</v>
      </c>
      <c r="C1965" t="str">
        <f>TEXT(Table1[[#This Row],[Order_Date]],"mmmm")</f>
        <v>April</v>
      </c>
      <c r="D1965">
        <f>YEAR(Table1[[#This Row],[Order_Date]])</f>
        <v>2025</v>
      </c>
      <c r="E1965" s="7">
        <v>45770</v>
      </c>
      <c r="F1965" s="2" t="str">
        <f>VLOOKUP(Table1[[#This Row],[Customer_ID]],Customer_Dim!$A$2:$H$501,2,FALSE)</f>
        <v>Kelli Smith</v>
      </c>
      <c r="G1965" s="2" t="str">
        <f>_xlfn.XLOOKUP(Table1[[#This Row],[Customer_ID]],Customer_Dim!$A$2:$A$501,Customer_Dim!$E$2:$E$501)</f>
        <v>North Maryfort</v>
      </c>
      <c r="H1965" t="s">
        <v>1352</v>
      </c>
      <c r="I1965" t="str">
        <f>VLOOKUP(Table1[[#This Row],[Product_ID]],Product_Dim!$A$2:$G$101,2,FALSE)</f>
        <v>Men's Hair Styling Gel-Beauty</v>
      </c>
      <c r="J1965" t="s">
        <v>1641</v>
      </c>
      <c r="K1965" t="str">
        <f>VLOOKUP(Table1[[#This Row],[Store_ID]],Store_Dim!$A$3:$D$22,2,FALSE)</f>
        <v>Mann-Austin-East</v>
      </c>
      <c r="L1965" t="s">
        <v>1763</v>
      </c>
      <c r="M1965" t="s">
        <v>3959</v>
      </c>
      <c r="N1965" s="3">
        <v>835.61</v>
      </c>
      <c r="O1965" s="4">
        <v>0.03</v>
      </c>
      <c r="P1965" t="s">
        <v>1772</v>
      </c>
      <c r="Q1965" s="4">
        <v>3242.1668</v>
      </c>
    </row>
    <row r="1966" spans="1:17" x14ac:dyDescent="0.3">
      <c r="A1966" t="s">
        <v>3738</v>
      </c>
      <c r="B1966" t="str">
        <f t="shared" si="30"/>
        <v>Q2</v>
      </c>
      <c r="C1966" t="str">
        <f>TEXT(Table1[[#This Row],[Order_Date]],"mmmm")</f>
        <v>April</v>
      </c>
      <c r="D1966">
        <f>YEAR(Table1[[#This Row],[Order_Date]])</f>
        <v>2024</v>
      </c>
      <c r="E1966" s="7">
        <v>45405</v>
      </c>
      <c r="F1966" s="2" t="str">
        <f>VLOOKUP(Table1[[#This Row],[Customer_ID]],Customer_Dim!$A$2:$H$501,2,FALSE)</f>
        <v>Martha Brown</v>
      </c>
      <c r="G1966" s="2" t="str">
        <f>_xlfn.XLOOKUP(Table1[[#This Row],[Customer_ID]],Customer_Dim!$A$2:$A$501,Customer_Dim!$E$2:$E$501)</f>
        <v>Novakstad</v>
      </c>
      <c r="H1966" t="s">
        <v>1180</v>
      </c>
      <c r="I1966" t="str">
        <f>VLOOKUP(Table1[[#This Row],[Product_ID]],Product_Dim!$A$2:$G$101,2,FALSE)</f>
        <v>Wooden Nightstand-Home</v>
      </c>
      <c r="J1966" t="s">
        <v>1659</v>
      </c>
      <c r="K1966" t="str">
        <f>VLOOKUP(Table1[[#This Row],[Store_ID]],Store_Dim!$A$3:$D$22,2,FALSE)</f>
        <v>Gray Ltd-North</v>
      </c>
      <c r="L1966" t="s">
        <v>1738</v>
      </c>
      <c r="M1966" t="s">
        <v>3958</v>
      </c>
      <c r="N1966" s="3">
        <v>120.97</v>
      </c>
      <c r="O1966" s="4">
        <v>0.11</v>
      </c>
      <c r="P1966" t="s">
        <v>1772</v>
      </c>
      <c r="Q1966" s="4">
        <v>322.98989999999998</v>
      </c>
    </row>
    <row r="1967" spans="1:17" x14ac:dyDescent="0.3">
      <c r="A1967" t="s">
        <v>3739</v>
      </c>
      <c r="B1967" t="str">
        <f t="shared" si="30"/>
        <v>Q2</v>
      </c>
      <c r="C1967" t="str">
        <f>TEXT(Table1[[#This Row],[Order_Date]],"mmmm")</f>
        <v>May</v>
      </c>
      <c r="D1967">
        <f>YEAR(Table1[[#This Row],[Order_Date]])</f>
        <v>2024</v>
      </c>
      <c r="E1967" s="7">
        <v>45424</v>
      </c>
      <c r="F1967" s="2" t="str">
        <f>VLOOKUP(Table1[[#This Row],[Customer_ID]],Customer_Dim!$A$2:$H$501,2,FALSE)</f>
        <v>Jessica Acevedo</v>
      </c>
      <c r="G1967" s="2" t="str">
        <f>_xlfn.XLOOKUP(Table1[[#This Row],[Customer_ID]],Customer_Dim!$A$2:$A$501,Customer_Dim!$E$2:$E$501)</f>
        <v>Amybury</v>
      </c>
      <c r="H1967" t="s">
        <v>124</v>
      </c>
      <c r="I1967" t="str">
        <f>VLOOKUP(Table1[[#This Row],[Product_ID]],Product_Dim!$A$2:$G$101,2,FALSE)</f>
        <v>Noise-Canceling Headphones-Electronics</v>
      </c>
      <c r="J1967" t="s">
        <v>1603</v>
      </c>
      <c r="K1967" t="str">
        <f>VLOOKUP(Table1[[#This Row],[Store_ID]],Store_Dim!$A$3:$D$22,2,FALSE)</f>
        <v>Moore, Padilla and Butler-South</v>
      </c>
      <c r="L1967" t="s">
        <v>1746</v>
      </c>
      <c r="M1967" t="s">
        <v>3960</v>
      </c>
      <c r="N1967" s="3">
        <v>26.36</v>
      </c>
      <c r="O1967" s="4">
        <v>0.03</v>
      </c>
      <c r="P1967" t="s">
        <v>1777</v>
      </c>
      <c r="Q1967" s="4">
        <v>51.138399999999997</v>
      </c>
    </row>
    <row r="1968" spans="1:17" x14ac:dyDescent="0.3">
      <c r="A1968" t="s">
        <v>3740</v>
      </c>
      <c r="B1968" t="str">
        <f t="shared" si="30"/>
        <v>Q3</v>
      </c>
      <c r="C1968" t="str">
        <f>TEXT(Table1[[#This Row],[Order_Date]],"mmmm")</f>
        <v>August</v>
      </c>
      <c r="D1968">
        <f>YEAR(Table1[[#This Row],[Order_Date]])</f>
        <v>2025</v>
      </c>
      <c r="E1968" s="7">
        <v>45881</v>
      </c>
      <c r="F1968" s="2" t="str">
        <f>VLOOKUP(Table1[[#This Row],[Customer_ID]],Customer_Dim!$A$2:$H$501,2,FALSE)</f>
        <v>Robert Jones Dds</v>
      </c>
      <c r="G1968" s="2" t="str">
        <f>_xlfn.XLOOKUP(Table1[[#This Row],[Customer_ID]],Customer_Dim!$A$2:$A$501,Customer_Dim!$E$2:$E$501)</f>
        <v>Tristanton</v>
      </c>
      <c r="H1968" t="s">
        <v>134</v>
      </c>
      <c r="I1968" t="str">
        <f>VLOOKUP(Table1[[#This Row],[Product_ID]],Product_Dim!$A$2:$G$101,2,FALSE)</f>
        <v>WiFi Mesh Router-Electronics</v>
      </c>
      <c r="J1968" t="s">
        <v>1677</v>
      </c>
      <c r="K1968" t="str">
        <f>VLOOKUP(Table1[[#This Row],[Store_ID]],Store_Dim!$A$3:$D$22,2,FALSE)</f>
        <v>Benson-Elliott-East</v>
      </c>
      <c r="L1968" t="s">
        <v>1740</v>
      </c>
      <c r="M1968" t="s">
        <v>3957</v>
      </c>
      <c r="N1968" s="3">
        <v>918.87</v>
      </c>
      <c r="O1968" s="4">
        <v>0.11</v>
      </c>
      <c r="P1968" t="s">
        <v>1774</v>
      </c>
      <c r="Q1968" s="4">
        <v>817.79430000000002</v>
      </c>
    </row>
    <row r="1969" spans="1:17" x14ac:dyDescent="0.3">
      <c r="A1969" t="s">
        <v>3741</v>
      </c>
      <c r="B1969" t="str">
        <f t="shared" si="30"/>
        <v>Q2</v>
      </c>
      <c r="C1969" t="str">
        <f>TEXT(Table1[[#This Row],[Order_Date]],"mmmm")</f>
        <v>May</v>
      </c>
      <c r="D1969">
        <f>YEAR(Table1[[#This Row],[Order_Date]])</f>
        <v>2025</v>
      </c>
      <c r="E1969" s="7">
        <v>45794</v>
      </c>
      <c r="F1969" s="2" t="str">
        <f>VLOOKUP(Table1[[#This Row],[Customer_ID]],Customer_Dim!$A$2:$H$501,2,FALSE)</f>
        <v>Sarah Vance</v>
      </c>
      <c r="G1969" s="2" t="str">
        <f>_xlfn.XLOOKUP(Table1[[#This Row],[Customer_ID]],Customer_Dim!$A$2:$A$501,Customer_Dim!$E$2:$E$501)</f>
        <v>Johnsonville</v>
      </c>
      <c r="H1969" t="s">
        <v>127</v>
      </c>
      <c r="I1969" t="str">
        <f>VLOOKUP(Table1[[#This Row],[Product_ID]],Product_Dim!$A$2:$G$101,2,FALSE)</f>
        <v>Smart LED Light Strip-Electronics</v>
      </c>
      <c r="J1969" t="s">
        <v>1657</v>
      </c>
      <c r="K1969" t="str">
        <f>VLOOKUP(Table1[[#This Row],[Store_ID]],Store_Dim!$A$3:$D$22,2,FALSE)</f>
        <v>Aguirre-Keller-South</v>
      </c>
      <c r="L1969" t="s">
        <v>1750</v>
      </c>
      <c r="M1969" t="s">
        <v>3960</v>
      </c>
      <c r="N1969" s="3">
        <v>924.73</v>
      </c>
      <c r="O1969" s="4">
        <v>0.28999999999999998</v>
      </c>
      <c r="P1969" t="s">
        <v>1774</v>
      </c>
      <c r="Q1969" s="4">
        <v>1313.1166000000001</v>
      </c>
    </row>
    <row r="1970" spans="1:17" x14ac:dyDescent="0.3">
      <c r="A1970" t="s">
        <v>3742</v>
      </c>
      <c r="B1970" t="str">
        <f t="shared" si="30"/>
        <v>Q1</v>
      </c>
      <c r="C1970" t="str">
        <f>TEXT(Table1[[#This Row],[Order_Date]],"mmmm")</f>
        <v>January</v>
      </c>
      <c r="D1970">
        <f>YEAR(Table1[[#This Row],[Order_Date]])</f>
        <v>2025</v>
      </c>
      <c r="E1970" s="7">
        <v>45665</v>
      </c>
      <c r="F1970" s="2" t="str">
        <f>VLOOKUP(Table1[[#This Row],[Customer_ID]],Customer_Dim!$A$2:$H$501,2,FALSE)</f>
        <v>Jeff Martinez</v>
      </c>
      <c r="G1970" s="2" t="str">
        <f>_xlfn.XLOOKUP(Table1[[#This Row],[Customer_ID]],Customer_Dim!$A$2:$A$501,Customer_Dim!$E$2:$E$501)</f>
        <v>Smithburgh</v>
      </c>
      <c r="H1970" t="s">
        <v>93</v>
      </c>
      <c r="I1970" t="str">
        <f>VLOOKUP(Table1[[#This Row],[Product_ID]],Product_Dim!$A$2:$G$101,2,FALSE)</f>
        <v>Hair Strengthening Shampoo-Beauty</v>
      </c>
      <c r="J1970" t="s">
        <v>1547</v>
      </c>
      <c r="K1970" t="str">
        <f>VLOOKUP(Table1[[#This Row],[Store_ID]],Store_Dim!$A$3:$D$22,2,FALSE)</f>
        <v>Hill, Wagner and Ballard-East</v>
      </c>
      <c r="L1970" t="s">
        <v>1748</v>
      </c>
      <c r="M1970" t="s">
        <v>3958</v>
      </c>
      <c r="N1970" s="3">
        <v>195.31</v>
      </c>
      <c r="O1970" s="4">
        <v>0.13</v>
      </c>
      <c r="P1970" t="s">
        <v>1777</v>
      </c>
      <c r="Q1970" s="4">
        <v>509.75909999999999</v>
      </c>
    </row>
    <row r="1971" spans="1:17" x14ac:dyDescent="0.3">
      <c r="A1971" t="s">
        <v>3743</v>
      </c>
      <c r="B1971" t="str">
        <f t="shared" si="30"/>
        <v>Q2</v>
      </c>
      <c r="C1971" t="str">
        <f>TEXT(Table1[[#This Row],[Order_Date]],"mmmm")</f>
        <v>May</v>
      </c>
      <c r="D1971">
        <f>YEAR(Table1[[#This Row],[Order_Date]])</f>
        <v>2025</v>
      </c>
      <c r="E1971" s="7">
        <v>45793</v>
      </c>
      <c r="F1971" s="2" t="str">
        <f>VLOOKUP(Table1[[#This Row],[Customer_ID]],Customer_Dim!$A$2:$H$501,2,FALSE)</f>
        <v>Maria Ramirez</v>
      </c>
      <c r="G1971" s="2" t="str">
        <f>_xlfn.XLOOKUP(Table1[[#This Row],[Customer_ID]],Customer_Dim!$A$2:$A$501,Customer_Dim!$E$2:$E$501)</f>
        <v>West Brandon</v>
      </c>
      <c r="H1971" t="s">
        <v>476</v>
      </c>
      <c r="I1971" t="str">
        <f>VLOOKUP(Table1[[#This Row],[Product_ID]],Product_Dim!$A$2:$G$101,2,FALSE)</f>
        <v>Sports Water Hydration Pack-Sports</v>
      </c>
      <c r="J1971" t="s">
        <v>1599</v>
      </c>
      <c r="K1971" t="str">
        <f>VLOOKUP(Table1[[#This Row],[Store_ID]],Store_Dim!$A$3:$D$22,2,FALSE)</f>
        <v>Bean, Jones and Park-West</v>
      </c>
      <c r="L1971" t="s">
        <v>1744</v>
      </c>
      <c r="M1971" t="s">
        <v>3957</v>
      </c>
      <c r="N1971" s="3">
        <v>91.38</v>
      </c>
      <c r="O1971" s="4">
        <v>0.14000000000000001</v>
      </c>
      <c r="P1971" t="s">
        <v>1772</v>
      </c>
      <c r="Q1971" s="4">
        <v>78.586799999999997</v>
      </c>
    </row>
    <row r="1972" spans="1:17" x14ac:dyDescent="0.3">
      <c r="A1972" t="s">
        <v>3744</v>
      </c>
      <c r="B1972" t="str">
        <f t="shared" si="30"/>
        <v>Q3</v>
      </c>
      <c r="C1972" t="str">
        <f>TEXT(Table1[[#This Row],[Order_Date]],"mmmm")</f>
        <v>September</v>
      </c>
      <c r="D1972">
        <f>YEAR(Table1[[#This Row],[Order_Date]])</f>
        <v>2024</v>
      </c>
      <c r="E1972" s="7">
        <v>45563</v>
      </c>
      <c r="F1972" s="2" t="str">
        <f>VLOOKUP(Table1[[#This Row],[Customer_ID]],Customer_Dim!$A$2:$H$501,2,FALSE)</f>
        <v>Sarah Smith</v>
      </c>
      <c r="G1972" s="2" t="str">
        <f>_xlfn.XLOOKUP(Table1[[#This Row],[Customer_ID]],Customer_Dim!$A$2:$A$501,Customer_Dim!$E$2:$E$501)</f>
        <v>East Rodney</v>
      </c>
      <c r="H1972" t="s">
        <v>1470</v>
      </c>
      <c r="I1972" t="str">
        <f>VLOOKUP(Table1[[#This Row],[Product_ID]],Product_Dim!$A$2:$G$101,2,FALSE)</f>
        <v>Kitchen Cutting Board-Home</v>
      </c>
      <c r="J1972" t="s">
        <v>1695</v>
      </c>
      <c r="K1972" t="str">
        <f>VLOOKUP(Table1[[#This Row],[Store_ID]],Store_Dim!$A$3:$D$22,2,FALSE)</f>
        <v>Aguirre-Keller-South</v>
      </c>
      <c r="L1972" t="s">
        <v>1750</v>
      </c>
      <c r="M1972" t="s">
        <v>3960</v>
      </c>
      <c r="N1972" s="3">
        <v>494.35</v>
      </c>
      <c r="O1972" s="4">
        <v>0.1</v>
      </c>
      <c r="P1972" t="s">
        <v>1772</v>
      </c>
      <c r="Q1972" s="4">
        <v>889.83</v>
      </c>
    </row>
    <row r="1973" spans="1:17" x14ac:dyDescent="0.3">
      <c r="A1973" t="s">
        <v>3745</v>
      </c>
      <c r="B1973" t="str">
        <f t="shared" si="30"/>
        <v>Q4</v>
      </c>
      <c r="C1973" t="str">
        <f>TEXT(Table1[[#This Row],[Order_Date]],"mmmm")</f>
        <v>October</v>
      </c>
      <c r="D1973">
        <f>YEAR(Table1[[#This Row],[Order_Date]])</f>
        <v>2024</v>
      </c>
      <c r="E1973" s="7">
        <v>45577</v>
      </c>
      <c r="F1973" s="2" t="str">
        <f>VLOOKUP(Table1[[#This Row],[Customer_ID]],Customer_Dim!$A$2:$H$501,2,FALSE)</f>
        <v>Damon Perez</v>
      </c>
      <c r="G1973" s="2" t="str">
        <f>_xlfn.XLOOKUP(Table1[[#This Row],[Customer_ID]],Customer_Dim!$A$2:$A$501,Customer_Dim!$E$2:$E$501)</f>
        <v>Jasonton</v>
      </c>
      <c r="H1973" t="s">
        <v>808</v>
      </c>
      <c r="I1973" t="str">
        <f>VLOOKUP(Table1[[#This Row],[Product_ID]],Product_Dim!$A$2:$G$101,2,FALSE)</f>
        <v>Foldable Camping Chair-Sports</v>
      </c>
      <c r="J1973" t="s">
        <v>1571</v>
      </c>
      <c r="K1973" t="str">
        <f>VLOOKUP(Table1[[#This Row],[Store_ID]],Store_Dim!$A$3:$D$22,2,FALSE)</f>
        <v>Hill, Wagner and Ballard-East</v>
      </c>
      <c r="L1973" t="s">
        <v>1748</v>
      </c>
      <c r="M1973" t="s">
        <v>3957</v>
      </c>
      <c r="N1973" s="3">
        <v>412.2</v>
      </c>
      <c r="O1973" s="4">
        <v>0.11</v>
      </c>
      <c r="P1973" t="s">
        <v>1772</v>
      </c>
      <c r="Q1973" s="4">
        <v>366.858</v>
      </c>
    </row>
    <row r="1974" spans="1:17" x14ac:dyDescent="0.3">
      <c r="A1974" t="s">
        <v>3746</v>
      </c>
      <c r="B1974" t="str">
        <f t="shared" si="30"/>
        <v>Q2</v>
      </c>
      <c r="C1974" t="str">
        <f>TEXT(Table1[[#This Row],[Order_Date]],"mmmm")</f>
        <v>June</v>
      </c>
      <c r="D1974">
        <f>YEAR(Table1[[#This Row],[Order_Date]])</f>
        <v>2024</v>
      </c>
      <c r="E1974" s="7">
        <v>45466</v>
      </c>
      <c r="F1974" s="2" t="str">
        <f>VLOOKUP(Table1[[#This Row],[Customer_ID]],Customer_Dim!$A$2:$H$501,2,FALSE)</f>
        <v>Alejandro Evans</v>
      </c>
      <c r="G1974" s="2" t="str">
        <f>_xlfn.XLOOKUP(Table1[[#This Row],[Customer_ID]],Customer_Dim!$A$2:$A$501,Customer_Dim!$E$2:$E$501)</f>
        <v>Cannonberg</v>
      </c>
      <c r="H1974" t="s">
        <v>1216</v>
      </c>
      <c r="I1974" t="str">
        <f>VLOOKUP(Table1[[#This Row],[Product_ID]],Product_Dim!$A$2:$G$101,2,FALSE)</f>
        <v>Decorative Lamp Shade-Home</v>
      </c>
      <c r="J1974" t="s">
        <v>1681</v>
      </c>
      <c r="K1974" t="str">
        <f>VLOOKUP(Table1[[#This Row],[Store_ID]],Store_Dim!$A$3:$D$22,2,FALSE)</f>
        <v>Frederick-Wright-West</v>
      </c>
      <c r="L1974" t="s">
        <v>1757</v>
      </c>
      <c r="M1974" t="s">
        <v>3957</v>
      </c>
      <c r="N1974" s="3">
        <v>650.47</v>
      </c>
      <c r="O1974" s="4">
        <v>0.13</v>
      </c>
      <c r="P1974" t="s">
        <v>1774</v>
      </c>
      <c r="Q1974" s="4">
        <v>565.90890000000002</v>
      </c>
    </row>
    <row r="1975" spans="1:17" x14ac:dyDescent="0.3">
      <c r="A1975" t="s">
        <v>3747</v>
      </c>
      <c r="B1975" t="str">
        <f t="shared" si="30"/>
        <v>Q4</v>
      </c>
      <c r="C1975" t="str">
        <f>TEXT(Table1[[#This Row],[Order_Date]],"mmmm")</f>
        <v>November</v>
      </c>
      <c r="D1975">
        <f>YEAR(Table1[[#This Row],[Order_Date]])</f>
        <v>2023</v>
      </c>
      <c r="E1975" s="7">
        <v>45256</v>
      </c>
      <c r="F1975" s="2" t="str">
        <f>VLOOKUP(Table1[[#This Row],[Customer_ID]],Customer_Dim!$A$2:$H$501,2,FALSE)</f>
        <v>Curtis Haynes</v>
      </c>
      <c r="G1975" s="2" t="str">
        <f>_xlfn.XLOOKUP(Table1[[#This Row],[Customer_ID]],Customer_Dim!$A$2:$A$501,Customer_Dim!$E$2:$E$501)</f>
        <v>Estradaside</v>
      </c>
      <c r="H1975" t="s">
        <v>515</v>
      </c>
      <c r="I1975" t="str">
        <f>VLOOKUP(Table1[[#This Row],[Product_ID]],Product_Dim!$A$2:$G$101,2,FALSE)</f>
        <v>Decorative Wall Mirror-Home</v>
      </c>
      <c r="J1975" t="s">
        <v>1551</v>
      </c>
      <c r="K1975" t="str">
        <f>VLOOKUP(Table1[[#This Row],[Store_ID]],Store_Dim!$A$3:$D$22,2,FALSE)</f>
        <v>Thomas, Bridges and Harris-North</v>
      </c>
      <c r="L1975" t="s">
        <v>1751</v>
      </c>
      <c r="M1975" t="s">
        <v>3957</v>
      </c>
      <c r="N1975" s="3">
        <v>68.209999999999994</v>
      </c>
      <c r="O1975" s="4">
        <v>0.05</v>
      </c>
      <c r="P1975" t="s">
        <v>1774</v>
      </c>
      <c r="Q1975" s="4">
        <v>64.799499999999995</v>
      </c>
    </row>
    <row r="1976" spans="1:17" x14ac:dyDescent="0.3">
      <c r="A1976" t="s">
        <v>3748</v>
      </c>
      <c r="B1976" t="str">
        <f t="shared" si="30"/>
        <v>Q3</v>
      </c>
      <c r="C1976" t="str">
        <f>TEXT(Table1[[#This Row],[Order_Date]],"mmmm")</f>
        <v>August</v>
      </c>
      <c r="D1976">
        <f>YEAR(Table1[[#This Row],[Order_Date]])</f>
        <v>2025</v>
      </c>
      <c r="E1976" s="7">
        <v>45886</v>
      </c>
      <c r="F1976" s="2" t="str">
        <f>VLOOKUP(Table1[[#This Row],[Customer_ID]],Customer_Dim!$A$2:$H$501,2,FALSE)</f>
        <v>Matthew Hanna</v>
      </c>
      <c r="G1976" s="2" t="str">
        <f>_xlfn.XLOOKUP(Table1[[#This Row],[Customer_ID]],Customer_Dim!$A$2:$A$501,Customer_Dim!$E$2:$E$501)</f>
        <v>Gonzalezbury</v>
      </c>
      <c r="H1976" t="s">
        <v>456</v>
      </c>
      <c r="I1976" t="str">
        <f>VLOOKUP(Table1[[#This Row],[Product_ID]],Product_Dim!$A$2:$G$101,2,FALSE)</f>
        <v>Men's Track Pants-Clothing</v>
      </c>
      <c r="J1976" t="s">
        <v>1629</v>
      </c>
      <c r="K1976" t="str">
        <f>VLOOKUP(Table1[[#This Row],[Store_ID]],Store_Dim!$A$3:$D$22,2,FALSE)</f>
        <v>Martinez-Mullins-South</v>
      </c>
      <c r="L1976" t="s">
        <v>1742</v>
      </c>
      <c r="M1976" t="s">
        <v>3960</v>
      </c>
      <c r="N1976" s="3">
        <v>842.89</v>
      </c>
      <c r="O1976" s="4">
        <v>0.25</v>
      </c>
      <c r="P1976" t="s">
        <v>1777</v>
      </c>
      <c r="Q1976" s="4">
        <v>1264.335</v>
      </c>
    </row>
    <row r="1977" spans="1:17" x14ac:dyDescent="0.3">
      <c r="A1977" t="s">
        <v>3749</v>
      </c>
      <c r="B1977" t="str">
        <f t="shared" si="30"/>
        <v>Q2</v>
      </c>
      <c r="C1977" t="str">
        <f>TEXT(Table1[[#This Row],[Order_Date]],"mmmm")</f>
        <v>April</v>
      </c>
      <c r="D1977">
        <f>YEAR(Table1[[#This Row],[Order_Date]])</f>
        <v>2024</v>
      </c>
      <c r="E1977" s="7">
        <v>45390</v>
      </c>
      <c r="F1977" s="2" t="str">
        <f>VLOOKUP(Table1[[#This Row],[Customer_ID]],Customer_Dim!$A$2:$H$501,2,FALSE)</f>
        <v>Matthew Avery</v>
      </c>
      <c r="G1977" s="2" t="str">
        <f>_xlfn.XLOOKUP(Table1[[#This Row],[Customer_ID]],Customer_Dim!$A$2:$A$501,Customer_Dim!$E$2:$E$501)</f>
        <v>Lake Melissashire</v>
      </c>
      <c r="H1977" t="s">
        <v>939</v>
      </c>
      <c r="I1977" t="str">
        <f>VLOOKUP(Table1[[#This Row],[Product_ID]],Product_Dim!$A$2:$G$101,2,FALSE)</f>
        <v>Men's Leather Belt-Clothing</v>
      </c>
      <c r="J1977" t="s">
        <v>1533</v>
      </c>
      <c r="K1977" t="str">
        <f>VLOOKUP(Table1[[#This Row],[Store_ID]],Store_Dim!$A$3:$D$22,2,FALSE)</f>
        <v>Alexander Group-South</v>
      </c>
      <c r="L1977" t="s">
        <v>1735</v>
      </c>
      <c r="M1977" t="s">
        <v>3960</v>
      </c>
      <c r="N1977" s="3">
        <v>227.95</v>
      </c>
      <c r="O1977" s="4">
        <v>0.24</v>
      </c>
      <c r="P1977" t="s">
        <v>1777</v>
      </c>
      <c r="Q1977" s="4">
        <v>346.48399999999998</v>
      </c>
    </row>
    <row r="1978" spans="1:17" x14ac:dyDescent="0.3">
      <c r="A1978" t="s">
        <v>3750</v>
      </c>
      <c r="B1978" t="str">
        <f t="shared" si="30"/>
        <v>Q2</v>
      </c>
      <c r="C1978" t="str">
        <f>TEXT(Table1[[#This Row],[Order_Date]],"mmmm")</f>
        <v>April</v>
      </c>
      <c r="D1978">
        <f>YEAR(Table1[[#This Row],[Order_Date]])</f>
        <v>2024</v>
      </c>
      <c r="E1978" s="7">
        <v>45388</v>
      </c>
      <c r="F1978" s="2" t="str">
        <f>VLOOKUP(Table1[[#This Row],[Customer_ID]],Customer_Dim!$A$2:$H$501,2,FALSE)</f>
        <v>Jacob Wood</v>
      </c>
      <c r="G1978" s="2" t="str">
        <f>_xlfn.XLOOKUP(Table1[[#This Row],[Customer_ID]],Customer_Dim!$A$2:$A$501,Customer_Dim!$E$2:$E$501)</f>
        <v>Lake Samanthafort</v>
      </c>
      <c r="H1978" t="s">
        <v>625</v>
      </c>
      <c r="I1978" t="str">
        <f>VLOOKUP(Table1[[#This Row],[Product_ID]],Product_Dim!$A$2:$G$101,2,FALSE)</f>
        <v>Women's Hair Dryer Brush-Beauty</v>
      </c>
      <c r="J1978" t="s">
        <v>1655</v>
      </c>
      <c r="K1978" t="str">
        <f>VLOOKUP(Table1[[#This Row],[Store_ID]],Store_Dim!$A$3:$D$22,2,FALSE)</f>
        <v>Thomas, Bridges and Harris-North</v>
      </c>
      <c r="L1978" t="s">
        <v>1751</v>
      </c>
      <c r="M1978" t="s">
        <v>3958</v>
      </c>
      <c r="N1978" s="3">
        <v>685.97</v>
      </c>
      <c r="O1978" s="4">
        <v>0.24</v>
      </c>
      <c r="P1978" t="s">
        <v>1774</v>
      </c>
      <c r="Q1978" s="4">
        <v>1564.0116</v>
      </c>
    </row>
    <row r="1979" spans="1:17" x14ac:dyDescent="0.3">
      <c r="A1979" t="s">
        <v>3751</v>
      </c>
      <c r="B1979" t="str">
        <f t="shared" si="30"/>
        <v>Q2</v>
      </c>
      <c r="C1979" t="str">
        <f>TEXT(Table1[[#This Row],[Order_Date]],"mmmm")</f>
        <v>May</v>
      </c>
      <c r="D1979">
        <f>YEAR(Table1[[#This Row],[Order_Date]])</f>
        <v>2025</v>
      </c>
      <c r="E1979" s="7">
        <v>45793</v>
      </c>
      <c r="F1979" s="2" t="str">
        <f>VLOOKUP(Table1[[#This Row],[Customer_ID]],Customer_Dim!$A$2:$H$501,2,FALSE)</f>
        <v>Brandon Mcbride</v>
      </c>
      <c r="G1979" s="2" t="str">
        <f>_xlfn.XLOOKUP(Table1[[#This Row],[Customer_ID]],Customer_Dim!$A$2:$A$501,Customer_Dim!$E$2:$E$501)</f>
        <v>Kellyside</v>
      </c>
      <c r="H1979" t="s">
        <v>1129</v>
      </c>
      <c r="I1979" t="str">
        <f>VLOOKUP(Table1[[#This Row],[Product_ID]],Product_Dim!$A$2:$G$101,2,FALSE)</f>
        <v>Fabric Sofa Throw Blanket-Home</v>
      </c>
      <c r="J1979" t="s">
        <v>1581</v>
      </c>
      <c r="K1979" t="str">
        <f>VLOOKUP(Table1[[#This Row],[Store_ID]],Store_Dim!$A$3:$D$22,2,FALSE)</f>
        <v>Black-Horn-South</v>
      </c>
      <c r="L1979" t="s">
        <v>1730</v>
      </c>
      <c r="M1979" t="s">
        <v>3957</v>
      </c>
      <c r="N1979" s="3">
        <v>722.57</v>
      </c>
      <c r="O1979" s="4">
        <v>0.18</v>
      </c>
      <c r="P1979" t="s">
        <v>1772</v>
      </c>
      <c r="Q1979" s="4">
        <v>592.50740000000008</v>
      </c>
    </row>
    <row r="1980" spans="1:17" x14ac:dyDescent="0.3">
      <c r="A1980" t="s">
        <v>3752</v>
      </c>
      <c r="B1980" t="str">
        <f t="shared" si="30"/>
        <v>Q4</v>
      </c>
      <c r="C1980" t="str">
        <f>TEXT(Table1[[#This Row],[Order_Date]],"mmmm")</f>
        <v>November</v>
      </c>
      <c r="D1980">
        <f>YEAR(Table1[[#This Row],[Order_Date]])</f>
        <v>2024</v>
      </c>
      <c r="E1980" s="7">
        <v>45615</v>
      </c>
      <c r="F1980" s="2" t="str">
        <f>VLOOKUP(Table1[[#This Row],[Customer_ID]],Customer_Dim!$A$2:$H$501,2,FALSE)</f>
        <v>Patty Francis</v>
      </c>
      <c r="G1980" s="2" t="str">
        <f>_xlfn.XLOOKUP(Table1[[#This Row],[Customer_ID]],Customer_Dim!$A$2:$A$501,Customer_Dim!$E$2:$E$501)</f>
        <v>South Brooke</v>
      </c>
      <c r="H1980" t="s">
        <v>470</v>
      </c>
      <c r="I1980" t="str">
        <f>VLOOKUP(Table1[[#This Row],[Product_ID]],Product_Dim!$A$2:$G$101,2,FALSE)</f>
        <v>Bedroom Table Lamp-Home</v>
      </c>
      <c r="J1980" t="s">
        <v>1593</v>
      </c>
      <c r="K1980" t="str">
        <f>VLOOKUP(Table1[[#This Row],[Store_ID]],Store_Dim!$A$3:$D$22,2,FALSE)</f>
        <v>Gray Ltd-North</v>
      </c>
      <c r="L1980" t="s">
        <v>1738</v>
      </c>
      <c r="M1980" t="s">
        <v>3958</v>
      </c>
      <c r="N1980" s="3">
        <v>585.54999999999995</v>
      </c>
      <c r="O1980" s="4">
        <v>0.14000000000000001</v>
      </c>
      <c r="P1980" t="s">
        <v>1777</v>
      </c>
      <c r="Q1980" s="4">
        <v>1510.7190000000001</v>
      </c>
    </row>
    <row r="1981" spans="1:17" x14ac:dyDescent="0.3">
      <c r="A1981" t="s">
        <v>3753</v>
      </c>
      <c r="B1981" t="str">
        <f t="shared" si="30"/>
        <v>Q1</v>
      </c>
      <c r="C1981" t="str">
        <f>TEXT(Table1[[#This Row],[Order_Date]],"mmmm")</f>
        <v>January</v>
      </c>
      <c r="D1981">
        <f>YEAR(Table1[[#This Row],[Order_Date]])</f>
        <v>2025</v>
      </c>
      <c r="E1981" s="7">
        <v>45666</v>
      </c>
      <c r="F1981" s="2" t="str">
        <f>VLOOKUP(Table1[[#This Row],[Customer_ID]],Customer_Dim!$A$2:$H$501,2,FALSE)</f>
        <v>Stacy Collins</v>
      </c>
      <c r="G1981" s="2" t="str">
        <f>_xlfn.XLOOKUP(Table1[[#This Row],[Customer_ID]],Customer_Dim!$A$2:$A$501,Customer_Dim!$E$2:$E$501)</f>
        <v>Randychester</v>
      </c>
      <c r="H1981" t="s">
        <v>965</v>
      </c>
      <c r="I1981" t="str">
        <f>VLOOKUP(Table1[[#This Row],[Product_ID]],Product_Dim!$A$2:$G$101,2,FALSE)</f>
        <v>Men's Winter Jacket-Clothing</v>
      </c>
      <c r="J1981" t="s">
        <v>1615</v>
      </c>
      <c r="K1981" t="str">
        <f>VLOOKUP(Table1[[#This Row],[Store_ID]],Store_Dim!$A$3:$D$22,2,FALSE)</f>
        <v>Gardner, Humphrey and Contreras-East</v>
      </c>
      <c r="L1981" t="s">
        <v>1753</v>
      </c>
      <c r="M1981" t="s">
        <v>3960</v>
      </c>
      <c r="N1981" s="3">
        <v>635.80999999999995</v>
      </c>
      <c r="O1981" s="4">
        <v>0.13</v>
      </c>
      <c r="P1981" t="s">
        <v>1774</v>
      </c>
      <c r="Q1981" s="4">
        <v>1106.3094000000001</v>
      </c>
    </row>
    <row r="1982" spans="1:17" x14ac:dyDescent="0.3">
      <c r="A1982" t="s">
        <v>3754</v>
      </c>
      <c r="B1982" t="str">
        <f t="shared" si="30"/>
        <v>Q4</v>
      </c>
      <c r="C1982" t="str">
        <f>TEXT(Table1[[#This Row],[Order_Date]],"mmmm")</f>
        <v>December</v>
      </c>
      <c r="D1982">
        <f>YEAR(Table1[[#This Row],[Order_Date]])</f>
        <v>2024</v>
      </c>
      <c r="E1982" s="7">
        <v>45644</v>
      </c>
      <c r="F1982" s="2" t="str">
        <f>VLOOKUP(Table1[[#This Row],[Customer_ID]],Customer_Dim!$A$2:$H$501,2,FALSE)</f>
        <v>Jeffrey Gomez</v>
      </c>
      <c r="G1982" s="2" t="str">
        <f>_xlfn.XLOOKUP(Table1[[#This Row],[Customer_ID]],Customer_Dim!$A$2:$A$501,Customer_Dim!$E$2:$E$501)</f>
        <v>Lake Nicole</v>
      </c>
      <c r="H1982" t="s">
        <v>873</v>
      </c>
      <c r="I1982" t="str">
        <f>VLOOKUP(Table1[[#This Row],[Product_ID]],Product_Dim!$A$2:$G$101,2,FALSE)</f>
        <v>Decorative Wall Mirror-Home</v>
      </c>
      <c r="J1982" t="s">
        <v>1551</v>
      </c>
      <c r="K1982" t="str">
        <f>VLOOKUP(Table1[[#This Row],[Store_ID]],Store_Dim!$A$3:$D$22,2,FALSE)</f>
        <v>Alexander Group-South</v>
      </c>
      <c r="L1982" t="s">
        <v>1735</v>
      </c>
      <c r="M1982" t="s">
        <v>3960</v>
      </c>
      <c r="N1982" s="3">
        <v>353.74</v>
      </c>
      <c r="O1982" s="4">
        <v>0.01</v>
      </c>
      <c r="P1982" t="s">
        <v>1772</v>
      </c>
      <c r="Q1982" s="4">
        <v>700.40520000000004</v>
      </c>
    </row>
    <row r="1983" spans="1:17" x14ac:dyDescent="0.3">
      <c r="A1983" t="s">
        <v>3755</v>
      </c>
      <c r="B1983" t="str">
        <f t="shared" si="30"/>
        <v>Q4</v>
      </c>
      <c r="C1983" t="str">
        <f>TEXT(Table1[[#This Row],[Order_Date]],"mmmm")</f>
        <v>December</v>
      </c>
      <c r="D1983">
        <f>YEAR(Table1[[#This Row],[Order_Date]])</f>
        <v>2024</v>
      </c>
      <c r="E1983" s="7">
        <v>45648</v>
      </c>
      <c r="F1983" s="2" t="str">
        <f>VLOOKUP(Table1[[#This Row],[Customer_ID]],Customer_Dim!$A$2:$H$501,2,FALSE)</f>
        <v>Matthew Payne</v>
      </c>
      <c r="G1983" s="2" t="str">
        <f>_xlfn.XLOOKUP(Table1[[#This Row],[Customer_ID]],Customer_Dim!$A$2:$A$501,Customer_Dim!$E$2:$E$501)</f>
        <v>Grahamfurt</v>
      </c>
      <c r="H1983" t="s">
        <v>835</v>
      </c>
      <c r="I1983" t="str">
        <f>VLOOKUP(Table1[[#This Row],[Product_ID]],Product_Dim!$A$2:$G$101,2,FALSE)</f>
        <v>Women's Summer Dress-Clothing</v>
      </c>
      <c r="J1983" t="s">
        <v>1595</v>
      </c>
      <c r="K1983" t="str">
        <f>VLOOKUP(Table1[[#This Row],[Store_ID]],Store_Dim!$A$3:$D$22,2,FALSE)</f>
        <v>Martinez-Mullins-South</v>
      </c>
      <c r="L1983" t="s">
        <v>1742</v>
      </c>
      <c r="M1983" t="s">
        <v>3957</v>
      </c>
      <c r="N1983" s="3">
        <v>377.52</v>
      </c>
      <c r="O1983" s="4">
        <v>0.15</v>
      </c>
      <c r="P1983" t="s">
        <v>1772</v>
      </c>
      <c r="Q1983" s="4">
        <v>320.892</v>
      </c>
    </row>
    <row r="1984" spans="1:17" x14ac:dyDescent="0.3">
      <c r="A1984" t="s">
        <v>3756</v>
      </c>
      <c r="B1984" t="str">
        <f t="shared" si="30"/>
        <v>Q3</v>
      </c>
      <c r="C1984" t="str">
        <f>TEXT(Table1[[#This Row],[Order_Date]],"mmmm")</f>
        <v>July</v>
      </c>
      <c r="D1984">
        <f>YEAR(Table1[[#This Row],[Order_Date]])</f>
        <v>2024</v>
      </c>
      <c r="E1984" s="7">
        <v>45500</v>
      </c>
      <c r="F1984" s="2" t="str">
        <f>VLOOKUP(Table1[[#This Row],[Customer_ID]],Customer_Dim!$A$2:$H$501,2,FALSE)</f>
        <v>Michelle Carpenter</v>
      </c>
      <c r="G1984" s="2" t="str">
        <f>_xlfn.XLOOKUP(Table1[[#This Row],[Customer_ID]],Customer_Dim!$A$2:$A$501,Customer_Dim!$E$2:$E$501)</f>
        <v>Lake Danielleton</v>
      </c>
      <c r="H1984" t="s">
        <v>663</v>
      </c>
      <c r="I1984" t="str">
        <f>VLOOKUP(Table1[[#This Row],[Product_ID]],Product_Dim!$A$2:$G$101,2,FALSE)</f>
        <v>Wooden Nightstand-Home</v>
      </c>
      <c r="J1984" t="s">
        <v>1659</v>
      </c>
      <c r="K1984" t="str">
        <f>VLOOKUP(Table1[[#This Row],[Store_ID]],Store_Dim!$A$3:$D$22,2,FALSE)</f>
        <v>Black-Horn-South</v>
      </c>
      <c r="L1984" t="s">
        <v>1730</v>
      </c>
      <c r="M1984" t="s">
        <v>3958</v>
      </c>
      <c r="N1984" s="3">
        <v>901.49</v>
      </c>
      <c r="O1984" s="4">
        <v>0.17749999999999999</v>
      </c>
      <c r="P1984" t="s">
        <v>1772</v>
      </c>
      <c r="Q1984" s="4">
        <v>2704.47</v>
      </c>
    </row>
    <row r="1985" spans="1:17" x14ac:dyDescent="0.3">
      <c r="A1985" t="s">
        <v>3757</v>
      </c>
      <c r="B1985" t="str">
        <f t="shared" si="30"/>
        <v>Q2</v>
      </c>
      <c r="C1985" t="str">
        <f>TEXT(Table1[[#This Row],[Order_Date]],"mmmm")</f>
        <v>May</v>
      </c>
      <c r="D1985">
        <f>YEAR(Table1[[#This Row],[Order_Date]])</f>
        <v>2025</v>
      </c>
      <c r="E1985" s="7">
        <v>45806</v>
      </c>
      <c r="F1985" s="2" t="str">
        <f>VLOOKUP(Table1[[#This Row],[Customer_ID]],Customer_Dim!$A$2:$H$501,2,FALSE)</f>
        <v>Anna Perez</v>
      </c>
      <c r="G1985" s="2" t="str">
        <f>_xlfn.XLOOKUP(Table1[[#This Row],[Customer_ID]],Customer_Dim!$A$2:$A$501,Customer_Dim!$E$2:$E$501)</f>
        <v>South Jerry</v>
      </c>
      <c r="H1985" t="s">
        <v>648</v>
      </c>
      <c r="I1985" t="str">
        <f>VLOOKUP(Table1[[#This Row],[Product_ID]],Product_Dim!$A$2:$G$101,2,FALSE)</f>
        <v>Stainless Steel Cutlery Set-Home</v>
      </c>
      <c r="J1985" t="s">
        <v>1583</v>
      </c>
      <c r="K1985" t="str">
        <f>VLOOKUP(Table1[[#This Row],[Store_ID]],Store_Dim!$A$3:$D$22,2,FALSE)</f>
        <v>Gray Ltd-North</v>
      </c>
      <c r="L1985" t="s">
        <v>1738</v>
      </c>
      <c r="M1985" t="s">
        <v>3957</v>
      </c>
      <c r="N1985" s="3">
        <v>563.01</v>
      </c>
      <c r="O1985" s="4">
        <v>0.1</v>
      </c>
      <c r="P1985" t="s">
        <v>1772</v>
      </c>
      <c r="Q1985" s="4">
        <v>506.709</v>
      </c>
    </row>
    <row r="1986" spans="1:17" x14ac:dyDescent="0.3">
      <c r="A1986" t="s">
        <v>3758</v>
      </c>
      <c r="B1986" t="str">
        <f t="shared" ref="B1986:B2001" si="31">"Q" &amp;ROUNDUP(MONTH(E1986)/3,0)</f>
        <v>Q1</v>
      </c>
      <c r="C1986" t="str">
        <f>TEXT(Table1[[#This Row],[Order_Date]],"mmmm")</f>
        <v>March</v>
      </c>
      <c r="D1986">
        <f>YEAR(Table1[[#This Row],[Order_Date]])</f>
        <v>2024</v>
      </c>
      <c r="E1986" s="7">
        <v>45365</v>
      </c>
      <c r="F1986" s="2" t="str">
        <f>VLOOKUP(Table1[[#This Row],[Customer_ID]],Customer_Dim!$A$2:$H$501,2,FALSE)</f>
        <v>Debra Liu</v>
      </c>
      <c r="G1986" s="2" t="str">
        <f>_xlfn.XLOOKUP(Table1[[#This Row],[Customer_ID]],Customer_Dim!$A$2:$A$501,Customer_Dim!$E$2:$E$501)</f>
        <v>South Timtown</v>
      </c>
      <c r="H1986" t="s">
        <v>195</v>
      </c>
      <c r="I1986" t="str">
        <f>VLOOKUP(Table1[[#This Row],[Product_ID]],Product_Dim!$A$2:$G$101,2,FALSE)</f>
        <v>Kitchen Storage Rack-Home</v>
      </c>
      <c r="J1986" t="s">
        <v>1663</v>
      </c>
      <c r="K1986" t="str">
        <f>VLOOKUP(Table1[[#This Row],[Store_ID]],Store_Dim!$A$3:$D$22,2,FALSE)</f>
        <v>Benson-Elliott-East</v>
      </c>
      <c r="L1986" t="s">
        <v>1740</v>
      </c>
      <c r="M1986" t="s">
        <v>3959</v>
      </c>
      <c r="N1986" s="3">
        <v>167.25</v>
      </c>
      <c r="O1986" s="4">
        <v>0.11</v>
      </c>
      <c r="P1986" t="s">
        <v>1772</v>
      </c>
      <c r="Q1986" s="4">
        <v>595.41</v>
      </c>
    </row>
    <row r="1987" spans="1:17" x14ac:dyDescent="0.3">
      <c r="A1987" t="s">
        <v>3759</v>
      </c>
      <c r="B1987" t="str">
        <f t="shared" si="31"/>
        <v>Q4</v>
      </c>
      <c r="C1987" t="str">
        <f>TEXT(Table1[[#This Row],[Order_Date]],"mmmm")</f>
        <v>October</v>
      </c>
      <c r="D1987">
        <f>YEAR(Table1[[#This Row],[Order_Date]])</f>
        <v>2023</v>
      </c>
      <c r="E1987" s="7">
        <v>45229</v>
      </c>
      <c r="F1987" s="2" t="str">
        <f>VLOOKUP(Table1[[#This Row],[Customer_ID]],Customer_Dim!$A$2:$H$501,2,FALSE)</f>
        <v>John Berg</v>
      </c>
      <c r="G1987" s="2" t="str">
        <f>_xlfn.XLOOKUP(Table1[[#This Row],[Customer_ID]],Customer_Dim!$A$2:$A$501,Customer_Dim!$E$2:$E$501)</f>
        <v>Johnsonville</v>
      </c>
      <c r="H1987" t="s">
        <v>1387</v>
      </c>
      <c r="I1987" t="str">
        <f>VLOOKUP(Table1[[#This Row],[Product_ID]],Product_Dim!$A$2:$G$101,2,FALSE)</f>
        <v>Luxury Perfume Spray-Beauty</v>
      </c>
      <c r="J1987" t="s">
        <v>1643</v>
      </c>
      <c r="K1987" t="str">
        <f>VLOOKUP(Table1[[#This Row],[Store_ID]],Store_Dim!$A$3:$D$22,2,FALSE)</f>
        <v>Guerrero-Schmitt-East</v>
      </c>
      <c r="L1987" t="s">
        <v>1761</v>
      </c>
      <c r="M1987" t="s">
        <v>3958</v>
      </c>
      <c r="N1987" s="3">
        <v>345.43</v>
      </c>
      <c r="O1987" s="4">
        <v>0.08</v>
      </c>
      <c r="P1987" t="s">
        <v>1777</v>
      </c>
      <c r="Q1987" s="4">
        <v>953.38679999999999</v>
      </c>
    </row>
    <row r="1988" spans="1:17" x14ac:dyDescent="0.3">
      <c r="A1988" t="s">
        <v>3760</v>
      </c>
      <c r="B1988" t="str">
        <f t="shared" si="31"/>
        <v>Q1</v>
      </c>
      <c r="C1988" t="str">
        <f>TEXT(Table1[[#This Row],[Order_Date]],"mmmm")</f>
        <v>February</v>
      </c>
      <c r="D1988">
        <f>YEAR(Table1[[#This Row],[Order_Date]])</f>
        <v>2024</v>
      </c>
      <c r="E1988" s="7">
        <v>45349</v>
      </c>
      <c r="F1988" s="2" t="str">
        <f>VLOOKUP(Table1[[#This Row],[Customer_ID]],Customer_Dim!$A$2:$H$501,2,FALSE)</f>
        <v>Jennifer Zamora</v>
      </c>
      <c r="G1988" s="2" t="str">
        <f>_xlfn.XLOOKUP(Table1[[#This Row],[Customer_ID]],Customer_Dim!$A$2:$A$501,Customer_Dim!$E$2:$E$501)</f>
        <v>Sarahland</v>
      </c>
      <c r="H1988" t="s">
        <v>962</v>
      </c>
      <c r="I1988" t="str">
        <f>VLOOKUP(Table1[[#This Row],[Product_ID]],Product_Dim!$A$2:$G$101,2,FALSE)</f>
        <v>Fitness Resistance Bands-Sports</v>
      </c>
      <c r="J1988" t="s">
        <v>1687</v>
      </c>
      <c r="K1988" t="str">
        <f>VLOOKUP(Table1[[#This Row],[Store_ID]],Store_Dim!$A$3:$D$22,2,FALSE)</f>
        <v>Moore, Padilla and Butler-South</v>
      </c>
      <c r="L1988" t="s">
        <v>1746</v>
      </c>
      <c r="M1988" t="s">
        <v>3959</v>
      </c>
      <c r="N1988" s="3">
        <v>752.48</v>
      </c>
      <c r="O1988" s="4">
        <v>0.23</v>
      </c>
      <c r="P1988" t="s">
        <v>1772</v>
      </c>
      <c r="Q1988" s="4">
        <v>2317.6383999999998</v>
      </c>
    </row>
    <row r="1989" spans="1:17" x14ac:dyDescent="0.3">
      <c r="A1989" t="s">
        <v>3761</v>
      </c>
      <c r="B1989" t="str">
        <f t="shared" si="31"/>
        <v>Q3</v>
      </c>
      <c r="C1989" t="str">
        <f>TEXT(Table1[[#This Row],[Order_Date]],"mmmm")</f>
        <v>August</v>
      </c>
      <c r="D1989">
        <f>YEAR(Table1[[#This Row],[Order_Date]])</f>
        <v>2025</v>
      </c>
      <c r="E1989" s="7">
        <v>45886</v>
      </c>
      <c r="F1989" s="2" t="str">
        <f>VLOOKUP(Table1[[#This Row],[Customer_ID]],Customer_Dim!$A$2:$H$501,2,FALSE)</f>
        <v>William Cortez</v>
      </c>
      <c r="G1989" s="2" t="str">
        <f>_xlfn.XLOOKUP(Table1[[#This Row],[Customer_ID]],Customer_Dim!$A$2:$A$501,Customer_Dim!$E$2:$E$501)</f>
        <v>Port Hannahport</v>
      </c>
      <c r="H1989" t="s">
        <v>1373</v>
      </c>
      <c r="I1989" t="str">
        <f>VLOOKUP(Table1[[#This Row],[Product_ID]],Product_Dim!$A$2:$G$101,2,FALSE)</f>
        <v>Foam Roller-Sports</v>
      </c>
      <c r="J1989" t="s">
        <v>1637</v>
      </c>
      <c r="K1989" t="str">
        <f>VLOOKUP(Table1[[#This Row],[Store_ID]],Store_Dim!$A$3:$D$22,2,FALSE)</f>
        <v>Mann-Austin-East</v>
      </c>
      <c r="L1989" t="s">
        <v>1763</v>
      </c>
      <c r="M1989" t="s">
        <v>3957</v>
      </c>
      <c r="N1989" s="3">
        <v>120.02</v>
      </c>
      <c r="O1989" s="4">
        <v>0.26</v>
      </c>
      <c r="P1989" t="s">
        <v>1772</v>
      </c>
      <c r="Q1989" s="4">
        <v>88.814799999999991</v>
      </c>
    </row>
    <row r="1990" spans="1:17" x14ac:dyDescent="0.3">
      <c r="A1990" t="s">
        <v>3762</v>
      </c>
      <c r="B1990" t="str">
        <f t="shared" si="31"/>
        <v>Q1</v>
      </c>
      <c r="C1990" t="str">
        <f>TEXT(Table1[[#This Row],[Order_Date]],"mmmm")</f>
        <v>March</v>
      </c>
      <c r="D1990">
        <f>YEAR(Table1[[#This Row],[Order_Date]])</f>
        <v>2024</v>
      </c>
      <c r="E1990" s="7">
        <v>45359</v>
      </c>
      <c r="F1990" s="2" t="str">
        <f>VLOOKUP(Table1[[#This Row],[Customer_ID]],Customer_Dim!$A$2:$H$501,2,FALSE)</f>
        <v>Kristy Dunlap</v>
      </c>
      <c r="G1990" s="2" t="str">
        <f>_xlfn.XLOOKUP(Table1[[#This Row],[Customer_ID]],Customer_Dim!$A$2:$A$501,Customer_Dim!$E$2:$E$501)</f>
        <v>Whiteport</v>
      </c>
      <c r="H1990" t="s">
        <v>1007</v>
      </c>
      <c r="I1990" t="str">
        <f>VLOOKUP(Table1[[#This Row],[Product_ID]],Product_Dim!$A$2:$G$101,2,FALSE)</f>
        <v>Yoga Exercise Mat-Sports</v>
      </c>
      <c r="J1990" t="s">
        <v>1605</v>
      </c>
      <c r="K1990" t="str">
        <f>VLOOKUP(Table1[[#This Row],[Store_ID]],Store_Dim!$A$3:$D$22,2,FALSE)</f>
        <v>Bean, Jones and Park-West</v>
      </c>
      <c r="L1990" t="s">
        <v>1744</v>
      </c>
      <c r="M1990" t="s">
        <v>3958</v>
      </c>
      <c r="N1990" s="3">
        <v>146.71</v>
      </c>
      <c r="O1990" s="4">
        <v>0.28000000000000003</v>
      </c>
      <c r="P1990" t="s">
        <v>1772</v>
      </c>
      <c r="Q1990" s="4">
        <v>316.89359999999999</v>
      </c>
    </row>
    <row r="1991" spans="1:17" x14ac:dyDescent="0.3">
      <c r="A1991" t="s">
        <v>3763</v>
      </c>
      <c r="B1991" t="str">
        <f t="shared" si="31"/>
        <v>Q1</v>
      </c>
      <c r="C1991" t="str">
        <f>TEXT(Table1[[#This Row],[Order_Date]],"mmmm")</f>
        <v>March</v>
      </c>
      <c r="D1991">
        <f>YEAR(Table1[[#This Row],[Order_Date]])</f>
        <v>2025</v>
      </c>
      <c r="E1991" s="7">
        <v>45730</v>
      </c>
      <c r="F1991" s="2" t="str">
        <f>VLOOKUP(Table1[[#This Row],[Customer_ID]],Customer_Dim!$A$2:$H$501,2,FALSE)</f>
        <v>George Rosario</v>
      </c>
      <c r="G1991" s="2" t="str">
        <f>_xlfn.XLOOKUP(Table1[[#This Row],[Customer_ID]],Customer_Dim!$A$2:$A$501,Customer_Dim!$E$2:$E$501)</f>
        <v>Leburgh</v>
      </c>
      <c r="H1991" t="s">
        <v>295</v>
      </c>
      <c r="I1991" t="str">
        <f>VLOOKUP(Table1[[#This Row],[Product_ID]],Product_Dim!$A$2:$G$101,2,FALSE)</f>
        <v>Matte Lipstick Set-Beauty</v>
      </c>
      <c r="J1991" t="s">
        <v>1651</v>
      </c>
      <c r="K1991" t="str">
        <f>VLOOKUP(Table1[[#This Row],[Store_ID]],Store_Dim!$A$3:$D$22,2,FALSE)</f>
        <v>Rivera-Warner-East</v>
      </c>
      <c r="L1991" t="s">
        <v>1725</v>
      </c>
      <c r="M1991" t="s">
        <v>3960</v>
      </c>
      <c r="N1991" s="3">
        <v>358.87</v>
      </c>
      <c r="O1991" s="4">
        <v>0.24</v>
      </c>
      <c r="P1991" t="s">
        <v>1772</v>
      </c>
      <c r="Q1991" s="4">
        <v>545.48239999999998</v>
      </c>
    </row>
    <row r="1992" spans="1:17" x14ac:dyDescent="0.3">
      <c r="A1992" t="s">
        <v>3764</v>
      </c>
      <c r="B1992" t="str">
        <f t="shared" si="31"/>
        <v>Q2</v>
      </c>
      <c r="C1992" t="str">
        <f>TEXT(Table1[[#This Row],[Order_Date]],"mmmm")</f>
        <v>June</v>
      </c>
      <c r="D1992">
        <f>YEAR(Table1[[#This Row],[Order_Date]])</f>
        <v>2024</v>
      </c>
      <c r="E1992" s="7">
        <v>45456</v>
      </c>
      <c r="F1992" s="2" t="str">
        <f>VLOOKUP(Table1[[#This Row],[Customer_ID]],Customer_Dim!$A$2:$H$501,2,FALSE)</f>
        <v>Mr. William Horton</v>
      </c>
      <c r="G1992" s="2" t="str">
        <f>_xlfn.XLOOKUP(Table1[[#This Row],[Customer_ID]],Customer_Dim!$A$2:$A$501,Customer_Dim!$E$2:$E$501)</f>
        <v>Dawsonchester</v>
      </c>
      <c r="H1992" t="s">
        <v>767</v>
      </c>
      <c r="I1992" t="str">
        <f>VLOOKUP(Table1[[#This Row],[Product_ID]],Product_Dim!$A$2:$G$101,2,FALSE)</f>
        <v>Rugby Ball-Sports</v>
      </c>
      <c r="J1992" t="s">
        <v>1627</v>
      </c>
      <c r="K1992" t="str">
        <f>VLOOKUP(Table1[[#This Row],[Store_ID]],Store_Dim!$A$3:$D$22,2,FALSE)</f>
        <v>Johnson-Wright-North</v>
      </c>
      <c r="L1992" t="s">
        <v>1733</v>
      </c>
      <c r="M1992" t="s">
        <v>3959</v>
      </c>
      <c r="N1992" s="3">
        <v>212.75</v>
      </c>
      <c r="O1992" s="4">
        <v>0.11</v>
      </c>
      <c r="P1992" t="s">
        <v>1777</v>
      </c>
      <c r="Q1992" s="4">
        <v>757.39</v>
      </c>
    </row>
    <row r="1993" spans="1:17" x14ac:dyDescent="0.3">
      <c r="A1993" t="s">
        <v>3765</v>
      </c>
      <c r="B1993" t="str">
        <f t="shared" si="31"/>
        <v>Q2</v>
      </c>
      <c r="C1993" t="str">
        <f>TEXT(Table1[[#This Row],[Order_Date]],"mmmm")</f>
        <v>June</v>
      </c>
      <c r="D1993">
        <f>YEAR(Table1[[#This Row],[Order_Date]])</f>
        <v>2024</v>
      </c>
      <c r="E1993" s="7">
        <v>45450</v>
      </c>
      <c r="F1993" s="2" t="str">
        <f>VLOOKUP(Table1[[#This Row],[Customer_ID]],Customer_Dim!$A$2:$H$501,2,FALSE)</f>
        <v>Reginald Willis</v>
      </c>
      <c r="G1993" s="2" t="str">
        <f>_xlfn.XLOOKUP(Table1[[#This Row],[Customer_ID]],Customer_Dim!$A$2:$A$501,Customer_Dim!$E$2:$E$501)</f>
        <v>Kellybury</v>
      </c>
      <c r="H1993" t="s">
        <v>1018</v>
      </c>
      <c r="I1993" t="str">
        <f>VLOOKUP(Table1[[#This Row],[Product_ID]],Product_Dim!$A$2:$G$101,2,FALSE)</f>
        <v>High-Grip Football-Sports</v>
      </c>
      <c r="J1993" t="s">
        <v>1613</v>
      </c>
      <c r="K1993" t="str">
        <f>VLOOKUP(Table1[[#This Row],[Store_ID]],Store_Dim!$A$3:$D$22,2,FALSE)</f>
        <v>Aguirre-Keller-South</v>
      </c>
      <c r="L1993" t="s">
        <v>1750</v>
      </c>
      <c r="M1993" t="s">
        <v>3957</v>
      </c>
      <c r="N1993" s="3">
        <v>183.47</v>
      </c>
      <c r="O1993" s="4">
        <v>0.17</v>
      </c>
      <c r="P1993" t="s">
        <v>1774</v>
      </c>
      <c r="Q1993" s="4">
        <v>152.2801</v>
      </c>
    </row>
    <row r="1994" spans="1:17" x14ac:dyDescent="0.3">
      <c r="A1994" t="s">
        <v>3766</v>
      </c>
      <c r="B1994" t="str">
        <f t="shared" si="31"/>
        <v>Q3</v>
      </c>
      <c r="C1994" t="str">
        <f>TEXT(Table1[[#This Row],[Order_Date]],"mmmm")</f>
        <v>July</v>
      </c>
      <c r="D1994">
        <f>YEAR(Table1[[#This Row],[Order_Date]])</f>
        <v>2024</v>
      </c>
      <c r="E1994" s="7">
        <v>45493</v>
      </c>
      <c r="F1994" s="2" t="str">
        <f>VLOOKUP(Table1[[#This Row],[Customer_ID]],Customer_Dim!$A$2:$H$501,2,FALSE)</f>
        <v>Mr. Mark Beasley</v>
      </c>
      <c r="G1994" s="2" t="str">
        <f>_xlfn.XLOOKUP(Table1[[#This Row],[Customer_ID]],Customer_Dim!$A$2:$A$501,Customer_Dim!$E$2:$E$501)</f>
        <v>West Johnchester</v>
      </c>
      <c r="H1994" t="s">
        <v>248</v>
      </c>
      <c r="I1994" t="str">
        <f>VLOOKUP(Table1[[#This Row],[Product_ID]],Product_Dim!$A$2:$G$101,2,FALSE)</f>
        <v>Face Foundation Kit-Beauty</v>
      </c>
      <c r="J1994" t="s">
        <v>1701</v>
      </c>
      <c r="K1994" t="str">
        <f>VLOOKUP(Table1[[#This Row],[Store_ID]],Store_Dim!$A$3:$D$22,2,FALSE)</f>
        <v>Shelton PLC-North</v>
      </c>
      <c r="L1994" t="s">
        <v>1755</v>
      </c>
      <c r="M1994" t="s">
        <v>3959</v>
      </c>
      <c r="N1994" s="3">
        <v>569.98</v>
      </c>
      <c r="O1994" s="4">
        <v>0.23</v>
      </c>
      <c r="P1994" t="s">
        <v>1772</v>
      </c>
      <c r="Q1994" s="4">
        <v>1755.5383999999999</v>
      </c>
    </row>
    <row r="1995" spans="1:17" x14ac:dyDescent="0.3">
      <c r="A1995" t="s">
        <v>3767</v>
      </c>
      <c r="B1995" t="str">
        <f t="shared" si="31"/>
        <v>Q4</v>
      </c>
      <c r="C1995" t="str">
        <f>TEXT(Table1[[#This Row],[Order_Date]],"mmmm")</f>
        <v>December</v>
      </c>
      <c r="D1995">
        <f>YEAR(Table1[[#This Row],[Order_Date]])</f>
        <v>2023</v>
      </c>
      <c r="E1995" s="7">
        <v>45274</v>
      </c>
      <c r="F1995" s="2" t="str">
        <f>VLOOKUP(Table1[[#This Row],[Customer_ID]],Customer_Dim!$A$2:$H$501,2,FALSE)</f>
        <v>Philip Mendoza</v>
      </c>
      <c r="G1995" s="2" t="str">
        <f>_xlfn.XLOOKUP(Table1[[#This Row],[Customer_ID]],Customer_Dim!$A$2:$A$501,Customer_Dim!$E$2:$E$501)</f>
        <v>Tylermouth</v>
      </c>
      <c r="H1995" t="s">
        <v>1439</v>
      </c>
      <c r="I1995" t="str">
        <f>VLOOKUP(Table1[[#This Row],[Product_ID]],Product_Dim!$A$2:$G$101,2,FALSE)</f>
        <v>Multi-Purpose Storage Box-Home</v>
      </c>
      <c r="J1995" t="s">
        <v>1565</v>
      </c>
      <c r="K1995" t="str">
        <f>VLOOKUP(Table1[[#This Row],[Store_ID]],Store_Dim!$A$3:$D$22,2,FALSE)</f>
        <v>Thomas, Bridges and Harris-North</v>
      </c>
      <c r="L1995" t="s">
        <v>1751</v>
      </c>
      <c r="M1995" t="s">
        <v>3958</v>
      </c>
      <c r="N1995" s="3">
        <v>984.12</v>
      </c>
      <c r="O1995" s="4">
        <v>0.27</v>
      </c>
      <c r="P1995" t="s">
        <v>1772</v>
      </c>
      <c r="Q1995" s="4">
        <v>2155.2228</v>
      </c>
    </row>
    <row r="1996" spans="1:17" x14ac:dyDescent="0.3">
      <c r="A1996" t="s">
        <v>3768</v>
      </c>
      <c r="B1996" t="str">
        <f t="shared" si="31"/>
        <v>Q3</v>
      </c>
      <c r="C1996" t="str">
        <f>TEXT(Table1[[#This Row],[Order_Date]],"mmmm")</f>
        <v>July</v>
      </c>
      <c r="D1996">
        <f>YEAR(Table1[[#This Row],[Order_Date]])</f>
        <v>2025</v>
      </c>
      <c r="E1996" s="7">
        <v>45844</v>
      </c>
      <c r="F1996" s="2" t="str">
        <f>VLOOKUP(Table1[[#This Row],[Customer_ID]],Customer_Dim!$A$2:$H$501,2,FALSE)</f>
        <v>Laura Mathews</v>
      </c>
      <c r="G1996" s="2" t="str">
        <f>_xlfn.XLOOKUP(Table1[[#This Row],[Customer_ID]],Customer_Dim!$A$2:$A$501,Customer_Dim!$E$2:$E$501)</f>
        <v>Chambersfurt</v>
      </c>
      <c r="H1996" t="s">
        <v>1442</v>
      </c>
      <c r="I1996" t="str">
        <f>VLOOKUP(Table1[[#This Row],[Product_ID]],Product_Dim!$A$2:$G$101,2,FALSE)</f>
        <v>Wooden Bookshelf-Home</v>
      </c>
      <c r="J1996" t="s">
        <v>1691</v>
      </c>
      <c r="K1996" t="str">
        <f>VLOOKUP(Table1[[#This Row],[Store_ID]],Store_Dim!$A$3:$D$22,2,FALSE)</f>
        <v>Bean, Jones and Park-West</v>
      </c>
      <c r="L1996" t="s">
        <v>1744</v>
      </c>
      <c r="M1996" t="s">
        <v>3957</v>
      </c>
      <c r="N1996" s="3">
        <v>905.23</v>
      </c>
      <c r="O1996" s="4">
        <v>0.15200000000000002</v>
      </c>
      <c r="P1996" t="s">
        <v>1772</v>
      </c>
      <c r="Q1996" s="4">
        <v>905.23</v>
      </c>
    </row>
    <row r="1997" spans="1:17" x14ac:dyDescent="0.3">
      <c r="A1997" t="s">
        <v>3769</v>
      </c>
      <c r="B1997" t="str">
        <f t="shared" si="31"/>
        <v>Q4</v>
      </c>
      <c r="C1997" t="str">
        <f>TEXT(Table1[[#This Row],[Order_Date]],"mmmm")</f>
        <v>December</v>
      </c>
      <c r="D1997">
        <f>YEAR(Table1[[#This Row],[Order_Date]])</f>
        <v>2023</v>
      </c>
      <c r="E1997" s="7">
        <v>45264</v>
      </c>
      <c r="F1997" s="2" t="str">
        <f>VLOOKUP(Table1[[#This Row],[Customer_ID]],Customer_Dim!$A$2:$H$501,2,FALSE)</f>
        <v>Jennifer Pruitt</v>
      </c>
      <c r="G1997" s="2" t="str">
        <f>_xlfn.XLOOKUP(Table1[[#This Row],[Customer_ID]],Customer_Dim!$A$2:$A$501,Customer_Dim!$E$2:$E$501)</f>
        <v>East Justin</v>
      </c>
      <c r="H1997" t="s">
        <v>607</v>
      </c>
      <c r="I1997" t="str">
        <f>VLOOKUP(Table1[[#This Row],[Product_ID]],Product_Dim!$A$2:$G$101,2,FALSE)</f>
        <v>Stainless Steel Cookware Set-Home</v>
      </c>
      <c r="J1997" t="s">
        <v>1721</v>
      </c>
      <c r="K1997" t="str">
        <f>VLOOKUP(Table1[[#This Row],[Store_ID]],Store_Dim!$A$3:$D$22,2,FALSE)</f>
        <v>Mann-Austin-East</v>
      </c>
      <c r="L1997" t="s">
        <v>1763</v>
      </c>
      <c r="M1997" t="s">
        <v>3958</v>
      </c>
      <c r="N1997" s="3">
        <v>112.77</v>
      </c>
      <c r="O1997" s="4">
        <v>0.19</v>
      </c>
      <c r="P1997" t="s">
        <v>1772</v>
      </c>
      <c r="Q1997" s="4">
        <v>274.03109999999998</v>
      </c>
    </row>
    <row r="1998" spans="1:17" x14ac:dyDescent="0.3">
      <c r="A1998" t="s">
        <v>3770</v>
      </c>
      <c r="B1998" t="str">
        <f t="shared" si="31"/>
        <v>Q2</v>
      </c>
      <c r="C1998" t="str">
        <f>TEXT(Table1[[#This Row],[Order_Date]],"mmmm")</f>
        <v>April</v>
      </c>
      <c r="D1998">
        <f>YEAR(Table1[[#This Row],[Order_Date]])</f>
        <v>2025</v>
      </c>
      <c r="E1998" s="7">
        <v>45773</v>
      </c>
      <c r="F1998" s="2" t="str">
        <f>VLOOKUP(Table1[[#This Row],[Customer_ID]],Customer_Dim!$A$2:$H$501,2,FALSE)</f>
        <v>Cynthia Morris</v>
      </c>
      <c r="G1998" s="2" t="str">
        <f>_xlfn.XLOOKUP(Table1[[#This Row],[Customer_ID]],Customer_Dim!$A$2:$A$501,Customer_Dim!$E$2:$E$501)</f>
        <v>Hessmouth</v>
      </c>
      <c r="H1998" t="s">
        <v>533</v>
      </c>
      <c r="I1998" t="str">
        <f>VLOOKUP(Table1[[#This Row],[Product_ID]],Product_Dim!$A$2:$G$101,2,FALSE)</f>
        <v>Bedroom Table Lamp-Home</v>
      </c>
      <c r="J1998" t="s">
        <v>1593</v>
      </c>
      <c r="K1998" t="str">
        <f>VLOOKUP(Table1[[#This Row],[Store_ID]],Store_Dim!$A$3:$D$22,2,FALSE)</f>
        <v>Bean, Jones and Park-West</v>
      </c>
      <c r="L1998" t="s">
        <v>1744</v>
      </c>
      <c r="M1998" t="s">
        <v>3958</v>
      </c>
      <c r="N1998" s="3">
        <v>875.99</v>
      </c>
      <c r="O1998" s="4">
        <v>0.09</v>
      </c>
      <c r="P1998" t="s">
        <v>1774</v>
      </c>
      <c r="Q1998" s="4">
        <v>2391.4526999999998</v>
      </c>
    </row>
    <row r="1999" spans="1:17" x14ac:dyDescent="0.3">
      <c r="A1999" t="s">
        <v>3771</v>
      </c>
      <c r="B1999" t="str">
        <f t="shared" si="31"/>
        <v>Q2</v>
      </c>
      <c r="C1999" t="str">
        <f>TEXT(Table1[[#This Row],[Order_Date]],"mmmm")</f>
        <v>June</v>
      </c>
      <c r="D1999">
        <f>YEAR(Table1[[#This Row],[Order_Date]])</f>
        <v>2024</v>
      </c>
      <c r="E1999" s="7">
        <v>45460</v>
      </c>
      <c r="F1999" s="2" t="str">
        <f>VLOOKUP(Table1[[#This Row],[Customer_ID]],Customer_Dim!$A$2:$H$501,2,FALSE)</f>
        <v>Susan Mcdonald</v>
      </c>
      <c r="G1999" s="2" t="str">
        <f>_xlfn.XLOOKUP(Table1[[#This Row],[Customer_ID]],Customer_Dim!$A$2:$A$501,Customer_Dim!$E$2:$E$501)</f>
        <v>East Ellen</v>
      </c>
      <c r="H1999" t="s">
        <v>436</v>
      </c>
      <c r="I1999" t="str">
        <f>VLOOKUP(Table1[[#This Row],[Product_ID]],Product_Dim!$A$2:$G$101,2,FALSE)</f>
        <v>Face Foundation Kit-Beauty</v>
      </c>
      <c r="J1999" t="s">
        <v>1701</v>
      </c>
      <c r="K1999" t="str">
        <f>VLOOKUP(Table1[[#This Row],[Store_ID]],Store_Dim!$A$3:$D$22,2,FALSE)</f>
        <v>Hill, Wagner and Ballard-East</v>
      </c>
      <c r="L1999" t="s">
        <v>1748</v>
      </c>
      <c r="M1999" t="s">
        <v>3960</v>
      </c>
      <c r="N1999" s="3">
        <v>685.31</v>
      </c>
      <c r="O1999" s="4">
        <v>0.26</v>
      </c>
      <c r="P1999" t="s">
        <v>1774</v>
      </c>
      <c r="Q1999" s="4">
        <v>1014.2588</v>
      </c>
    </row>
    <row r="2000" spans="1:17" x14ac:dyDescent="0.3">
      <c r="A2000" t="s">
        <v>3772</v>
      </c>
      <c r="B2000" t="str">
        <f t="shared" si="31"/>
        <v>Q4</v>
      </c>
      <c r="C2000" t="str">
        <f>TEXT(Table1[[#This Row],[Order_Date]],"mmmm")</f>
        <v>November</v>
      </c>
      <c r="D2000">
        <f>YEAR(Table1[[#This Row],[Order_Date]])</f>
        <v>2024</v>
      </c>
      <c r="E2000" s="7">
        <v>45607</v>
      </c>
      <c r="F2000" s="2" t="str">
        <f>VLOOKUP(Table1[[#This Row],[Customer_ID]],Customer_Dim!$A$2:$H$501,2,FALSE)</f>
        <v>Debra Liu</v>
      </c>
      <c r="G2000" s="2" t="str">
        <f>_xlfn.XLOOKUP(Table1[[#This Row],[Customer_ID]],Customer_Dim!$A$2:$A$501,Customer_Dim!$E$2:$E$501)</f>
        <v>South Timtown</v>
      </c>
      <c r="H2000" t="s">
        <v>195</v>
      </c>
      <c r="I2000" t="str">
        <f>VLOOKUP(Table1[[#This Row],[Product_ID]],Product_Dim!$A$2:$G$101,2,FALSE)</f>
        <v>Tennis Ball 3-Pack-Sports</v>
      </c>
      <c r="J2000" t="s">
        <v>1645</v>
      </c>
      <c r="K2000" t="str">
        <f>VLOOKUP(Table1[[#This Row],[Store_ID]],Store_Dim!$A$3:$D$22,2,FALSE)</f>
        <v>Aguirre-Keller-South</v>
      </c>
      <c r="L2000" t="s">
        <v>1750</v>
      </c>
      <c r="M2000" t="s">
        <v>3958</v>
      </c>
      <c r="N2000" s="3">
        <v>945.37</v>
      </c>
      <c r="O2000" s="4">
        <v>0.05</v>
      </c>
      <c r="P2000" t="s">
        <v>1772</v>
      </c>
      <c r="Q2000" s="4">
        <v>2694.3045000000002</v>
      </c>
    </row>
    <row r="2001" spans="1:17" x14ac:dyDescent="0.3">
      <c r="A2001" t="s">
        <v>3773</v>
      </c>
      <c r="B2001" t="str">
        <f t="shared" si="31"/>
        <v>Q4</v>
      </c>
      <c r="C2001" t="str">
        <f>TEXT(Table1[[#This Row],[Order_Date]],"mmmm")</f>
        <v>December</v>
      </c>
      <c r="D2001">
        <f>YEAR(Table1[[#This Row],[Order_Date]])</f>
        <v>2023</v>
      </c>
      <c r="E2001" s="7">
        <v>45267</v>
      </c>
      <c r="F2001" s="2" t="str">
        <f>VLOOKUP(Table1[[#This Row],[Customer_ID]],Customer_Dim!$A$2:$H$501,2,FALSE)</f>
        <v>Jonathan Steele</v>
      </c>
      <c r="G2001" s="2" t="str">
        <f>_xlfn.XLOOKUP(Table1[[#This Row],[Customer_ID]],Customer_Dim!$A$2:$A$501,Customer_Dim!$E$2:$E$501)</f>
        <v>Molinabury</v>
      </c>
      <c r="H2001" t="s">
        <v>100</v>
      </c>
      <c r="I2001" t="str">
        <f>VLOOKUP(Table1[[#This Row],[Product_ID]],Product_Dim!$A$2:$G$101,2,FALSE)</f>
        <v>Wireless Mouse-Electronics</v>
      </c>
      <c r="J2001" t="s">
        <v>1675</v>
      </c>
      <c r="K2001" t="str">
        <f>VLOOKUP(Table1[[#This Row],[Store_ID]],Store_Dim!$A$3:$D$22,2,FALSE)</f>
        <v>Mann-Austin-East</v>
      </c>
      <c r="L2001" t="s">
        <v>1763</v>
      </c>
      <c r="M2001" t="s">
        <v>3958</v>
      </c>
      <c r="N2001" s="3">
        <v>68.45</v>
      </c>
      <c r="O2001" s="4">
        <v>0.17</v>
      </c>
      <c r="P2001" t="s">
        <v>1774</v>
      </c>
      <c r="Q2001" s="4">
        <v>170.44049999999999</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Customer_Dim</vt:lpstr>
      <vt:lpstr>Product_Dim</vt:lpstr>
      <vt:lpstr>Store_Dim</vt:lpstr>
      <vt:lpstr>Region -yearwise</vt:lpstr>
      <vt:lpstr>Monthwise</vt:lpstr>
      <vt:lpstr>Category Wise</vt:lpstr>
      <vt:lpstr>Region Wise</vt:lpstr>
      <vt:lpstr>payment mode</vt:lpstr>
      <vt:lpstr>Quarter Wise</vt:lpstr>
      <vt:lpstr>Sales_Fact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mythili v</cp:lastModifiedBy>
  <dcterms:created xsi:type="dcterms:W3CDTF">2025-10-14T06:00:18Z</dcterms:created>
  <dcterms:modified xsi:type="dcterms:W3CDTF">2026-07-08T08:03:00Z</dcterms:modified>
</cp:coreProperties>
</file>